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costa\Desktop\"/>
    </mc:Choice>
  </mc:AlternateContent>
  <xr:revisionPtr revIDLastSave="0" documentId="13_ncr:1_{7DD8A7C3-8FEE-44A5-97AF-FE8EB70F7445}" xr6:coauthVersionLast="47" xr6:coauthVersionMax="47" xr10:uidLastSave="{00000000-0000-0000-0000-000000000000}"/>
  <bookViews>
    <workbookView xWindow="-120" yWindow="-120" windowWidth="29040" windowHeight="15720" activeTab="5" xr2:uid="{6AE4F10C-8DD7-4751-A838-7C46C5FEC9ED}"/>
  </bookViews>
  <sheets>
    <sheet name="Folha1" sheetId="1" r:id="rId1"/>
    <sheet name="AT" sheetId="2" r:id="rId2"/>
    <sheet name="Prod" sheetId="3" r:id="rId3"/>
    <sheet name="Tranf" sheetId="4" r:id="rId4"/>
    <sheet name="Dados" sheetId="5" r:id="rId5"/>
    <sheet name="Resumo" sheetId="6" r:id="rId6"/>
  </sheets>
  <definedNames>
    <definedName name="_xlnm._FilterDatabase" localSheetId="0" hidden="1">Folha1!$A$1:$G$3685</definedName>
    <definedName name="_xlnm._FilterDatabase" localSheetId="5" hidden="1">Resumo!$A$1:$F$490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6" l="1"/>
  <c r="D162" i="6" l="1"/>
  <c r="D460" i="6"/>
  <c r="D427" i="6"/>
  <c r="D413" i="6"/>
  <c r="D399" i="6"/>
  <c r="D385" i="6"/>
  <c r="D371" i="6"/>
  <c r="D357" i="6"/>
  <c r="D343" i="6"/>
  <c r="D329" i="6"/>
  <c r="D315" i="6"/>
  <c r="D301" i="6"/>
  <c r="D287" i="6"/>
  <c r="D273" i="6"/>
  <c r="D259" i="6"/>
  <c r="D245" i="6"/>
  <c r="D231" i="6"/>
  <c r="D217" i="6"/>
  <c r="D203" i="6"/>
  <c r="D189" i="6"/>
  <c r="D175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468" i="6"/>
  <c r="D467" i="6"/>
  <c r="D453" i="6"/>
  <c r="D434" i="6"/>
  <c r="D420" i="6"/>
  <c r="D406" i="6"/>
  <c r="D392" i="6"/>
  <c r="D378" i="6"/>
  <c r="D364" i="6"/>
  <c r="D350" i="6"/>
  <c r="D336" i="6"/>
  <c r="D322" i="6"/>
  <c r="D308" i="6"/>
  <c r="D294" i="6"/>
  <c r="D280" i="6"/>
  <c r="D266" i="6"/>
  <c r="D252" i="6"/>
  <c r="D238" i="6"/>
  <c r="D224" i="6"/>
  <c r="D210" i="6"/>
  <c r="D196" i="6"/>
  <c r="D182" i="6"/>
  <c r="D466" i="6"/>
  <c r="D452" i="6"/>
  <c r="D433" i="6"/>
  <c r="D419" i="6"/>
  <c r="D405" i="6"/>
  <c r="D391" i="6"/>
  <c r="D377" i="6"/>
  <c r="D363" i="6"/>
  <c r="D349" i="6"/>
  <c r="D335" i="6"/>
  <c r="D321" i="6"/>
  <c r="D307" i="6"/>
  <c r="D293" i="6"/>
  <c r="D279" i="6"/>
  <c r="D265" i="6"/>
  <c r="D251" i="6"/>
  <c r="D223" i="6"/>
  <c r="D412" i="6"/>
  <c r="D459" i="6"/>
  <c r="D426" i="6"/>
  <c r="D398" i="6"/>
  <c r="D384" i="6"/>
  <c r="D370" i="6"/>
  <c r="D356" i="6"/>
  <c r="D342" i="6"/>
  <c r="D328" i="6"/>
  <c r="D314" i="6"/>
  <c r="D300" i="6"/>
  <c r="D286" i="6"/>
  <c r="D272" i="6"/>
  <c r="D258" i="6"/>
  <c r="D244" i="6"/>
  <c r="D237" i="6"/>
  <c r="D216" i="6"/>
  <c r="D202" i="6"/>
  <c r="D188" i="6"/>
  <c r="D174" i="6"/>
  <c r="D209" i="6"/>
  <c r="D195" i="6"/>
  <c r="D181" i="6"/>
  <c r="D168" i="6"/>
  <c r="D161" i="6"/>
  <c r="D451" i="6" l="1"/>
  <c r="D450" i="6"/>
  <c r="D449" i="6"/>
  <c r="D448" i="6"/>
  <c r="D447" i="6"/>
  <c r="D440" i="6" l="1"/>
  <c r="D439" i="6"/>
  <c r="D446" i="6"/>
  <c r="D445" i="6"/>
  <c r="D442" i="6"/>
  <c r="D443" i="6"/>
  <c r="D444" i="6"/>
  <c r="D441" i="6"/>
  <c r="D435" i="6"/>
  <c r="D436" i="6"/>
  <c r="D437" i="6"/>
  <c r="D438" i="6"/>
  <c r="D489" i="6"/>
  <c r="D490" i="6"/>
  <c r="D488" i="6"/>
  <c r="D487" i="6"/>
  <c r="D486" i="6"/>
  <c r="D485" i="6"/>
  <c r="D484" i="6"/>
  <c r="D483" i="6"/>
  <c r="D482" i="6"/>
  <c r="D481" i="6"/>
  <c r="D480" i="6"/>
  <c r="D478" i="6"/>
  <c r="D479" i="6"/>
  <c r="D477" i="6"/>
  <c r="D476" i="6"/>
  <c r="D475" i="6"/>
  <c r="D474" i="6"/>
  <c r="D473" i="6"/>
  <c r="D472" i="6"/>
  <c r="D471" i="6"/>
  <c r="D470" i="6"/>
  <c r="D469" i="6"/>
  <c r="D461" i="6"/>
  <c r="D462" i="6"/>
  <c r="D463" i="6"/>
  <c r="D464" i="6"/>
  <c r="D465" i="6"/>
  <c r="D454" i="6"/>
  <c r="D455" i="6"/>
  <c r="D456" i="6"/>
  <c r="D457" i="6"/>
  <c r="D458" i="6"/>
  <c r="D428" i="6"/>
  <c r="D429" i="6"/>
  <c r="D430" i="6"/>
  <c r="D431" i="6"/>
  <c r="D432" i="6"/>
  <c r="D421" i="6"/>
  <c r="D422" i="6"/>
  <c r="D423" i="6"/>
  <c r="D424" i="6"/>
  <c r="D425" i="6"/>
  <c r="D414" i="6"/>
  <c r="D415" i="6"/>
  <c r="D416" i="6"/>
  <c r="D417" i="6"/>
  <c r="D418" i="6"/>
  <c r="D407" i="6"/>
  <c r="D408" i="6"/>
  <c r="D409" i="6"/>
  <c r="D410" i="6"/>
  <c r="D411" i="6"/>
  <c r="D400" i="6"/>
  <c r="D401" i="6"/>
  <c r="D402" i="6"/>
  <c r="D403" i="6"/>
  <c r="D404" i="6"/>
  <c r="D393" i="6"/>
  <c r="D394" i="6"/>
  <c r="D395" i="6"/>
  <c r="D396" i="6"/>
  <c r="D397" i="6"/>
  <c r="D379" i="6"/>
  <c r="D380" i="6"/>
  <c r="D381" i="6"/>
  <c r="D382" i="6"/>
  <c r="D383" i="6"/>
  <c r="D386" i="6"/>
  <c r="D387" i="6"/>
  <c r="D388" i="6"/>
  <c r="D389" i="6"/>
  <c r="D390" i="6"/>
  <c r="D372" i="6"/>
  <c r="D373" i="6"/>
  <c r="D374" i="6"/>
  <c r="D375" i="6"/>
  <c r="D376" i="6"/>
  <c r="D365" i="6"/>
  <c r="D366" i="6"/>
  <c r="D367" i="6"/>
  <c r="D368" i="6"/>
  <c r="D369" i="6"/>
  <c r="D358" i="6"/>
  <c r="D359" i="6"/>
  <c r="D360" i="6"/>
  <c r="D361" i="6"/>
  <c r="D362" i="6"/>
  <c r="D351" i="6"/>
  <c r="D352" i="6"/>
  <c r="D353" i="6"/>
  <c r="D354" i="6"/>
  <c r="D355" i="6"/>
  <c r="D344" i="6"/>
  <c r="D345" i="6"/>
  <c r="D346" i="6"/>
  <c r="D347" i="6"/>
  <c r="D348" i="6"/>
  <c r="D337" i="6"/>
  <c r="D338" i="6"/>
  <c r="D339" i="6"/>
  <c r="D340" i="6"/>
  <c r="D341" i="6"/>
  <c r="D330" i="6"/>
  <c r="D331" i="6"/>
  <c r="D332" i="6"/>
  <c r="D333" i="6"/>
  <c r="D334" i="6"/>
  <c r="D323" i="6"/>
  <c r="D324" i="6"/>
  <c r="D325" i="6"/>
  <c r="D326" i="6"/>
  <c r="D327" i="6"/>
  <c r="D316" i="6"/>
  <c r="D317" i="6"/>
  <c r="D318" i="6"/>
  <c r="D319" i="6"/>
  <c r="D320" i="6"/>
  <c r="D309" i="6"/>
  <c r="D310" i="6"/>
  <c r="D311" i="6"/>
  <c r="D312" i="6"/>
  <c r="D313" i="6"/>
  <c r="D302" i="6"/>
  <c r="D303" i="6"/>
  <c r="D304" i="6"/>
  <c r="D305" i="6"/>
  <c r="D306" i="6"/>
  <c r="D295" i="6"/>
  <c r="D296" i="6"/>
  <c r="D297" i="6"/>
  <c r="D298" i="6"/>
  <c r="D299" i="6"/>
  <c r="D288" i="6"/>
  <c r="D289" i="6"/>
  <c r="D290" i="6"/>
  <c r="D291" i="6"/>
  <c r="D292" i="6"/>
  <c r="D281" i="6"/>
  <c r="D282" i="6"/>
  <c r="D283" i="6"/>
  <c r="D284" i="6"/>
  <c r="D285" i="6"/>
  <c r="D274" i="6"/>
  <c r="D275" i="6"/>
  <c r="D276" i="6"/>
  <c r="D277" i="6"/>
  <c r="D278" i="6"/>
  <c r="D267" i="6"/>
  <c r="D268" i="6"/>
  <c r="D269" i="6"/>
  <c r="D270" i="6"/>
  <c r="D271" i="6"/>
  <c r="D260" i="6"/>
  <c r="D261" i="6"/>
  <c r="D262" i="6"/>
  <c r="D263" i="6"/>
  <c r="D264" i="6"/>
  <c r="D253" i="6"/>
  <c r="D254" i="6"/>
  <c r="D255" i="6"/>
  <c r="D256" i="6"/>
  <c r="D257" i="6"/>
  <c r="D246" i="6"/>
  <c r="D247" i="6"/>
  <c r="D248" i="6"/>
  <c r="D249" i="6"/>
  <c r="D250" i="6"/>
  <c r="D239" i="6"/>
  <c r="D240" i="6"/>
  <c r="D241" i="6"/>
  <c r="D242" i="6"/>
  <c r="D243" i="6"/>
  <c r="D232" i="6"/>
  <c r="D233" i="6"/>
  <c r="D234" i="6"/>
  <c r="D235" i="6"/>
  <c r="D236" i="6"/>
  <c r="D225" i="6"/>
  <c r="D226" i="6"/>
  <c r="D227" i="6"/>
  <c r="D228" i="6"/>
  <c r="D229" i="6"/>
  <c r="D218" i="6"/>
  <c r="D219" i="6"/>
  <c r="D220" i="6"/>
  <c r="D221" i="6"/>
  <c r="D222" i="6"/>
  <c r="D211" i="6"/>
  <c r="D212" i="6"/>
  <c r="D213" i="6"/>
  <c r="D214" i="6"/>
  <c r="D215" i="6"/>
  <c r="D204" i="6"/>
  <c r="D205" i="6"/>
  <c r="D206" i="6"/>
  <c r="D207" i="6"/>
  <c r="D208" i="6"/>
  <c r="D197" i="6"/>
  <c r="D198" i="6"/>
  <c r="D199" i="6"/>
  <c r="D200" i="6"/>
  <c r="D201" i="6"/>
  <c r="D190" i="6"/>
  <c r="D191" i="6"/>
  <c r="D192" i="6"/>
  <c r="D193" i="6"/>
  <c r="D194" i="6"/>
  <c r="D183" i="6"/>
  <c r="D184" i="6"/>
  <c r="D185" i="6"/>
  <c r="D186" i="6"/>
  <c r="D187" i="6"/>
  <c r="D176" i="6"/>
  <c r="D177" i="6"/>
  <c r="D178" i="6"/>
  <c r="D179" i="6"/>
  <c r="D180" i="6"/>
  <c r="D169" i="6"/>
  <c r="D170" i="6"/>
  <c r="D171" i="6"/>
  <c r="D172" i="6"/>
  <c r="D173" i="6"/>
  <c r="D163" i="6"/>
  <c r="D164" i="6"/>
  <c r="D165" i="6"/>
  <c r="D166" i="6"/>
  <c r="D167" i="6"/>
  <c r="D156" i="6"/>
  <c r="D157" i="6"/>
  <c r="D158" i="6"/>
  <c r="D159" i="6"/>
  <c r="D160" i="6"/>
  <c r="G1302" i="4"/>
  <c r="H1302" i="4"/>
  <c r="G1303" i="4"/>
  <c r="H1303" i="4"/>
  <c r="H1333" i="4"/>
  <c r="G1333" i="4"/>
  <c r="F133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D111" i="6"/>
  <c r="D110" i="6"/>
  <c r="D109" i="6"/>
  <c r="D108" i="6"/>
  <c r="D107" i="6"/>
  <c r="D106" i="6"/>
  <c r="D105" i="6"/>
  <c r="D104" i="6"/>
  <c r="D103" i="6"/>
  <c r="D102" i="6"/>
  <c r="D101" i="6"/>
  <c r="D100" i="6"/>
  <c r="D98" i="6"/>
  <c r="D99" i="6"/>
  <c r="H361" i="4"/>
  <c r="G361" i="4"/>
  <c r="F361" i="4"/>
  <c r="D93" i="6"/>
  <c r="D94" i="6"/>
  <c r="D95" i="6"/>
  <c r="D96" i="6"/>
  <c r="D97" i="6"/>
  <c r="H357" i="4"/>
  <c r="G357" i="4"/>
  <c r="F357" i="4"/>
  <c r="D92" i="6"/>
  <c r="D91" i="6"/>
  <c r="D90" i="6"/>
  <c r="D88" i="6"/>
  <c r="D89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H276" i="4"/>
  <c r="G276" i="4"/>
  <c r="F276" i="4"/>
  <c r="D66" i="6"/>
  <c r="D67" i="6"/>
  <c r="D65" i="6"/>
  <c r="D64" i="6"/>
  <c r="D63" i="6"/>
  <c r="D62" i="6"/>
  <c r="D61" i="6"/>
  <c r="D60" i="6"/>
  <c r="D59" i="6"/>
  <c r="D58" i="6"/>
  <c r="D57" i="6"/>
  <c r="D56" i="6"/>
  <c r="D54" i="6"/>
  <c r="D55" i="6"/>
  <c r="D52" i="6"/>
  <c r="D53" i="6"/>
  <c r="D51" i="6"/>
  <c r="D50" i="6"/>
  <c r="D49" i="6"/>
  <c r="H197" i="4"/>
  <c r="G197" i="4"/>
  <c r="F197" i="4"/>
  <c r="D48" i="6"/>
  <c r="D47" i="6"/>
  <c r="D46" i="6"/>
  <c r="D45" i="6"/>
  <c r="D44" i="6"/>
  <c r="D42" i="6"/>
  <c r="D43" i="6"/>
  <c r="D41" i="6"/>
  <c r="D40" i="6"/>
  <c r="D39" i="6"/>
  <c r="D38" i="6"/>
  <c r="D37" i="6"/>
  <c r="D36" i="6"/>
  <c r="D35" i="6"/>
  <c r="D34" i="6"/>
  <c r="D32" i="6"/>
  <c r="D33" i="6"/>
  <c r="D29" i="6"/>
  <c r="D28" i="6"/>
  <c r="D30" i="6"/>
  <c r="D27" i="6"/>
  <c r="D31" i="6"/>
  <c r="H122" i="4"/>
  <c r="G122" i="4"/>
  <c r="F122" i="4"/>
  <c r="D26" i="6"/>
  <c r="D25" i="6"/>
  <c r="D24" i="6"/>
  <c r="D22" i="6"/>
  <c r="D23" i="6"/>
  <c r="D21" i="6"/>
  <c r="D19" i="6"/>
  <c r="D18" i="6"/>
  <c r="D17" i="6"/>
  <c r="D20" i="6"/>
  <c r="D16" i="6"/>
  <c r="D15" i="6"/>
  <c r="D14" i="6"/>
  <c r="D13" i="6"/>
  <c r="D12" i="6"/>
  <c r="D10" i="6"/>
  <c r="D11" i="6"/>
  <c r="D8" i="6"/>
  <c r="D7" i="6"/>
  <c r="D6" i="6"/>
  <c r="D5" i="6"/>
  <c r="D9" i="6"/>
  <c r="H44" i="4"/>
  <c r="G44" i="4"/>
  <c r="F44" i="4"/>
  <c r="D4" i="6"/>
  <c r="D3" i="6"/>
  <c r="D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8" i="4"/>
  <c r="F359" i="4"/>
  <c r="F360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2" i="4"/>
  <c r="H1301" i="4"/>
  <c r="G1301" i="4"/>
  <c r="H1300" i="4"/>
  <c r="G1300" i="4"/>
  <c r="H1299" i="4"/>
  <c r="G1299" i="4"/>
  <c r="H1298" i="4"/>
  <c r="G1298" i="4"/>
  <c r="H1297" i="4"/>
  <c r="G1297" i="4"/>
  <c r="H1296" i="4"/>
  <c r="G1296" i="4"/>
  <c r="H1295" i="4"/>
  <c r="G1295" i="4"/>
  <c r="H1294" i="4"/>
  <c r="G1294" i="4"/>
  <c r="H1293" i="4"/>
  <c r="G1293" i="4"/>
  <c r="H1292" i="4"/>
  <c r="G1292" i="4"/>
  <c r="H1291" i="4"/>
  <c r="G1291" i="4"/>
  <c r="H1290" i="4"/>
  <c r="G1290" i="4"/>
  <c r="H1289" i="4"/>
  <c r="G1289" i="4"/>
  <c r="H1288" i="4"/>
  <c r="G1288" i="4"/>
  <c r="H1287" i="4"/>
  <c r="G1287" i="4"/>
  <c r="H1286" i="4"/>
  <c r="G1286" i="4"/>
  <c r="H1285" i="4"/>
  <c r="G1285" i="4"/>
  <c r="H1284" i="4"/>
  <c r="G1284" i="4"/>
  <c r="H1283" i="4"/>
  <c r="G1283" i="4"/>
  <c r="H1282" i="4"/>
  <c r="G1282" i="4"/>
  <c r="H1281" i="4"/>
  <c r="G1281" i="4"/>
  <c r="H1280" i="4"/>
  <c r="G1280" i="4"/>
  <c r="H1279" i="4"/>
  <c r="G1279" i="4"/>
  <c r="H1278" i="4"/>
  <c r="G1278" i="4"/>
  <c r="H1277" i="4"/>
  <c r="G1277" i="4"/>
  <c r="H1276" i="4"/>
  <c r="G1276" i="4"/>
  <c r="H1275" i="4"/>
  <c r="G1275" i="4"/>
  <c r="H1274" i="4"/>
  <c r="G1274" i="4"/>
  <c r="H1273" i="4"/>
  <c r="G1273" i="4"/>
  <c r="H1272" i="4"/>
  <c r="G1272" i="4"/>
  <c r="H1271" i="4"/>
  <c r="G1271" i="4"/>
  <c r="H1270" i="4"/>
  <c r="G1270" i="4"/>
  <c r="H1269" i="4"/>
  <c r="G1269" i="4"/>
  <c r="H1268" i="4"/>
  <c r="G1268" i="4"/>
  <c r="H1267" i="4"/>
  <c r="G1267" i="4"/>
  <c r="H1266" i="4"/>
  <c r="G1266" i="4"/>
  <c r="H1265" i="4"/>
  <c r="G1265" i="4"/>
  <c r="H1264" i="4"/>
  <c r="G1264" i="4"/>
  <c r="H1263" i="4"/>
  <c r="G1263" i="4"/>
  <c r="H1262" i="4"/>
  <c r="G1262" i="4"/>
  <c r="H1261" i="4"/>
  <c r="G1261" i="4"/>
  <c r="H1260" i="4"/>
  <c r="G1260" i="4"/>
  <c r="H1259" i="4"/>
  <c r="G1259" i="4"/>
  <c r="H1258" i="4"/>
  <c r="G1258" i="4"/>
  <c r="H1257" i="4"/>
  <c r="G1257" i="4"/>
  <c r="H1256" i="4"/>
  <c r="G1256" i="4"/>
  <c r="H1255" i="4"/>
  <c r="G1255" i="4"/>
  <c r="H1254" i="4"/>
  <c r="G1254" i="4"/>
  <c r="H1253" i="4"/>
  <c r="G1253" i="4"/>
  <c r="H1252" i="4"/>
  <c r="G1252" i="4"/>
  <c r="H1251" i="4"/>
  <c r="G1251" i="4"/>
  <c r="H1250" i="4"/>
  <c r="G1250" i="4"/>
  <c r="H1249" i="4"/>
  <c r="G1249" i="4"/>
  <c r="H1248" i="4"/>
  <c r="G1248" i="4"/>
  <c r="H1247" i="4"/>
  <c r="G1247" i="4"/>
  <c r="H1246" i="4"/>
  <c r="G1246" i="4"/>
  <c r="H1245" i="4"/>
  <c r="G1245" i="4"/>
  <c r="H1244" i="4"/>
  <c r="G1244" i="4"/>
  <c r="H1243" i="4"/>
  <c r="G1243" i="4"/>
  <c r="H1242" i="4"/>
  <c r="G1242" i="4"/>
  <c r="H1241" i="4"/>
  <c r="G1241" i="4"/>
  <c r="H1240" i="4"/>
  <c r="G1240" i="4"/>
  <c r="H1239" i="4"/>
  <c r="G1239" i="4"/>
  <c r="H1238" i="4"/>
  <c r="G1238" i="4"/>
  <c r="H1237" i="4"/>
  <c r="G1237" i="4"/>
  <c r="H1236" i="4"/>
  <c r="G1236" i="4"/>
  <c r="H1235" i="4"/>
  <c r="G1235" i="4"/>
  <c r="H1234" i="4"/>
  <c r="G1234" i="4"/>
  <c r="H1233" i="4"/>
  <c r="G1233" i="4"/>
  <c r="H1232" i="4"/>
  <c r="G1232" i="4"/>
  <c r="H1231" i="4"/>
  <c r="G1231" i="4"/>
  <c r="H1230" i="4"/>
  <c r="G1230" i="4"/>
  <c r="H1229" i="4"/>
  <c r="G1229" i="4"/>
  <c r="H1228" i="4"/>
  <c r="G1228" i="4"/>
  <c r="H1227" i="4"/>
  <c r="G1227" i="4"/>
  <c r="H1226" i="4"/>
  <c r="G1226" i="4"/>
  <c r="H1225" i="4"/>
  <c r="G1225" i="4"/>
  <c r="H1224" i="4"/>
  <c r="G1224" i="4"/>
  <c r="H1223" i="4"/>
  <c r="G1223" i="4"/>
  <c r="H1222" i="4"/>
  <c r="G1222" i="4"/>
  <c r="H1221" i="4"/>
  <c r="G1221" i="4"/>
  <c r="H1220" i="4"/>
  <c r="G1220" i="4"/>
  <c r="H1219" i="4"/>
  <c r="G1219" i="4"/>
  <c r="H1218" i="4"/>
  <c r="G1218" i="4"/>
  <c r="H1217" i="4"/>
  <c r="G1217" i="4"/>
  <c r="H1216" i="4"/>
  <c r="G1216" i="4"/>
  <c r="H1215" i="4"/>
  <c r="G1215" i="4"/>
  <c r="H1214" i="4"/>
  <c r="G1214" i="4"/>
  <c r="H1213" i="4"/>
  <c r="G1213" i="4"/>
  <c r="H1212" i="4"/>
  <c r="G1212" i="4"/>
  <c r="H1211" i="4"/>
  <c r="G1211" i="4"/>
  <c r="H1210" i="4"/>
  <c r="G1210" i="4"/>
  <c r="H1209" i="4"/>
  <c r="G1209" i="4"/>
  <c r="H1208" i="4"/>
  <c r="G1208" i="4"/>
  <c r="H1207" i="4"/>
  <c r="G1207" i="4"/>
  <c r="H1206" i="4"/>
  <c r="G1206" i="4"/>
  <c r="H1205" i="4"/>
  <c r="G1205" i="4"/>
  <c r="H1204" i="4"/>
  <c r="G1204" i="4"/>
  <c r="H1203" i="4"/>
  <c r="G1203" i="4"/>
  <c r="H1202" i="4"/>
  <c r="G1202" i="4"/>
  <c r="H1201" i="4"/>
  <c r="G1201" i="4"/>
  <c r="H1200" i="4"/>
  <c r="G1200" i="4"/>
  <c r="H1199" i="4"/>
  <c r="G1199" i="4"/>
  <c r="H1198" i="4"/>
  <c r="G1198" i="4"/>
  <c r="H1197" i="4"/>
  <c r="G1197" i="4"/>
  <c r="H1196" i="4"/>
  <c r="G1196" i="4"/>
  <c r="H1195" i="4"/>
  <c r="G1195" i="4"/>
  <c r="H1194" i="4"/>
  <c r="G1194" i="4"/>
  <c r="H1193" i="4"/>
  <c r="G1193" i="4"/>
  <c r="H1192" i="4"/>
  <c r="G1192" i="4"/>
  <c r="H1191" i="4"/>
  <c r="G1191" i="4"/>
  <c r="H1190" i="4"/>
  <c r="G1190" i="4"/>
  <c r="H1189" i="4"/>
  <c r="G1189" i="4"/>
  <c r="H1188" i="4"/>
  <c r="G1188" i="4"/>
  <c r="H1187" i="4"/>
  <c r="G1187" i="4"/>
  <c r="H1186" i="4"/>
  <c r="G1186" i="4"/>
  <c r="H1185" i="4"/>
  <c r="G1185" i="4"/>
  <c r="H1184" i="4"/>
  <c r="G1184" i="4"/>
  <c r="H1183" i="4"/>
  <c r="G1183" i="4"/>
  <c r="H1182" i="4"/>
  <c r="G1182" i="4"/>
  <c r="H1181" i="4"/>
  <c r="G1181" i="4"/>
  <c r="H1180" i="4"/>
  <c r="G1180" i="4"/>
  <c r="H1179" i="4"/>
  <c r="G1179" i="4"/>
  <c r="H1178" i="4"/>
  <c r="G1178" i="4"/>
  <c r="H1177" i="4"/>
  <c r="G1177" i="4"/>
  <c r="H1176" i="4"/>
  <c r="G1176" i="4"/>
  <c r="H1175" i="4"/>
  <c r="G1175" i="4"/>
  <c r="H1174" i="4"/>
  <c r="G1174" i="4"/>
  <c r="H1173" i="4"/>
  <c r="G1173" i="4"/>
  <c r="H1172" i="4"/>
  <c r="G1172" i="4"/>
  <c r="H1171" i="4"/>
  <c r="G1171" i="4"/>
  <c r="H1170" i="4"/>
  <c r="G1170" i="4"/>
  <c r="H1169" i="4"/>
  <c r="G1169" i="4"/>
  <c r="H1168" i="4"/>
  <c r="G1168" i="4"/>
  <c r="H1167" i="4"/>
  <c r="G1167" i="4"/>
  <c r="H1166" i="4"/>
  <c r="G1166" i="4"/>
  <c r="H1165" i="4"/>
  <c r="G1165" i="4"/>
  <c r="H1164" i="4"/>
  <c r="G1164" i="4"/>
  <c r="H1163" i="4"/>
  <c r="G1163" i="4"/>
  <c r="H1162" i="4"/>
  <c r="G1162" i="4"/>
  <c r="H1161" i="4"/>
  <c r="G1161" i="4"/>
  <c r="H1160" i="4"/>
  <c r="G1160" i="4"/>
  <c r="H1159" i="4"/>
  <c r="G1159" i="4"/>
  <c r="H1158" i="4"/>
  <c r="G1158" i="4"/>
  <c r="H1157" i="4"/>
  <c r="G1157" i="4"/>
  <c r="H1156" i="4"/>
  <c r="G1156" i="4"/>
  <c r="H1155" i="4"/>
  <c r="G1155" i="4"/>
  <c r="H1154" i="4"/>
  <c r="G1154" i="4"/>
  <c r="H1153" i="4"/>
  <c r="G1153" i="4"/>
  <c r="H1152" i="4"/>
  <c r="G1152" i="4"/>
  <c r="H1151" i="4"/>
  <c r="G1151" i="4"/>
  <c r="H1150" i="4"/>
  <c r="G1150" i="4"/>
  <c r="H1149" i="4"/>
  <c r="G1149" i="4"/>
  <c r="H1148" i="4"/>
  <c r="G1148" i="4"/>
  <c r="H1147" i="4"/>
  <c r="G1147" i="4"/>
  <c r="H1146" i="4"/>
  <c r="G1146" i="4"/>
  <c r="H1145" i="4"/>
  <c r="G1145" i="4"/>
  <c r="H1144" i="4"/>
  <c r="G1144" i="4"/>
  <c r="H1143" i="4"/>
  <c r="G1143" i="4"/>
  <c r="H1142" i="4"/>
  <c r="G1142" i="4"/>
  <c r="H1141" i="4"/>
  <c r="G1141" i="4"/>
  <c r="H1140" i="4"/>
  <c r="G1140" i="4"/>
  <c r="H1139" i="4"/>
  <c r="G1139" i="4"/>
  <c r="H1138" i="4"/>
  <c r="G1138" i="4"/>
  <c r="H1137" i="4"/>
  <c r="G1137" i="4"/>
  <c r="H1136" i="4"/>
  <c r="G1136" i="4"/>
  <c r="H1135" i="4"/>
  <c r="G1135" i="4"/>
  <c r="H1134" i="4"/>
  <c r="G1134" i="4"/>
  <c r="H1133" i="4"/>
  <c r="G1133" i="4"/>
  <c r="H1132" i="4"/>
  <c r="G1132" i="4"/>
  <c r="H1131" i="4"/>
  <c r="G1131" i="4"/>
  <c r="H1130" i="4"/>
  <c r="G1130" i="4"/>
  <c r="H1129" i="4"/>
  <c r="G1129" i="4"/>
  <c r="H1128" i="4"/>
  <c r="G1128" i="4"/>
  <c r="H1127" i="4"/>
  <c r="G1127" i="4"/>
  <c r="H1126" i="4"/>
  <c r="G1126" i="4"/>
  <c r="H1125" i="4"/>
  <c r="G1125" i="4"/>
  <c r="H1124" i="4"/>
  <c r="G1124" i="4"/>
  <c r="H1123" i="4"/>
  <c r="G1123" i="4"/>
  <c r="H1122" i="4"/>
  <c r="G1122" i="4"/>
  <c r="H1121" i="4"/>
  <c r="G1121" i="4"/>
  <c r="H1120" i="4"/>
  <c r="G1120" i="4"/>
  <c r="H1119" i="4"/>
  <c r="G1119" i="4"/>
  <c r="H1118" i="4"/>
  <c r="G1118" i="4"/>
  <c r="H1117" i="4"/>
  <c r="G1117" i="4"/>
  <c r="H1116" i="4"/>
  <c r="G1116" i="4"/>
  <c r="H1115" i="4"/>
  <c r="G1115" i="4"/>
  <c r="H1114" i="4"/>
  <c r="G1114" i="4"/>
  <c r="H1113" i="4"/>
  <c r="G1113" i="4"/>
  <c r="H1112" i="4"/>
  <c r="G1112" i="4"/>
  <c r="H1111" i="4"/>
  <c r="G1111" i="4"/>
  <c r="H1110" i="4"/>
  <c r="G1110" i="4"/>
  <c r="H1109" i="4"/>
  <c r="G1109" i="4"/>
  <c r="H1108" i="4"/>
  <c r="G1108" i="4"/>
  <c r="H1107" i="4"/>
  <c r="G1107" i="4"/>
  <c r="H1106" i="4"/>
  <c r="G1106" i="4"/>
  <c r="H1105" i="4"/>
  <c r="G1105" i="4"/>
  <c r="H1104" i="4"/>
  <c r="G1104" i="4"/>
  <c r="H1103" i="4"/>
  <c r="G1103" i="4"/>
  <c r="H1102" i="4"/>
  <c r="G1102" i="4"/>
  <c r="H1101" i="4"/>
  <c r="G1101" i="4"/>
  <c r="H1100" i="4"/>
  <c r="G1100" i="4"/>
  <c r="H1099" i="4"/>
  <c r="G1099" i="4"/>
  <c r="H1098" i="4"/>
  <c r="G1098" i="4"/>
  <c r="H1097" i="4"/>
  <c r="G1097" i="4"/>
  <c r="H1096" i="4"/>
  <c r="G1096" i="4"/>
  <c r="H1095" i="4"/>
  <c r="G1095" i="4"/>
  <c r="H1094" i="4"/>
  <c r="G1094" i="4"/>
  <c r="H1093" i="4"/>
  <c r="G1093" i="4"/>
  <c r="H1092" i="4"/>
  <c r="G1092" i="4"/>
  <c r="H1091" i="4"/>
  <c r="G1091" i="4"/>
  <c r="H1090" i="4"/>
  <c r="G1090" i="4"/>
  <c r="H1089" i="4"/>
  <c r="G1089" i="4"/>
  <c r="H1088" i="4"/>
  <c r="G1088" i="4"/>
  <c r="H1087" i="4"/>
  <c r="G1087" i="4"/>
  <c r="H1086" i="4"/>
  <c r="G1086" i="4"/>
  <c r="H1085" i="4"/>
  <c r="G1085" i="4"/>
  <c r="H1084" i="4"/>
  <c r="G1084" i="4"/>
  <c r="H1083" i="4"/>
  <c r="G1083" i="4"/>
  <c r="H1082" i="4"/>
  <c r="G1082" i="4"/>
  <c r="H1081" i="4"/>
  <c r="G1081" i="4"/>
  <c r="H1080" i="4"/>
  <c r="G1080" i="4"/>
  <c r="H1079" i="4"/>
  <c r="G1079" i="4"/>
  <c r="H1078" i="4"/>
  <c r="G1078" i="4"/>
  <c r="H1077" i="4"/>
  <c r="G1077" i="4"/>
  <c r="H1076" i="4"/>
  <c r="G1076" i="4"/>
  <c r="H1075" i="4"/>
  <c r="G1075" i="4"/>
  <c r="H1074" i="4"/>
  <c r="G1074" i="4"/>
  <c r="H1073" i="4"/>
  <c r="G1073" i="4"/>
  <c r="H1072" i="4"/>
  <c r="G1072" i="4"/>
  <c r="H1071" i="4"/>
  <c r="G1071" i="4"/>
  <c r="H1070" i="4"/>
  <c r="G1070" i="4"/>
  <c r="H1069" i="4"/>
  <c r="G1069" i="4"/>
  <c r="H1068" i="4"/>
  <c r="G1068" i="4"/>
  <c r="H1067" i="4"/>
  <c r="G1067" i="4"/>
  <c r="H1066" i="4"/>
  <c r="G1066" i="4"/>
  <c r="H1065" i="4"/>
  <c r="G1065" i="4"/>
  <c r="H1064" i="4"/>
  <c r="G1064" i="4"/>
  <c r="H1063" i="4"/>
  <c r="G1063" i="4"/>
  <c r="H1062" i="4"/>
  <c r="G1062" i="4"/>
  <c r="H1061" i="4"/>
  <c r="G1061" i="4"/>
  <c r="H1060" i="4"/>
  <c r="G1060" i="4"/>
  <c r="H1059" i="4"/>
  <c r="G1059" i="4"/>
  <c r="H1058" i="4"/>
  <c r="G1058" i="4"/>
  <c r="H1057" i="4"/>
  <c r="G1057" i="4"/>
  <c r="H1056" i="4"/>
  <c r="G1056" i="4"/>
  <c r="H1055" i="4"/>
  <c r="G1055" i="4"/>
  <c r="H1054" i="4"/>
  <c r="G1054" i="4"/>
  <c r="H1053" i="4"/>
  <c r="G1053" i="4"/>
  <c r="H1052" i="4"/>
  <c r="G1052" i="4"/>
  <c r="H1051" i="4"/>
  <c r="G1051" i="4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0" i="4"/>
  <c r="G360" i="4"/>
  <c r="H359" i="4"/>
  <c r="G359" i="4"/>
  <c r="H358" i="4"/>
  <c r="G358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2" i="1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054" i="2" l="1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2" i="2"/>
  <c r="D4" i="3" l="1" a="1"/>
  <c r="D4" i="3" s="1"/>
  <c r="C4" i="3" a="1"/>
  <c r="C4" i="3" s="1"/>
  <c r="H4" i="2" l="1" a="1"/>
  <c r="H4" i="2" l="1"/>
  <c r="L17" i="2"/>
  <c r="L5" i="2"/>
  <c r="L14" i="2"/>
  <c r="L8" i="2"/>
  <c r="L16" i="2"/>
  <c r="L9" i="2"/>
  <c r="L7" i="2"/>
  <c r="L10" i="2"/>
  <c r="L11" i="2"/>
  <c r="L15" i="2"/>
  <c r="L12" i="2"/>
  <c r="L6" i="2"/>
  <c r="L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<sst xmlns="http://schemas.openxmlformats.org/spreadsheetml/2006/main" count="11477" uniqueCount="1066">
  <si>
    <t>CODIGO</t>
  </si>
  <si>
    <t>DATA</t>
  </si>
  <si>
    <t>PRODUTO</t>
  </si>
  <si>
    <t>KGS</t>
  </si>
  <si>
    <t>VALOR</t>
  </si>
  <si>
    <t>1010500</t>
  </si>
  <si>
    <t>BUCHO CRU</t>
  </si>
  <si>
    <t>1010600</t>
  </si>
  <si>
    <t>CABEÇA C/OSSO</t>
  </si>
  <si>
    <t>1010700</t>
  </si>
  <si>
    <t>CABEÇA S/OSSO</t>
  </si>
  <si>
    <t>1010701</t>
  </si>
  <si>
    <t>BOCHECHAS</t>
  </si>
  <si>
    <t>1010732</t>
  </si>
  <si>
    <t>BOCHECHAS CONGELADAS</t>
  </si>
  <si>
    <t>1010900</t>
  </si>
  <si>
    <t>CHISPE CURTO MÃO</t>
  </si>
  <si>
    <t>1010901</t>
  </si>
  <si>
    <t>CHISPE CURTO PÉ</t>
  </si>
  <si>
    <t>1011000</t>
  </si>
  <si>
    <t>COLADAS C/ FIGADO</t>
  </si>
  <si>
    <t>1011100</t>
  </si>
  <si>
    <t>COLADAS S/FIGADO</t>
  </si>
  <si>
    <t>1011200</t>
  </si>
  <si>
    <t>CORAÇÃO</t>
  </si>
  <si>
    <t>FATOS</t>
  </si>
  <si>
    <t>1011500</t>
  </si>
  <si>
    <t>FIGADO</t>
  </si>
  <si>
    <t>1011604</t>
  </si>
  <si>
    <t>GORDO</t>
  </si>
  <si>
    <t>1011700</t>
  </si>
  <si>
    <t>LINGUAS</t>
  </si>
  <si>
    <t>1011800</t>
  </si>
  <si>
    <t>MÃOS</t>
  </si>
  <si>
    <t>1011801</t>
  </si>
  <si>
    <t>MÃOS CONGELADAS</t>
  </si>
  <si>
    <t>1011901</t>
  </si>
  <si>
    <t>OSSOS ASSUÃ FRESCOS</t>
  </si>
  <si>
    <t>1012200</t>
  </si>
  <si>
    <t>PERNIL</t>
  </si>
  <si>
    <t>1012201</t>
  </si>
  <si>
    <t>TOCOS FRESCOS MÃO</t>
  </si>
  <si>
    <t>1012203</t>
  </si>
  <si>
    <t>TOCOS FRESCOS PÉ</t>
  </si>
  <si>
    <t>1012300</t>
  </si>
  <si>
    <t>RABOS</t>
  </si>
  <si>
    <t>1012301</t>
  </si>
  <si>
    <t>RABOS CONGELADO</t>
  </si>
  <si>
    <t>1012400</t>
  </si>
  <si>
    <t>REDENHO</t>
  </si>
  <si>
    <t>1012401</t>
  </si>
  <si>
    <t>REDENHO CONGELADO</t>
  </si>
  <si>
    <t>1012500</t>
  </si>
  <si>
    <t>RINS</t>
  </si>
  <si>
    <t>1012601</t>
  </si>
  <si>
    <t>SANGUE LIQUIDO 5LT</t>
  </si>
  <si>
    <t>1013100</t>
  </si>
  <si>
    <t>TRIPA FINA</t>
  </si>
  <si>
    <t>1013200</t>
  </si>
  <si>
    <t>TRIPA GROSSA</t>
  </si>
  <si>
    <t>1013500</t>
  </si>
  <si>
    <t>VEUS</t>
  </si>
  <si>
    <t>1100100</t>
  </si>
  <si>
    <t>CARCAÇA</t>
  </si>
  <si>
    <t>1100101</t>
  </si>
  <si>
    <t>CARCAÇA MACHO</t>
  </si>
  <si>
    <t>1100200</t>
  </si>
  <si>
    <t>LOMBADA</t>
  </si>
  <si>
    <t>1100300</t>
  </si>
  <si>
    <t>PERNA LOMBADA</t>
  </si>
  <si>
    <t>1100301</t>
  </si>
  <si>
    <t>PERNA YORK</t>
  </si>
  <si>
    <t>1100400</t>
  </si>
  <si>
    <t>PERNA P/PRESUNTO</t>
  </si>
  <si>
    <t>1100500</t>
  </si>
  <si>
    <t>PERNA P/PRESUNTO C/CHISPE</t>
  </si>
  <si>
    <t>1100600</t>
  </si>
  <si>
    <t>FEVERA PERNA</t>
  </si>
  <si>
    <t>1100602</t>
  </si>
  <si>
    <t>LOMBELOS</t>
  </si>
  <si>
    <t>1100608</t>
  </si>
  <si>
    <t>FEVERA PERNA VACUO</t>
  </si>
  <si>
    <t>1100700</t>
  </si>
  <si>
    <t>LOMBO</t>
  </si>
  <si>
    <t>LOMBO S/OSSO</t>
  </si>
  <si>
    <t>1100703</t>
  </si>
  <si>
    <t>CINTA DO LOMBO</t>
  </si>
  <si>
    <t>1100705</t>
  </si>
  <si>
    <t>ROSARIOS</t>
  </si>
  <si>
    <t>1100800</t>
  </si>
  <si>
    <t>LOMBO S/CABEÇO</t>
  </si>
  <si>
    <t>1100801</t>
  </si>
  <si>
    <t>LOMBO S/CABEÇO CONGELADO</t>
  </si>
  <si>
    <t>1100900</t>
  </si>
  <si>
    <t>COSTELA LOMBO</t>
  </si>
  <si>
    <t>1101000</t>
  </si>
  <si>
    <t>CABEÇO LOMBO</t>
  </si>
  <si>
    <t>1101001</t>
  </si>
  <si>
    <t>CABEÇO LOMBO S/OSSO</t>
  </si>
  <si>
    <t>1101100</t>
  </si>
  <si>
    <t>BARRIGA</t>
  </si>
  <si>
    <t>1101300</t>
  </si>
  <si>
    <t>PÁ</t>
  </si>
  <si>
    <t>1101400</t>
  </si>
  <si>
    <t>PÁ S/COURO C/OSSO</t>
  </si>
  <si>
    <t>1101500</t>
  </si>
  <si>
    <t>PÁ C/COURO C/OSSO</t>
  </si>
  <si>
    <t>1101600</t>
  </si>
  <si>
    <t>PÁ C/COURO C/OSSO C/MÃO</t>
  </si>
  <si>
    <t>1101700</t>
  </si>
  <si>
    <t>PÁ YORK</t>
  </si>
  <si>
    <t>1101801</t>
  </si>
  <si>
    <t>PÁ YORK C/COURO</t>
  </si>
  <si>
    <t>1101900</t>
  </si>
  <si>
    <t>FEVERA PÁ</t>
  </si>
  <si>
    <t>COSTELA</t>
  </si>
  <si>
    <t>1102200</t>
  </si>
  <si>
    <t>LOMBO C/COURO</t>
  </si>
  <si>
    <t>1102300</t>
  </si>
  <si>
    <t>CARCAÇA S/PÁ S/CABEÇA</t>
  </si>
  <si>
    <t>1103000</t>
  </si>
  <si>
    <t>PONTAS DE COSTELA</t>
  </si>
  <si>
    <t>1103001</t>
  </si>
  <si>
    <t>PONTAS DE COSTELA CONGELADAS</t>
  </si>
  <si>
    <t>2010900</t>
  </si>
  <si>
    <t>CHISPE CURTO MÃO CONGELADO</t>
  </si>
  <si>
    <t>2010902</t>
  </si>
  <si>
    <t>CHISPE CURTO PÉ CONGELADO</t>
  </si>
  <si>
    <t>2011700</t>
  </si>
  <si>
    <t>OUVIDOS CONGELADOS</t>
  </si>
  <si>
    <t>3020103</t>
  </si>
  <si>
    <t>CHOURIÇO CRIOLO 1 KG</t>
  </si>
  <si>
    <t>3020212</t>
  </si>
  <si>
    <t>CHOURIÇO CRIOLO PARES</t>
  </si>
  <si>
    <t>3020214</t>
  </si>
  <si>
    <t>CHOURIÇO CRIOLO PICANTE 4 UNID</t>
  </si>
  <si>
    <t>3020315</t>
  </si>
  <si>
    <t>CHOURIÇO CRIOLO 4 UNIDADES</t>
  </si>
  <si>
    <t>3020316</t>
  </si>
  <si>
    <t>CHOURIÇO CRIOLO MEDIO</t>
  </si>
  <si>
    <t>3020402</t>
  </si>
  <si>
    <t>CHOURIÇO CRIOLO CURTO</t>
  </si>
  <si>
    <t>3020504</t>
  </si>
  <si>
    <t>CHOURIÇO CRIOLO ESPECIAL</t>
  </si>
  <si>
    <t>3020622</t>
  </si>
  <si>
    <t>FIAMBRE PERNA PG</t>
  </si>
  <si>
    <t>3020623</t>
  </si>
  <si>
    <t>FIAMBRE PERNA PG S/COURO</t>
  </si>
  <si>
    <t>3020725</t>
  </si>
  <si>
    <t>FIAMBRE PERNA QUAD. GR</t>
  </si>
  <si>
    <t>3020823</t>
  </si>
  <si>
    <t>FIAMBRE PERNA MINI</t>
  </si>
  <si>
    <t>3020824</t>
  </si>
  <si>
    <t>FIAMBRE PERNA MINI S/COURO</t>
  </si>
  <si>
    <t>3020924</t>
  </si>
  <si>
    <t>FIAMBRE PERNA 1/2</t>
  </si>
  <si>
    <t>3020925</t>
  </si>
  <si>
    <t>FIAMBRE PERNA BARRA</t>
  </si>
  <si>
    <t>3021435</t>
  </si>
  <si>
    <t>FIAMBRE PÁ PG</t>
  </si>
  <si>
    <t>3021537</t>
  </si>
  <si>
    <t>FIAMBRE PÁ MINI</t>
  </si>
  <si>
    <t>3021638</t>
  </si>
  <si>
    <t>FIAMBRE PÁ 1/2</t>
  </si>
  <si>
    <t>3021739</t>
  </si>
  <si>
    <t>FIAMBRE PÁ BARRA</t>
  </si>
  <si>
    <t>3021760</t>
  </si>
  <si>
    <t>FIAMBRE SANDWICH</t>
  </si>
  <si>
    <t>3021811</t>
  </si>
  <si>
    <t>FILETE AFIAMBRADO</t>
  </si>
  <si>
    <t>3021812</t>
  </si>
  <si>
    <t>FILETE AFIAMBRADO BARRA</t>
  </si>
  <si>
    <t>3022100</t>
  </si>
  <si>
    <t>SALSICHA FRESCA PICANTE</t>
  </si>
  <si>
    <t>3022208</t>
  </si>
  <si>
    <t>3022311</t>
  </si>
  <si>
    <t>MORTADELA</t>
  </si>
  <si>
    <t>3022411</t>
  </si>
  <si>
    <t>MORTADELA C/AZEITONA</t>
  </si>
  <si>
    <t>3022511</t>
  </si>
  <si>
    <t>MORTADELA MINI</t>
  </si>
  <si>
    <t>3022601</t>
  </si>
  <si>
    <t>BANHA 250 GR</t>
  </si>
  <si>
    <t>3022703</t>
  </si>
  <si>
    <t>BANHA 1KG</t>
  </si>
  <si>
    <t>3022805</t>
  </si>
  <si>
    <t>BANHA 5 KG</t>
  </si>
  <si>
    <t>3022906</t>
  </si>
  <si>
    <t>BANHA 10 KG</t>
  </si>
  <si>
    <t>3023007</t>
  </si>
  <si>
    <t>BANHA 20 KG</t>
  </si>
  <si>
    <t>3024001</t>
  </si>
  <si>
    <t>TRIPAS ENFARINHADA S/</t>
  </si>
  <si>
    <t>3024002</t>
  </si>
  <si>
    <t>TRIPAS ENFARINHADA C/</t>
  </si>
  <si>
    <t>3024003</t>
  </si>
  <si>
    <t>BUCHO COZIDO</t>
  </si>
  <si>
    <t>3024004</t>
  </si>
  <si>
    <t>SANGUE COZIDO</t>
  </si>
  <si>
    <t>4030100</t>
  </si>
  <si>
    <t>BACON INTEIRO EXTRA NE</t>
  </si>
  <si>
    <t>4030211</t>
  </si>
  <si>
    <t>BACON 1/2 EXTRA SC IND</t>
  </si>
  <si>
    <t>4030311</t>
  </si>
  <si>
    <t>BACON FATIAS</t>
  </si>
  <si>
    <t>4030401</t>
  </si>
  <si>
    <t>BACON INTEIRO CORRENTE</t>
  </si>
  <si>
    <t>4030511</t>
  </si>
  <si>
    <t>BACON 1/2 GORDO SC IND</t>
  </si>
  <si>
    <t>4030532</t>
  </si>
  <si>
    <t>BACON 1/2 CORRENTE SC IND</t>
  </si>
  <si>
    <t>4030600</t>
  </si>
  <si>
    <t>CABEÇA FUMADA NE</t>
  </si>
  <si>
    <t>4030711</t>
  </si>
  <si>
    <t>CABEÇA FUMADA SC IND</t>
  </si>
  <si>
    <t>4030811</t>
  </si>
  <si>
    <t>CHOURIÇÃO</t>
  </si>
  <si>
    <t>4030813</t>
  </si>
  <si>
    <t>CHOURIÇÃO VINHO</t>
  </si>
  <si>
    <t>4030900</t>
  </si>
  <si>
    <t>CHOURIÇO COLORAU NE</t>
  </si>
  <si>
    <t>4030910</t>
  </si>
  <si>
    <t>CHOURIÇÃO BARRA</t>
  </si>
  <si>
    <t>4031012</t>
  </si>
  <si>
    <t>CHOURIÇO COLORAU PARES</t>
  </si>
  <si>
    <t>4031017</t>
  </si>
  <si>
    <t>CHOURIÇO COLORAU EMB.200 GR</t>
  </si>
  <si>
    <t>4031102</t>
  </si>
  <si>
    <t>CHOURIÇO COLORAU SC</t>
  </si>
  <si>
    <t>4031200</t>
  </si>
  <si>
    <t>CHOURIÇO VINHO ARGOLA NE</t>
  </si>
  <si>
    <t>4031304</t>
  </si>
  <si>
    <t>CHOURIÇO VINHO ARGOLA SC</t>
  </si>
  <si>
    <t>4031411</t>
  </si>
  <si>
    <t>CHOURIÇO VINHO ARGOLA SC IND</t>
  </si>
  <si>
    <t>4031500</t>
  </si>
  <si>
    <t>CHOURIÇO VINHO FINO NE</t>
  </si>
  <si>
    <t>4031604</t>
  </si>
  <si>
    <t>CHOURIÇO VINHO FINO SC</t>
  </si>
  <si>
    <t>4031605</t>
  </si>
  <si>
    <t>CHOURIÇO VINHO FINO PARES</t>
  </si>
  <si>
    <t>4031700</t>
  </si>
  <si>
    <t>CHOURIÇO VINHO GROSSO NE</t>
  </si>
  <si>
    <t>4031812</t>
  </si>
  <si>
    <t>CHOURIÇO VINHO GROSSO PARES</t>
  </si>
  <si>
    <t>4031904</t>
  </si>
  <si>
    <t>CHOURIÇO VINHO GROSSO SC</t>
  </si>
  <si>
    <t>4032111</t>
  </si>
  <si>
    <t>CHOURIÇO EXTRA SC IND.</t>
  </si>
  <si>
    <t>4032204</t>
  </si>
  <si>
    <t>CHOURIÇO EXTRA SC SC</t>
  </si>
  <si>
    <t>4032312</t>
  </si>
  <si>
    <t>LINGUIÇA PARES</t>
  </si>
  <si>
    <t>4032404</t>
  </si>
  <si>
    <t>LINGUIÇA SC</t>
  </si>
  <si>
    <t>4032500</t>
  </si>
  <si>
    <t>MORCELA NE</t>
  </si>
  <si>
    <t>4032611</t>
  </si>
  <si>
    <t>MORCELA SC IND</t>
  </si>
  <si>
    <t>4032704</t>
  </si>
  <si>
    <t>MORCELA SC</t>
  </si>
  <si>
    <t>4032800</t>
  </si>
  <si>
    <t>OUVIDOS FUMADOS NE</t>
  </si>
  <si>
    <t>4032902</t>
  </si>
  <si>
    <t>OUVIDOS FUMADOS SC</t>
  </si>
  <si>
    <t>4033011</t>
  </si>
  <si>
    <t>PÁ FUMADA FATIAS</t>
  </si>
  <si>
    <t>4033111</t>
  </si>
  <si>
    <t>PÁ FUMADA INTEIRA</t>
  </si>
  <si>
    <t>4033211</t>
  </si>
  <si>
    <t>PÁ FUMADA 1/2</t>
  </si>
  <si>
    <t>4033311</t>
  </si>
  <si>
    <t>PAIO LOMBO</t>
  </si>
  <si>
    <t>4033400</t>
  </si>
  <si>
    <t>PERNIL FUMADO NE</t>
  </si>
  <si>
    <t>4033511</t>
  </si>
  <si>
    <t>PERNIL FUMADO SC IND</t>
  </si>
  <si>
    <t>4033900</t>
  </si>
  <si>
    <t>SALPICÃO NE</t>
  </si>
  <si>
    <t>4034011</t>
  </si>
  <si>
    <t>SALPICÃO SC IND</t>
  </si>
  <si>
    <t>4034211</t>
  </si>
  <si>
    <t>SALSICHÃO</t>
  </si>
  <si>
    <t>4034400</t>
  </si>
  <si>
    <t>UNHAS FUMADAS NE</t>
  </si>
  <si>
    <t>4034502</t>
  </si>
  <si>
    <t>UNHAS FUMADAS SC</t>
  </si>
  <si>
    <t>PESCADA FILTE</t>
  </si>
  <si>
    <t>BACALHAU FIL.SV C/PELE MIX</t>
  </si>
  <si>
    <t>BACALHAU FIL.SV C/P 100/200 2ª</t>
  </si>
  <si>
    <t>BACALHAU FIL.SV C/P 100/200 1º</t>
  </si>
  <si>
    <t>BACALHAU FIL.SV C/P 200/400 1ª</t>
  </si>
  <si>
    <t>SAITHE MIGAS SALGADO VERDE</t>
  </si>
  <si>
    <t>COLADAS S/ FIGADO</t>
  </si>
  <si>
    <t>1011300</t>
  </si>
  <si>
    <t>COURATOS</t>
  </si>
  <si>
    <t>1011501</t>
  </si>
  <si>
    <t>FIGADO CONGELADO</t>
  </si>
  <si>
    <t>LINGUAS CONGELADAS</t>
  </si>
  <si>
    <t>1011900</t>
  </si>
  <si>
    <t xml:space="preserve">OSSOS </t>
  </si>
  <si>
    <t>1012100</t>
  </si>
  <si>
    <t>PANCREAS</t>
  </si>
  <si>
    <t>1100603</t>
  </si>
  <si>
    <t>LOMBELOS CONGELADOS</t>
  </si>
  <si>
    <t>ROSARIOS CONGELADOS</t>
  </si>
  <si>
    <t>LOMBO S/CABEÇO C/COURO</t>
  </si>
  <si>
    <t>SALSICHA FRESCA</t>
  </si>
  <si>
    <t>MORTADELA C/COGUMELOS</t>
  </si>
  <si>
    <t>BANHA 1 KG</t>
  </si>
  <si>
    <t>BACON 1/2 MOLDADO S/COURO</t>
  </si>
  <si>
    <t>BACON FATIAS SC IND</t>
  </si>
  <si>
    <t>BACON INTEIRO GORDO NE</t>
  </si>
  <si>
    <t>CHOURIÇO VINHO GROSSO BEM 200</t>
  </si>
  <si>
    <t>CHOURIÇO EXTRA SC IND</t>
  </si>
  <si>
    <t>CHOURIÇO EXTRA SC</t>
  </si>
  <si>
    <t xml:space="preserve">DESFIADO IQF BACALHAU DEM.GRN </t>
  </si>
  <si>
    <t>BACALHAU DE.LOMBO MEDIO 300/400</t>
  </si>
  <si>
    <t>BACALHAU DEM.LOMBO MÉD.300/400</t>
  </si>
  <si>
    <t xml:space="preserve">BACALHAU DEM.LOMBINHOS S/CALIB </t>
  </si>
  <si>
    <t xml:space="preserve">BACALHAU DEM.LOMBINHOS </t>
  </si>
  <si>
    <t>MOELAS DE FRANGO - SACO 1 KG</t>
  </si>
  <si>
    <t>FILETES FRANGO PANADOS CONG.</t>
  </si>
  <si>
    <t>NUGGETS DE FRANGO CONGELADOS</t>
  </si>
  <si>
    <t>BIFES FRANGO PANADOS CONGEL.</t>
  </si>
  <si>
    <t>PALOCO MIGAS SALG.SECO SC 5KG</t>
  </si>
  <si>
    <t>SARDINHA INTEIRA SACO 900GR</t>
  </si>
  <si>
    <t>ESPADARTE HGT 30/50</t>
  </si>
  <si>
    <t>SALMÃO FIL C/P 400/1000 AV 10K</t>
  </si>
  <si>
    <t xml:space="preserve">POLVO INTEIRO LIMPO -400GR HIG </t>
  </si>
  <si>
    <t>1010200         BAÇOS</t>
  </si>
  <si>
    <t>BAÇOS</t>
  </si>
  <si>
    <t>1010300         BOCHE</t>
  </si>
  <si>
    <t>BOCHE</t>
  </si>
  <si>
    <t>CABEÇA C/ OSSO</t>
  </si>
  <si>
    <t>CABEÇA S/ OSSO</t>
  </si>
  <si>
    <t>CHISPE CURTO DA MÃO</t>
  </si>
  <si>
    <t>CHISPE CURTO DO PÉ</t>
  </si>
  <si>
    <t>AORTA</t>
  </si>
  <si>
    <t>1011202         TRAQUEIA</t>
  </si>
  <si>
    <t>TRAQUEIA</t>
  </si>
  <si>
    <t>1011203         ESÓFAGO</t>
  </si>
  <si>
    <t>ESÓFAGO</t>
  </si>
  <si>
    <t>1011204         PÉNIS</t>
  </si>
  <si>
    <t>PÉNIS</t>
  </si>
  <si>
    <t>OSSOS</t>
  </si>
  <si>
    <t>TRIPA FINA PARA CALIBRAÇÃO</t>
  </si>
  <si>
    <t>TRIPA GROSSA CONGELADA</t>
  </si>
  <si>
    <t>TUBAROS</t>
  </si>
  <si>
    <t>FEVERA PERNA VÁCUO</t>
  </si>
  <si>
    <t>BARRIGA SEM PONTA</t>
  </si>
  <si>
    <t>BIFANAS FINAS</t>
  </si>
  <si>
    <t>FEVERA PÁ VACUO</t>
  </si>
  <si>
    <t>BACALHAU FIL 500/1000G MACROC.</t>
  </si>
  <si>
    <t xml:space="preserve"> BACALHAU SV CORRENTE</t>
  </si>
  <si>
    <t xml:space="preserve">BACALHAU SV CRESCIDO </t>
  </si>
  <si>
    <t>BACALHAU SV CRESCIDO +</t>
  </si>
  <si>
    <t>BACALHAU SV ESPECIAL</t>
  </si>
  <si>
    <t xml:space="preserve">BACALHAU SV GRAÚDO </t>
  </si>
  <si>
    <t>BACALHAU SV CORRENTE SORTIDO</t>
  </si>
  <si>
    <t>BACALHAU SV CRESCIDO SORTIDO</t>
  </si>
  <si>
    <t>BACALHAU SV CRESCIDO + SORTIDO</t>
  </si>
  <si>
    <t>BACALHAU SV ESPECIAL SORTIDO</t>
  </si>
  <si>
    <t>BACALHAU SV GRAÚDO SORTIDO</t>
  </si>
  <si>
    <t>PALOCO FIL SACO 800G</t>
  </si>
  <si>
    <t xml:space="preserve">SARDINHA FILETE SACO 700G </t>
  </si>
  <si>
    <t>MARMOTA RABO NA BOCA SACO 800G</t>
  </si>
  <si>
    <t>DOURADA FIL C/P 120/160 AV 5KG</t>
  </si>
  <si>
    <t>ROBALO FIL C/P 120/160 AV 5KG</t>
  </si>
  <si>
    <t xml:space="preserve">PEIXE-VERMELHO HG 200/300 AV </t>
  </si>
  <si>
    <t>CAVALA FIL 90/130G AV 5KG</t>
  </si>
  <si>
    <t>PESCADA CHOURIÇ RODEL. AV 6KG</t>
  </si>
  <si>
    <t>TINTUREIRA POSTA S/P AV 8KG</t>
  </si>
  <si>
    <t>SARDINHA 8/12 AV 10KG</t>
  </si>
  <si>
    <t>POTA TENTAC COZ RODELAS SC 1KG</t>
  </si>
  <si>
    <t xml:space="preserve">POTA TENTAC CUVETE 800G  </t>
  </si>
  <si>
    <t>POTA TENTAC AV 7KG</t>
  </si>
  <si>
    <t>POLVO 1500/2000 HIG</t>
  </si>
  <si>
    <t>POLVO 4000/5000 HIG</t>
  </si>
  <si>
    <t>POLVO 5000/6000 HIG</t>
  </si>
  <si>
    <t>AMEIJOA BRC. VIET 40/60 VC 1KG</t>
  </si>
  <si>
    <t>BARRITAS PESCADA SACO 1KG</t>
  </si>
  <si>
    <t>CAMARAO BT 6/8 CX 10X0.75 KG</t>
  </si>
  <si>
    <t>CAMARAO BT 8/12 CX 10X0.75KG</t>
  </si>
  <si>
    <t>CAMARAO BT 13/15 CX 10X0.75KG</t>
  </si>
  <si>
    <t xml:space="preserve">CAMARAO BT 16/20 CX 10X0.75KG </t>
  </si>
  <si>
    <t>CAMARAO BT 21/30 CX 10X0.75KG</t>
  </si>
  <si>
    <t>CAMARAO BT 31/40 CX 10X0.75KG</t>
  </si>
  <si>
    <t>RINS CONGELADOS</t>
  </si>
  <si>
    <t>TOUCINHO GORDO S/COURO</t>
  </si>
  <si>
    <t>TOUCINHO GORDO CONGELADO</t>
  </si>
  <si>
    <t>BACALHAU POSTINHAS SC 800GR</t>
  </si>
  <si>
    <t>BACALHAU DEM.POSTA SUO 400/600</t>
  </si>
  <si>
    <t>BACALHAU DEM. HG CRESCIDO</t>
  </si>
  <si>
    <t>PESCADA HG ARG 3L 1200/1500 EN</t>
  </si>
  <si>
    <t>PESCADA FIL S/P +200G AV</t>
  </si>
  <si>
    <t>PESCADA CHOURIÇO ARG CB-CX14KG</t>
  </si>
  <si>
    <t>PEIXE-VERMELHO HG 300/500 AV</t>
  </si>
  <si>
    <t>PEIXE-VERMELHO HG 500/700 AV</t>
  </si>
  <si>
    <t>ABROTEA FIL +300G SNG AV 8KG</t>
  </si>
  <si>
    <t>SALMONETE FIL SNG AV 3KG</t>
  </si>
  <si>
    <t>LINGUA FIL SNG AV 2KG</t>
  </si>
  <si>
    <t>LINGUA S/C 150/300G SNG AV 8KG</t>
  </si>
  <si>
    <t>ABROTEA FIL 100/200 SNG AV 8KG</t>
  </si>
  <si>
    <t>ABROTEA FIL 200/300 SNG AV 8KG</t>
  </si>
  <si>
    <t>ABROTEA FIL 70/100 SNG AV 8KG</t>
  </si>
  <si>
    <t>LULA LIMPA IND 10/20 SC 800G</t>
  </si>
  <si>
    <t>CHOCO LIMPO IND 20/40 SC 700G</t>
  </si>
  <si>
    <t>POLVO 700/1500 HIG</t>
  </si>
  <si>
    <t>POLVO 2000/3000 HIG</t>
  </si>
  <si>
    <t>LULA INT 3/6CM ENTUBADO BL12KG</t>
  </si>
  <si>
    <t>POLVO COZIDO 400/700 VC</t>
  </si>
  <si>
    <t>POTA TENTÁCULO CUVETE 800G</t>
  </si>
  <si>
    <t>AMEIJOA BRC. VIET 60/80 VC 1KG</t>
  </si>
  <si>
    <t>MEXILHÃO INTEIRO 40/60 VC 1KG</t>
  </si>
  <si>
    <t>MEXILHÃO INTEIRO 200/300 AV 10KG</t>
  </si>
  <si>
    <t>AMEIJOA CAS. VIET 40/60 VC 1KG</t>
  </si>
  <si>
    <t>MARISCADA S/GLUTEN AV 8KG</t>
  </si>
  <si>
    <t>MARISCADA S/GLUTEN CV 6X0,8KG</t>
  </si>
  <si>
    <t>RISSOIS BACALHAU 30G 12X360G</t>
  </si>
  <si>
    <t>COROQUETES CARNE 30G 12X360G</t>
  </si>
  <si>
    <t>BOLINHOS BACALHAU 30G 10X360G</t>
  </si>
  <si>
    <t>RISSOIS CARNE 30G 10X360G</t>
  </si>
  <si>
    <t>BOLINHOS BACALHAU 12X360G</t>
  </si>
  <si>
    <t>DELICIAS DO MAR S/GLUTEN AV</t>
  </si>
  <si>
    <t>SALMAO FUMADO PLACA 1KG APROX</t>
  </si>
  <si>
    <t>1010200</t>
  </si>
  <si>
    <t>1010300</t>
  </si>
  <si>
    <t>1010800</t>
  </si>
  <si>
    <t>CALUGA</t>
  </si>
  <si>
    <t>1010902</t>
  </si>
  <si>
    <t>UNHA MÃO</t>
  </si>
  <si>
    <t>1011201</t>
  </si>
  <si>
    <t>1011202</t>
  </si>
  <si>
    <t>1011203</t>
  </si>
  <si>
    <t>1011204</t>
  </si>
  <si>
    <t>1011902</t>
  </si>
  <si>
    <t>OSSOS ASSUÃ CONGELADOS</t>
  </si>
  <si>
    <t>1012800</t>
  </si>
  <si>
    <t>TOUCINHO GORDO S/ COURO</t>
  </si>
  <si>
    <t>1013101</t>
  </si>
  <si>
    <t>1013201</t>
  </si>
  <si>
    <t>1013202</t>
  </si>
  <si>
    <t>TRIPA CRUA GROSSA</t>
  </si>
  <si>
    <t>1013300</t>
  </si>
  <si>
    <t>1100802</t>
  </si>
  <si>
    <t>PÁ C/COURO C/OSSO C/M?O</t>
  </si>
  <si>
    <t>1101901</t>
  </si>
  <si>
    <t>FEVERA PÁ CONGELADA</t>
  </si>
  <si>
    <t>1101902</t>
  </si>
  <si>
    <t>2090002</t>
  </si>
  <si>
    <t>FIAMBRE DE PERU MINI</t>
  </si>
  <si>
    <t>2101100</t>
  </si>
  <si>
    <t>BARRIGA SEM OSSO CONGELADA</t>
  </si>
  <si>
    <t>3020825</t>
  </si>
  <si>
    <t>FIAMBRE PERNA EXTRA MINI</t>
  </si>
  <si>
    <t>3021639</t>
  </si>
  <si>
    <t>FIAMBRE ENCOSTA SOBREIRO 1/2</t>
  </si>
  <si>
    <t>3021740</t>
  </si>
  <si>
    <t>FIAMBRE ENCOSTA SOBREIRO BARRA</t>
  </si>
  <si>
    <t>4030400</t>
  </si>
  <si>
    <t>BACON INTEIRO CORRENTE NE</t>
  </si>
  <si>
    <t>CHOURÇÃO VINHO</t>
  </si>
  <si>
    <t>4031813</t>
  </si>
  <si>
    <t>CHOUR.VINHO GROSSO EMB.200 GR.</t>
  </si>
  <si>
    <t>8040012</t>
  </si>
  <si>
    <t xml:space="preserve">BACALHAU POSTINHAS SC 800 GR </t>
  </si>
  <si>
    <t>8040033</t>
  </si>
  <si>
    <t xml:space="preserve">BACALHAU DEM. LOMBO MED CX900G   </t>
  </si>
  <si>
    <t>8040036</t>
  </si>
  <si>
    <t>BACALHAU LOMBO MED 200/300 HIG</t>
  </si>
  <si>
    <t>8040037</t>
  </si>
  <si>
    <t xml:space="preserve">BACALHAU DEM LOMBO 300/400 HIG </t>
  </si>
  <si>
    <t>8050002</t>
  </si>
  <si>
    <t xml:space="preserve">FILETES FRANGO PANADOS CONG.   </t>
  </si>
  <si>
    <t>8050003</t>
  </si>
  <si>
    <t>8050004</t>
  </si>
  <si>
    <t xml:space="preserve">BIFES FRANGO PANADOS CONGEL.  </t>
  </si>
  <si>
    <t>8050005</t>
  </si>
  <si>
    <t xml:space="preserve">NUGGETS DE FRANGO CONG-LOJA      </t>
  </si>
  <si>
    <t>8070003</t>
  </si>
  <si>
    <t xml:space="preserve">SALMÃO FIL C/P 400/1000 AV 10K </t>
  </si>
  <si>
    <t>8070008</t>
  </si>
  <si>
    <t xml:space="preserve">ROBALO FIL C/P 120/160 AV 5KG  </t>
  </si>
  <si>
    <t>8070026</t>
  </si>
  <si>
    <t xml:space="preserve">TAMBORIL HG 300/500 CHN AV10KG  </t>
  </si>
  <si>
    <t>8070027</t>
  </si>
  <si>
    <t xml:space="preserve">TAMBORIL HG 500/700 CHN AV10KG </t>
  </si>
  <si>
    <t>8070028</t>
  </si>
  <si>
    <t>TAMBORIL HG 700/1000 CHNAV10K</t>
  </si>
  <si>
    <t>8070029</t>
  </si>
  <si>
    <t>TAMBORIL HG 1000/UP CHN AV10KG</t>
  </si>
  <si>
    <t>8070030</t>
  </si>
  <si>
    <t xml:space="preserve">ESPADARTE POSTA SC1KG INTERCON  </t>
  </si>
  <si>
    <t>8070031</t>
  </si>
  <si>
    <t>SALMAO HG 4/6LB GMC TOTE</t>
  </si>
  <si>
    <t>8070039</t>
  </si>
  <si>
    <t>ESPADARTE POSTA PREMIUM 10%GRN</t>
  </si>
  <si>
    <t>8080001</t>
  </si>
  <si>
    <t xml:space="preserve">POLVO INTEIRO LIMPO -400GR HIG   </t>
  </si>
  <si>
    <t>8120002</t>
  </si>
  <si>
    <t>POTA TENTAC CUVETE 800G</t>
  </si>
  <si>
    <t>8120006</t>
  </si>
  <si>
    <t>8120007</t>
  </si>
  <si>
    <t>8120008</t>
  </si>
  <si>
    <t>8120009</t>
  </si>
  <si>
    <t>POLVO 3000/4000 HIG</t>
  </si>
  <si>
    <t>8120015</t>
  </si>
  <si>
    <t>POTA TENT?CULO CUVETE 800G</t>
  </si>
  <si>
    <t>8120016</t>
  </si>
  <si>
    <t>POLVO 700/1500 HIG MDP</t>
  </si>
  <si>
    <t>8120022</t>
  </si>
  <si>
    <t xml:space="preserve">POLVO COZ. FATIADO CV 10X 0.4KG </t>
  </si>
  <si>
    <t>8120023</t>
  </si>
  <si>
    <t>POLVO 2/3KG FAO 51 CV</t>
  </si>
  <si>
    <t>8130003</t>
  </si>
  <si>
    <t>MEXILHAO INTEIRO 40/60 VC 1KG</t>
  </si>
  <si>
    <t>8130004</t>
  </si>
  <si>
    <t>MEXILHAO MIOLO 200/300 AV 10KG</t>
  </si>
  <si>
    <t>8130006</t>
  </si>
  <si>
    <t xml:space="preserve">AMEIJOA BRC VIET 40/60 VC 900G   </t>
  </si>
  <si>
    <t>8130014</t>
  </si>
  <si>
    <t>8140001</t>
  </si>
  <si>
    <t>8140006</t>
  </si>
  <si>
    <t>8150002</t>
  </si>
  <si>
    <t xml:space="preserve">CAMARAO BT 8/12 CX 10X0.75KG </t>
  </si>
  <si>
    <t>8150003</t>
  </si>
  <si>
    <t>8150004</t>
  </si>
  <si>
    <t xml:space="preserve">CAMARAO BT 16/20 CX 10X0.75KG  </t>
  </si>
  <si>
    <t>8150005</t>
  </si>
  <si>
    <t xml:space="preserve">CAMARAO BT 21/30 CX 10X0.75KG  </t>
  </si>
  <si>
    <t>8150011</t>
  </si>
  <si>
    <t>CAM. MIOLO 30/50 SC 10X0.65KG</t>
  </si>
  <si>
    <t>8150012</t>
  </si>
  <si>
    <t xml:space="preserve">CAM. MIOLO 50/70 SC 10X0.65KG </t>
  </si>
  <si>
    <t>8150013</t>
  </si>
  <si>
    <t>CAM. MIOLO 70/100 SC 10X0.65KG</t>
  </si>
  <si>
    <t>8150014</t>
  </si>
  <si>
    <t>CAM. MIOLO 100/200 SC 10X0.65K</t>
  </si>
  <si>
    <t>1010400</t>
  </si>
  <si>
    <t>BUCHO</t>
  </si>
  <si>
    <t>1101105</t>
  </si>
  <si>
    <t>TIRAS ENTRECOSTO ALTO CONG.</t>
  </si>
  <si>
    <t>2010905</t>
  </si>
  <si>
    <t>UNHA PÉ CONGELADO</t>
  </si>
  <si>
    <t>3021436</t>
  </si>
  <si>
    <t>FIAMBRE ENCOSTA SOBREIRO PG</t>
  </si>
  <si>
    <t>3021538</t>
  </si>
  <si>
    <t>FIAMBRE ENCOSTA SOBREIRO MINI</t>
  </si>
  <si>
    <t>4031018</t>
  </si>
  <si>
    <t>CH. VINHO GROSSO EMB. 200 GR</t>
  </si>
  <si>
    <t>CHOURIÇO VINHO GROSSO EMB. 200 GR.</t>
  </si>
  <si>
    <t>4032205</t>
  </si>
  <si>
    <t>CHOURIÇO DE CARNE EXTRA SC</t>
  </si>
  <si>
    <t>4032206</t>
  </si>
  <si>
    <t>CHOURIÇO DE CARNE EXTRA SC IND</t>
  </si>
  <si>
    <t>8040001</t>
  </si>
  <si>
    <t>PESCADA FILETE</t>
  </si>
  <si>
    <t>8040008</t>
  </si>
  <si>
    <t>8040011</t>
  </si>
  <si>
    <t>BACALHAU DEM.POSTA SC 700 GR</t>
  </si>
  <si>
    <t>BACALHAU POSTINHAS SC 800 GR</t>
  </si>
  <si>
    <t>BACALHAUBACALHAU DEM LOMBO 300/400 HIG</t>
  </si>
  <si>
    <t>8040039</t>
  </si>
  <si>
    <t>BACALHAU POSTA EXT 400/600 HIG</t>
  </si>
  <si>
    <t>8040040</t>
  </si>
  <si>
    <t xml:space="preserve">BACALHAU DEM. POSTA -300G AV </t>
  </si>
  <si>
    <t>8040041</t>
  </si>
  <si>
    <t>BACALHAU POSTINHA SC800G FR/NL</t>
  </si>
  <si>
    <t>8040043</t>
  </si>
  <si>
    <t xml:space="preserve">BACALHAU DEM. POSTA -300G HIG </t>
  </si>
  <si>
    <t>8040044</t>
  </si>
  <si>
    <t xml:space="preserve">BACALHAU DEM.POSTA TRAD VC800G </t>
  </si>
  <si>
    <t>8040045</t>
  </si>
  <si>
    <t>BACALHAU LOMBO MED 400/500 HIG</t>
  </si>
  <si>
    <t>8040046</t>
  </si>
  <si>
    <t xml:space="preserve">BACALHAU LOMBO MED 200/300 AV </t>
  </si>
  <si>
    <t>8040049</t>
  </si>
  <si>
    <t xml:space="preserve">BACALHAU LOMBO 300/400 AV   </t>
  </si>
  <si>
    <t xml:space="preserve">BIFES FRANGO PANADOS CONGEL. </t>
  </si>
  <si>
    <t>8070009</t>
  </si>
  <si>
    <t>PEIXE-VERMELHO HG 200/300 AV</t>
  </si>
  <si>
    <t>8070025</t>
  </si>
  <si>
    <t xml:space="preserve">PEIXE GATO FILETE SC 6X0.8KG </t>
  </si>
  <si>
    <t>TAMBORIL HG 300/500 CHN AV10KG</t>
  </si>
  <si>
    <t>8070042</t>
  </si>
  <si>
    <t xml:space="preserve">ESPADARTE POSTA P GRN </t>
  </si>
  <si>
    <t>8070048</t>
  </si>
  <si>
    <t>SARDINHA 8/14 FAO 34 AV 20KG</t>
  </si>
  <si>
    <t>8070049</t>
  </si>
  <si>
    <t>CORVINA PRATA HG IND 4/6 ENV</t>
  </si>
  <si>
    <t>8120003</t>
  </si>
  <si>
    <t xml:space="preserve">POTA TENTAC AV 7KG </t>
  </si>
  <si>
    <t>8120010</t>
  </si>
  <si>
    <t xml:space="preserve">POLVO 4000/5000 HIG  </t>
  </si>
  <si>
    <t>8120013</t>
  </si>
  <si>
    <t>8120021</t>
  </si>
  <si>
    <t xml:space="preserve">POLVO 2/3KG HIG MDP </t>
  </si>
  <si>
    <t xml:space="preserve">POLVO 2/3KG FAO 51 CV </t>
  </si>
  <si>
    <t>8120024</t>
  </si>
  <si>
    <t>LULA INT /10CM ENTUBADO BL12KG</t>
  </si>
  <si>
    <t>8120025</t>
  </si>
  <si>
    <t>CHOCO LIMPO 5/7 1KG PL REYMAR</t>
  </si>
  <si>
    <t>8120026</t>
  </si>
  <si>
    <t>CHOCO LIMPO 8/12 1KG PL REYMAR</t>
  </si>
  <si>
    <t>8120027</t>
  </si>
  <si>
    <t>CHOCO LIMPO 13/20 1KG PL REYMR</t>
  </si>
  <si>
    <t>8120028</t>
  </si>
  <si>
    <t>CHOCO LIMPO 20/40 1KG PL REYMR</t>
  </si>
  <si>
    <t>8120029</t>
  </si>
  <si>
    <t xml:space="preserve">LULA LIMPA U/5 1KG PL REYMAR </t>
  </si>
  <si>
    <t>8120030</t>
  </si>
  <si>
    <t>LULA LIMPA U/10 1KG PL REYMAR</t>
  </si>
  <si>
    <t>8120031</t>
  </si>
  <si>
    <t xml:space="preserve">LULA LIMPA 10/20 1KG PL REYMAR </t>
  </si>
  <si>
    <t>8120032</t>
  </si>
  <si>
    <t xml:space="preserve">LULA LIMPA 20/40 1KG PL REYMAR </t>
  </si>
  <si>
    <t>8130001</t>
  </si>
  <si>
    <t>8130010</t>
  </si>
  <si>
    <t>AMEIJOA BRANCA VIET AV 10KG</t>
  </si>
  <si>
    <t>8130013</t>
  </si>
  <si>
    <t>8130015</t>
  </si>
  <si>
    <t>MARISCADA S/GLUTEN CV 6X0.8KG</t>
  </si>
  <si>
    <t>8140010</t>
  </si>
  <si>
    <t>8150001</t>
  </si>
  <si>
    <t>CAMARAO BT 16/20 CX 10X0.75KG</t>
  </si>
  <si>
    <t>CAM. MIOLO 50/70 SC 10X0.65KG</t>
  </si>
  <si>
    <t>8150015</t>
  </si>
  <si>
    <t>CAM. MIOLO 100/200 AV 10KG</t>
  </si>
  <si>
    <t>UNHA PÉ</t>
  </si>
  <si>
    <t>TOUCINHO GORDO C/ COURO</t>
  </si>
  <si>
    <t>FEVERA PERNA CONGELADA</t>
  </si>
  <si>
    <t>FEVERA PÁ VÁCUO</t>
  </si>
  <si>
    <t>UNHA MÃO CONGELADO</t>
  </si>
  <si>
    <t>CHOURIÇO CRIOLO PICANTE 4 UNI</t>
  </si>
  <si>
    <t>FIAMBRE ENCOSTA SOBREIRO BARR</t>
  </si>
  <si>
    <t>CHOUR.VINHO GROSSO EMB.200 GR</t>
  </si>
  <si>
    <t>CHOURIÇO DE CARNE EXTRA SC IN</t>
  </si>
  <si>
    <t>BACALHAU DEM.LOMBO MÉD.300/40</t>
  </si>
  <si>
    <t>BACALHAU DEM.LOMBINHOS S/CALI</t>
  </si>
  <si>
    <t>BACALHAU POSTA EXTRA 400/600P</t>
  </si>
  <si>
    <t>BACALHAU POSTA EXTRA 600/800P</t>
  </si>
  <si>
    <t>BACALHAU FIL CHN 1000/UP AV11</t>
  </si>
  <si>
    <t>BACALHAU LOMBO 300/400 AV</t>
  </si>
  <si>
    <t>BACALHAU LOMBO MED.300/400 AV</t>
  </si>
  <si>
    <t>BAC. POSTA C/LOMBO 300/600 AV</t>
  </si>
  <si>
    <t>BACALHAU-DO-PACIFICO FIL AV11</t>
  </si>
  <si>
    <t>BACALHAU LOMBO 300/350 AV 6KG</t>
  </si>
  <si>
    <t>NUGGETS DE FRANGO CONG-LOJA</t>
  </si>
  <si>
    <t>FRANGO PEITO CUBOS SC 4X2.5KG</t>
  </si>
  <si>
    <t>FRANGO PEITO TIRAS SC 4X2.5KG</t>
  </si>
  <si>
    <t>FRANGO PEITO SALGADO 6X2KG</t>
  </si>
  <si>
    <t>SALMÃO FIL C/P 400/1000 AV 10</t>
  </si>
  <si>
    <t>BONITO FIL C/P 400/700 ENV</t>
  </si>
  <si>
    <t>DOURADA FIL C/P 120/160 AV 5K</t>
  </si>
  <si>
    <t>PEIXE GATO FILETE SC 6X0.8KG</t>
  </si>
  <si>
    <t>TAMBORIL HG 300/500 CHN AV10K</t>
  </si>
  <si>
    <t>TAMBORIL HG 500/700 CHN AV10K</t>
  </si>
  <si>
    <t>TAMBORIL HG 700/1000 CHN AV10</t>
  </si>
  <si>
    <t>TAMBORIL HG 1000/UP CHN AV10K</t>
  </si>
  <si>
    <t>ESPADARTE PST XTR 1/2 L 20%GR</t>
  </si>
  <si>
    <t>SARDINHA FAO 27 10/13 AV 7KG</t>
  </si>
  <si>
    <t>SALMÃO PORÇﾕES C/P AV 6KG</t>
  </si>
  <si>
    <t>SARDINHA FAO 27 SC 1KG PL</t>
  </si>
  <si>
    <t>PEIXE-VERMELHO FIL C/P100/150</t>
  </si>
  <si>
    <t>CAVALA FIL 100/150 SC 6X0.8KG</t>
  </si>
  <si>
    <t>POLVO 1/2KG HIG FAO51 GELTUGA</t>
  </si>
  <si>
    <t>POLVO 2/3KG HIG FAO51 GELTUGA</t>
  </si>
  <si>
    <t>POLVO 1/2KG HIG FAO34</t>
  </si>
  <si>
    <t>POLVO BABY IND 20/40 SC 10X0.</t>
  </si>
  <si>
    <t>POLVO CABEÇA COZ. AV 5KG</t>
  </si>
  <si>
    <t>AMEIJOA BRC. VIET 40/60 VC 1K</t>
  </si>
  <si>
    <t>AMEIJOA BRC VIET 60/80 VC 900</t>
  </si>
  <si>
    <t>AMEIJOA CAS. VIET 40/60 VC 1K</t>
  </si>
  <si>
    <t>DELICIAS DO MAR VC 20X0.25KG</t>
  </si>
  <si>
    <t>DELICIAS LAGOSTA VC 20X0.25KG</t>
  </si>
  <si>
    <t>MUSLITOS DO MAR CX 20X0.25KG</t>
  </si>
  <si>
    <t>MUSLITOS DO MAR CX 6X1KG</t>
  </si>
  <si>
    <t>CAMARAO BT 2/4 CX 10X0.75KG</t>
  </si>
  <si>
    <t>GAMBAO ARG L1 CB 6X2KG</t>
  </si>
  <si>
    <t>CAMARÃO INT VAN 40/50 10X2KG</t>
  </si>
  <si>
    <t>CAM.BT MIOL 16/20 SC 10X0.75K</t>
  </si>
  <si>
    <t>CAM.BT MIOL 21/25 SC 10X0.75K</t>
  </si>
  <si>
    <t>CABRITO S/CABEÇA 4/6.5KG FR</t>
  </si>
  <si>
    <t>VISICULA</t>
  </si>
  <si>
    <t>VESICULA CONGELADA</t>
  </si>
  <si>
    <t>CINTA DO LOMBO CONGELADA</t>
  </si>
  <si>
    <t>CABEÇO LOMBO S/OSSO CONGELADO</t>
  </si>
  <si>
    <t>LOMBADA C/COURO</t>
  </si>
  <si>
    <t>CHOURIÇO CRIOLO CONGELADO 2 KG</t>
  </si>
  <si>
    <t>SALSICHA BREAKFAST SC 2X2KG</t>
  </si>
  <si>
    <t>CHOURIÇO CRIOLO CURTO CONG.</t>
  </si>
  <si>
    <t>BACON MOLDADO S/COURO INTEIRO</t>
  </si>
  <si>
    <t>BACON FATIADO CONGELADO</t>
  </si>
  <si>
    <t>BACON INTEIRO CONGELADO</t>
  </si>
  <si>
    <t>BACON FATIADO CONGELADO 7.2 KG</t>
  </si>
  <si>
    <t>PORCO PERNA COZ. FUM.C/OSSO AV</t>
  </si>
  <si>
    <t>EUROPALETES</t>
  </si>
  <si>
    <t>BACALHAU DEM. POSTA -300G AV</t>
  </si>
  <si>
    <t>BACALHAU POSTINHAS SC 8X0.7KG</t>
  </si>
  <si>
    <t>BAC. POSTA C/LOMBO EXT 400/600</t>
  </si>
  <si>
    <t>PANGASIUS FIL W 170/220 10X0.8</t>
  </si>
  <si>
    <t>POLVO BABY IND 20/40 SC 10X0.8</t>
  </si>
  <si>
    <t>RISSOIS CARNE FORTE 45 GR AV</t>
  </si>
  <si>
    <t>BOLINHOS BACALHAU FORTE 45G AV</t>
  </si>
  <si>
    <t>CAMARAO BT 4/6 CX 10X0.75KG</t>
  </si>
  <si>
    <t>CAM.BT MIOL 16/20 SC 10X0.75KG</t>
  </si>
  <si>
    <t>BORREGO PERNA C/OSSO NZ</t>
  </si>
  <si>
    <t>BORREGO PERNA C/OSSO ARG</t>
  </si>
  <si>
    <t>APARAS P/ CHOURIÇO</t>
  </si>
  <si>
    <t>CHISPE CURTO DA MÂO</t>
  </si>
  <si>
    <t>UNHA MÂO</t>
  </si>
  <si>
    <t>CORAÇÂO</t>
  </si>
  <si>
    <t>MÂOS</t>
  </si>
  <si>
    <t>MÂOS CONGELADAS</t>
  </si>
  <si>
    <t>OSSOS ASSUÂ FRESCOS</t>
  </si>
  <si>
    <t>TOCOS FRESCOS MÂO</t>
  </si>
  <si>
    <t>TRIPA FINA PARA CALIBRAÇÂO</t>
  </si>
  <si>
    <t>SECRETOS DE PORCO FRESCOS</t>
  </si>
  <si>
    <t>BARRIGA S/COURO C/OSSO CONGEL.</t>
  </si>
  <si>
    <t>PÁ C/COURO C/OSSO C/MÂO</t>
  </si>
  <si>
    <t>UNHA MÂO CONGELADO</t>
  </si>
  <si>
    <t>CHOURIÇÂO</t>
  </si>
  <si>
    <t>CHOURIÇÂO VINHO</t>
  </si>
  <si>
    <t>CHOURIÇÂO BARRA</t>
  </si>
  <si>
    <t>SALPICÂO NE</t>
  </si>
  <si>
    <t>SALPICÂO SC IND</t>
  </si>
  <si>
    <t>SALSICHA TIPO FRANKFURT</t>
  </si>
  <si>
    <t>SALSICHÂO</t>
  </si>
  <si>
    <t>BACALHAU DEM.LOMBINHOS S/CALIB</t>
  </si>
  <si>
    <t>BACALHAU DEM.POSTA SC 700G PL</t>
  </si>
  <si>
    <t>BAC.DEM. CALDEIRADA SC 800G PL</t>
  </si>
  <si>
    <t>BACALHAU DEM. MIGAS SC 400G PL</t>
  </si>
  <si>
    <t>BACALHAU LOMBO MED 200/300 AV</t>
  </si>
  <si>
    <t>BACALHAU MIGAS CV 400G</t>
  </si>
  <si>
    <t>POLVO 1500/2000 HIG MDP</t>
  </si>
  <si>
    <t>POLVO 2/3KG HIG MDP</t>
  </si>
  <si>
    <t>AMEIJOA BRC VIET 60/80 VC 900G</t>
  </si>
  <si>
    <t>AMEIJOA CAST VIET 60/80 VC900G</t>
  </si>
  <si>
    <t>CAM.BT MIOL 21/25 SC 10X0.75KG</t>
  </si>
  <si>
    <t>CABEÇA S/ OSSO CONGELADA</t>
  </si>
  <si>
    <t>TOCOS CONGELADOS MÃO</t>
  </si>
  <si>
    <t>BARRIGA S/OSSO</t>
  </si>
  <si>
    <t>BARRIGUINHAS CONGELADAS</t>
  </si>
  <si>
    <t>BARRIGA S/COSTELA</t>
  </si>
  <si>
    <t>ROJOES DE SUINO CONGELADOS VC</t>
  </si>
  <si>
    <t>BACALHAU LOMBO MÉD.300/400 HIG</t>
  </si>
  <si>
    <t>BAC. POSTA C/LOMBO 300/600 HIG</t>
  </si>
  <si>
    <t>TAMBORIL HG 700/1000 CHN AV10K</t>
  </si>
  <si>
    <t>ESPADARTE PST XTR 1/2 L 20%GRN</t>
  </si>
  <si>
    <t>ESPADARTE POSTA MISTA GRN 20%</t>
  </si>
  <si>
    <t>TINTUREIRA POSTA EXTRA GRN 20%</t>
  </si>
  <si>
    <t>PANGASIUS FIL  170/220 10X0.8</t>
  </si>
  <si>
    <t>TILAPIA FIL 3/5OZ SC 6X0.8KG</t>
  </si>
  <si>
    <t>TILAPIA INT 300/500 AV 5 KG</t>
  </si>
  <si>
    <t>LULA LIMPA IND10/20 SC10X0.8KG</t>
  </si>
  <si>
    <t>LULA LIMPA IND20/40 SC10X0.8KG</t>
  </si>
  <si>
    <t>POLVO CABEÇA COZ. AV 9KG</t>
  </si>
  <si>
    <t>POLVO 2/3KG HIG GELTUGA</t>
  </si>
  <si>
    <t>LULA INT CALIFORNIA11/15 AV7KG</t>
  </si>
  <si>
    <t>CAMARAO VAN IND 20/30 10X1.8KG</t>
  </si>
  <si>
    <t>OUVIDOS FRESCOS</t>
  </si>
  <si>
    <t>TOCOS CONGELADOS MÂO</t>
  </si>
  <si>
    <t>TOCOS CONGELADOS PÉ</t>
  </si>
  <si>
    <t>CINTA DO LOMBO METADES CONG.</t>
  </si>
  <si>
    <t>ROJOES DE SUINO CONGELADOS AV</t>
  </si>
  <si>
    <t>CABEÇA C/ OSSO CONGELADA</t>
  </si>
  <si>
    <t>BACALHAU POSTA EXTRA 400/600PL</t>
  </si>
  <si>
    <t>BACALHAU POSTA EXTRA 600/800PL</t>
  </si>
  <si>
    <t>BACALHAU LOMBO CENTRO 300/400</t>
  </si>
  <si>
    <t>BACALHAU CRESCIDO SALG. SECO</t>
  </si>
  <si>
    <t>PALOCO MIGAS DEM. AV 20% VID</t>
  </si>
  <si>
    <t>TAMBORIL HG 500/700 CHN AV10KG</t>
  </si>
  <si>
    <t>SALMÃO PORÇÕES C/P AV 6KG</t>
  </si>
  <si>
    <t>SARDINHA INT NACIONAL AV 7KG</t>
  </si>
  <si>
    <t>POLVO 1/2KG HIG GELTUGA</t>
  </si>
  <si>
    <t>MEXILHAO MIOLO 300/500 AV 10KG</t>
  </si>
  <si>
    <t>CROQUETES CARNE 30G 12X360G</t>
  </si>
  <si>
    <t>CINTA DO LOMBO CONG VC</t>
  </si>
  <si>
    <t>COSTELETA MISTA CONGELADA</t>
  </si>
  <si>
    <t>BARRIGA P/ BACON CONGELADA</t>
  </si>
  <si>
    <t>FEVERA PÁ CONG VC</t>
  </si>
  <si>
    <t>LULA LIMPA 10/20 1KG PL REYMAR</t>
  </si>
  <si>
    <t>POTA TENTAC XL AVULSO</t>
  </si>
  <si>
    <t>POLVO COZ. 3 TENT 10X0.250KG</t>
  </si>
  <si>
    <t>RISSOIS FEIJÃO CV 10X0.36 KG</t>
  </si>
  <si>
    <t>RISSOIS TOFU E ESPINAFRES</t>
  </si>
  <si>
    <t>LAGOSTA COZ 860/1100 CX 10 KG</t>
  </si>
  <si>
    <t>UNTO</t>
  </si>
  <si>
    <t>CARCAÇA QUEIMADA</t>
  </si>
  <si>
    <t>SECRETOS DE PORCO CONGELADOS</t>
  </si>
  <si>
    <t>COSTELA LOMBO CONGELADA</t>
  </si>
  <si>
    <t>CARCAÇA S/CABEÇA</t>
  </si>
  <si>
    <t>LINGUAS FUMADAS</t>
  </si>
  <si>
    <t>BACALHAU DEM LOMBO 300/400 HIG</t>
  </si>
  <si>
    <t>MEXILHAO INT GAL 40/60 VC 9X1K</t>
  </si>
  <si>
    <t>BUCHO CRÚ</t>
  </si>
  <si>
    <t>1010702</t>
  </si>
  <si>
    <t>CABEÇA S/OSSO CONGELADA</t>
  </si>
  <si>
    <t>1010733</t>
  </si>
  <si>
    <t>BOCHECHA INTEIRA CONGELADA</t>
  </si>
  <si>
    <t>1010734</t>
  </si>
  <si>
    <t>BOCHECHAS DE BÍSARO CONGELADAS</t>
  </si>
  <si>
    <t>1010903</t>
  </si>
  <si>
    <t>COLADAS C/FIGADO</t>
  </si>
  <si>
    <t>1011211</t>
  </si>
  <si>
    <t>1011400</t>
  </si>
  <si>
    <t>1012205</t>
  </si>
  <si>
    <t>1012206</t>
  </si>
  <si>
    <t>1012207</t>
  </si>
  <si>
    <t>PERNIL CONGELADOS RODELAS</t>
  </si>
  <si>
    <t>RABOS CONGELADOS</t>
  </si>
  <si>
    <t>1100102</t>
  </si>
  <si>
    <t>1100604</t>
  </si>
  <si>
    <t>LOMBELOS CONGELADOS DE BÍSARO</t>
  </si>
  <si>
    <t>1100605</t>
  </si>
  <si>
    <t>1100701</t>
  </si>
  <si>
    <t>1100704</t>
  </si>
  <si>
    <t>1100707</t>
  </si>
  <si>
    <t>1100708</t>
  </si>
  <si>
    <t>1100709</t>
  </si>
  <si>
    <t>1100711</t>
  </si>
  <si>
    <t>LOMBO S/OSSO CONGELADO BÍSARO</t>
  </si>
  <si>
    <t>1100712</t>
  </si>
  <si>
    <t>SECRETOS DE BÍSARO CONGELADOS</t>
  </si>
  <si>
    <t>1100713</t>
  </si>
  <si>
    <t>PLUMAS DE BÍSARO CONGELADOS</t>
  </si>
  <si>
    <t>1100901</t>
  </si>
  <si>
    <t>1100902</t>
  </si>
  <si>
    <t>COSTELA DE BÍSARO CONGELADA</t>
  </si>
  <si>
    <t>1101002</t>
  </si>
  <si>
    <t>1101010</t>
  </si>
  <si>
    <t>CABEÇO LOMBO S/OSSO DE BÍSARO</t>
  </si>
  <si>
    <t>1101102</t>
  </si>
  <si>
    <t>1101103</t>
  </si>
  <si>
    <t>1101107</t>
  </si>
  <si>
    <t>BARRIGA S/COURO C/OSSO CONGEL</t>
  </si>
  <si>
    <t>1101108</t>
  </si>
  <si>
    <t xml:space="preserve">PÁ YORK </t>
  </si>
  <si>
    <t>1101904</t>
  </si>
  <si>
    <t>ROJOES DE SUÍNO CONGELADOS AV</t>
  </si>
  <si>
    <t>1101907</t>
  </si>
  <si>
    <t>1102000</t>
  </si>
  <si>
    <t>2010904</t>
  </si>
  <si>
    <t>3020317</t>
  </si>
  <si>
    <t>SALSICHA TOSCANA 4 UN 200G</t>
  </si>
  <si>
    <t>3020318</t>
  </si>
  <si>
    <t>SALSICHA TOSCANA PIC 4UN 200G</t>
  </si>
  <si>
    <t xml:space="preserve">FIAMBRE PERNA EXTRA MINI </t>
  </si>
  <si>
    <t xml:space="preserve">SALSICHA FRESCA </t>
  </si>
  <si>
    <t>BACON INTEIRO EXTRA</t>
  </si>
  <si>
    <t>BACON 1/2 EXTRA</t>
  </si>
  <si>
    <t>BACON 1/2 CORRENTE</t>
  </si>
  <si>
    <t>4031019</t>
  </si>
  <si>
    <t>4031103</t>
  </si>
  <si>
    <t>CHOURIÇO COLORAU SC PENTÁGONO</t>
  </si>
  <si>
    <t>CHOURIÇO VINHO GROSSO EMB. 200GR.</t>
  </si>
  <si>
    <t>4032002</t>
  </si>
  <si>
    <t>4032612</t>
  </si>
  <si>
    <t>MORCELA EMBL. IND 180 GR</t>
  </si>
  <si>
    <t xml:space="preserve">MORCELA SC  </t>
  </si>
  <si>
    <t>PERNIL FUMADO SC</t>
  </si>
  <si>
    <t>4034012</t>
  </si>
  <si>
    <t>SALPICÃO SC IND 250 GR</t>
  </si>
  <si>
    <t>8030004</t>
  </si>
  <si>
    <t>8040048</t>
  </si>
  <si>
    <t>8040050</t>
  </si>
  <si>
    <t>8040060</t>
  </si>
  <si>
    <t>8070012</t>
  </si>
  <si>
    <t>8070015</t>
  </si>
  <si>
    <t>8070018</t>
  </si>
  <si>
    <t>8070052</t>
  </si>
  <si>
    <t>8070054</t>
  </si>
  <si>
    <t>8070060</t>
  </si>
  <si>
    <t>PANGASIUS FIL W  170/220 10X,08</t>
  </si>
  <si>
    <t>8070061</t>
  </si>
  <si>
    <t>PANGASIUS FIL 170/220 10X0,8</t>
  </si>
  <si>
    <t>8070069</t>
  </si>
  <si>
    <t>8120004</t>
  </si>
  <si>
    <t>LULA LIMPA IND 10/20 SC 800GR</t>
  </si>
  <si>
    <t xml:space="preserve">POLVO 1500/2000 HIG </t>
  </si>
  <si>
    <t>8120040</t>
  </si>
  <si>
    <t>8120052</t>
  </si>
  <si>
    <t>8130007</t>
  </si>
  <si>
    <t xml:space="preserve">MARISCADA S/GLUTEN AV 8KG  </t>
  </si>
  <si>
    <t xml:space="preserve">BOLINHOS BACALHAU 12X360G    </t>
  </si>
  <si>
    <t>8140013</t>
  </si>
  <si>
    <t xml:space="preserve">DELICIAS DO MAR VC 20X0.25KG </t>
  </si>
  <si>
    <t>8140014</t>
  </si>
  <si>
    <t xml:space="preserve">DELICIAS LAGOSTA VC 20X0.25KG  </t>
  </si>
  <si>
    <t>8140016</t>
  </si>
  <si>
    <t xml:space="preserve">MUSLITOS DO MAR CX 6X1KG </t>
  </si>
  <si>
    <t>8150019</t>
  </si>
  <si>
    <t xml:space="preserve">CAMARÃO INT VAN 40/50 10X2KG  </t>
  </si>
  <si>
    <t>8150020</t>
  </si>
  <si>
    <t>PM</t>
  </si>
  <si>
    <t>VAR</t>
  </si>
  <si>
    <t>ARTIGOS</t>
  </si>
  <si>
    <t>MESES</t>
  </si>
  <si>
    <t>BUCHO CONGELADO</t>
  </si>
  <si>
    <t xml:space="preserve">TOUCINHO GORDO S/ COURO    </t>
  </si>
  <si>
    <t xml:space="preserve">SECRETOS DE PORCO FRESCOS   </t>
  </si>
  <si>
    <t xml:space="preserve">CINTA DO LOMBO CONGELADA </t>
  </si>
  <si>
    <t xml:space="preserve">CINTA DO LOMBO METADES CONG.  </t>
  </si>
  <si>
    <t xml:space="preserve">CINTA DO LOMBO CONG VC     </t>
  </si>
  <si>
    <t xml:space="preserve">LOMBO S/CABEÇO CONGELADO  </t>
  </si>
  <si>
    <t xml:space="preserve">PONTAS DE COSTELA CONGELADAS  </t>
  </si>
  <si>
    <t xml:space="preserve">CHISPE CURTO PÉ CONGELADO </t>
  </si>
  <si>
    <t>FIAMBRE DE PERU PG</t>
  </si>
  <si>
    <t xml:space="preserve">BARRIGA SEM OSSO CONGELADA </t>
  </si>
  <si>
    <t xml:space="preserve">CHOURIÇO CRIOLO PICANTE 4 UNID </t>
  </si>
  <si>
    <t xml:space="preserve">CHOURIÇO CRIOLO 4 UNIDADES </t>
  </si>
  <si>
    <t xml:space="preserve">SALSICHA TOSCANA 4 UN 200G </t>
  </si>
  <si>
    <t xml:space="preserve">SALSICHA TOSCANA PIC4UN 200G    </t>
  </si>
  <si>
    <t xml:space="preserve">SALSICHA TOSCANA VC1KG CONG  </t>
  </si>
  <si>
    <t xml:space="preserve">CHOURIÇO CRIOLO ESPECIAL </t>
  </si>
  <si>
    <t xml:space="preserve">FIAMBRE PERNA PG S/COURO    </t>
  </si>
  <si>
    <t xml:space="preserve">FIAMBRE PERNA QUAD. GR  </t>
  </si>
  <si>
    <t xml:space="preserve">FIAMBRE ENCOSTA SOBREIRO MINI </t>
  </si>
  <si>
    <t xml:space="preserve">FIAMBRE ENCOSTA SOBREIRO 1/2 </t>
  </si>
  <si>
    <t xml:space="preserve">FIAMBRE ENCOSTA SOBREIRO BARRA </t>
  </si>
  <si>
    <t xml:space="preserve">FILETE AFIAMBRADO BARRA   </t>
  </si>
  <si>
    <t xml:space="preserve">SALSICHA FRESCA PICANTE   </t>
  </si>
  <si>
    <t xml:space="preserve">BACON INTEIRO CORRENTE NE   </t>
  </si>
  <si>
    <t xml:space="preserve">BACON 1/2 CORRENTE SC IND  </t>
  </si>
  <si>
    <t xml:space="preserve">CHOURIÇO COLORAU PARES </t>
  </si>
  <si>
    <t xml:space="preserve">CHOURIÇO COLORAU EMB.200 GR  </t>
  </si>
  <si>
    <t xml:space="preserve">CHOURIÇO VINHO ARGOLA NE    </t>
  </si>
  <si>
    <t xml:space="preserve">CHOURIÇO VINHO ARGOLA SC </t>
  </si>
  <si>
    <t xml:space="preserve">CHOURIÇO VINHO GROSSO NE </t>
  </si>
  <si>
    <t xml:space="preserve">CHOURIÇO VINHO GROSSO PARES </t>
  </si>
  <si>
    <t xml:space="preserve">CHOUR.VINHO GROSSO EMB.200 GR.  </t>
  </si>
  <si>
    <t xml:space="preserve">CHOURIÇO VINHO GROSSO SC   </t>
  </si>
  <si>
    <t>MORCELA EMBL IND 180 GR</t>
  </si>
  <si>
    <t xml:space="preserve">SALPICÃO SC IND 250 GR  </t>
  </si>
  <si>
    <t xml:space="preserve">BACALHAU DEM.LOMBO MﾉD.300/400 </t>
  </si>
  <si>
    <t xml:space="preserve">BACALHAU DEM.POSTA SC 700 GR    </t>
  </si>
  <si>
    <t xml:space="preserve">BACALHAU DEM LOMBO 300/400 HIG  </t>
  </si>
  <si>
    <t xml:space="preserve">BAC. POSTA C/LOMBO 300/600 HIG </t>
  </si>
  <si>
    <t>BAC. LOMBO MED 200/300 VC700GR</t>
  </si>
  <si>
    <t xml:space="preserve">FRANGO PEITO SALGADO 6X2KG </t>
  </si>
  <si>
    <t xml:space="preserve">PESCADA-DO-CABO FILS/P 6/9OZ </t>
  </si>
  <si>
    <t xml:space="preserve">TAMBORIL HG 1000/UPCHN AV10KG  </t>
  </si>
  <si>
    <t xml:space="preserve">SALMÃO PORÇﾕES C/P AV 6KG  </t>
  </si>
  <si>
    <t xml:space="preserve">SARDINHA INT NACIONAL AV 7KG </t>
  </si>
  <si>
    <t xml:space="preserve">SARDINHA 12/18 FAO 27 AV 20KG   </t>
  </si>
  <si>
    <t>POLVO INTEIRO LIMPO-400GR HIG</t>
  </si>
  <si>
    <t xml:space="preserve">LULA LIMPA IND 10/20 SC 800G  </t>
  </si>
  <si>
    <t xml:space="preserve">LULA LIMPA IND10/20 SC10X0.8KG  </t>
  </si>
  <si>
    <t>POLVO 700/1000 HIG</t>
  </si>
  <si>
    <t>POLVO LIMPO CV 1KG</t>
  </si>
  <si>
    <t xml:space="preserve">MARISCADA S/GLUTEN AV 8KG   </t>
  </si>
  <si>
    <t xml:space="preserve">MARISCADA S/GLUTEN CV 6X0.8KG </t>
  </si>
  <si>
    <t xml:space="preserve">MUSLITOS DO MAR CX 6X1KG       </t>
  </si>
  <si>
    <t xml:space="preserve">PESCADA FILETE PANADO CV 6X1KG    </t>
  </si>
  <si>
    <t xml:space="preserve">CAMARAO BT 8/12 CX 10X0.75KG   </t>
  </si>
  <si>
    <t xml:space="preserve">CAMARAO BT 16/20 CX10X0.75KG   </t>
  </si>
  <si>
    <t xml:space="preserve">CAMARAO BT 21/30 CX10X0.75KG   </t>
  </si>
  <si>
    <t xml:space="preserve">CAMARAO BT 31/40 CX10X0.75KG  </t>
  </si>
  <si>
    <t>CAM. MIOLO 50/70 SC10X0.65KG</t>
  </si>
  <si>
    <t xml:space="preserve">CAM. MIOLO 70/100 SC10X0.65KG   </t>
  </si>
  <si>
    <t xml:space="preserve">CAMARÃO INT VAN 40/50 10X2KG </t>
  </si>
  <si>
    <t>GAMBAO ARG L1 CB 6X2 KG</t>
  </si>
  <si>
    <t>CAMARAO BT 41/50 CX</t>
  </si>
  <si>
    <t xml:space="preserve">TRIMMING BOVINO 80/2010X0.75KG </t>
  </si>
  <si>
    <t>CARCAÇA DE LEITÃO</t>
  </si>
  <si>
    <t>FEVERA PERNA FATIADA VACUO</t>
  </si>
  <si>
    <t>PERNIL DE PORCO BISARO</t>
  </si>
  <si>
    <t>PERNA S/OSSO DE PORCO BISARO</t>
  </si>
  <si>
    <t>LOMBO S/OSSO DE PORCO BISARO</t>
  </si>
  <si>
    <t>MÃO DE PORCO BISARO</t>
  </si>
  <si>
    <t>TIRAS DE PORCO BISARO</t>
  </si>
  <si>
    <t>PÁ S/OSSO DE PORCO BISARO</t>
  </si>
  <si>
    <t>SECRETOS DE PORCO BISARO</t>
  </si>
  <si>
    <t>CABEÇA S/OSSO DE PORCO BISARO</t>
  </si>
  <si>
    <t>CACHAÇO S/OSSO DE PORCO BISARO</t>
  </si>
  <si>
    <t>BOCHECHAS DE PORCO BISARO</t>
  </si>
  <si>
    <t>PLUMAS DE PORCO BISARO</t>
  </si>
  <si>
    <t>LOMBINHO DE PORCO BISARO</t>
  </si>
  <si>
    <t>ENTRECOSTO DE PORCO BISARO</t>
  </si>
  <si>
    <t>CHOURIÇO COLORAU SC-PENTÁGONO</t>
  </si>
  <si>
    <t>TOUCINHO GORDO</t>
  </si>
  <si>
    <t>BACALHAU DEM.POSTA SUP 400/600</t>
  </si>
  <si>
    <t>BACALHAU LOMBO CENTRO 400/500</t>
  </si>
  <si>
    <t>BAC. POSTA C/LOMBO 300/400 AV</t>
  </si>
  <si>
    <t>BAC. POSTA C/LOMBO 200/400 AV</t>
  </si>
  <si>
    <t>PESCADA-DO-CABO FIL S/P 6/9OZ</t>
  </si>
  <si>
    <t>TAMBORIL HG 150/200 SC 10X0.8K</t>
  </si>
  <si>
    <t>TAMBORIL HG 200/300 SC 10X0.8K</t>
  </si>
  <si>
    <t>POLVO INTEIRO LIMPO -400GR HIG</t>
  </si>
  <si>
    <t>AMEIJOA BRC VIET 40/60 VC 800G</t>
  </si>
  <si>
    <t>CAMARAO BT 41/50 CX 10X0.75KG</t>
  </si>
  <si>
    <t>BOCHECHA INTERNA CONGELADA VC</t>
  </si>
  <si>
    <t>ESﾓFAGO</t>
  </si>
  <si>
    <t>FIGADO CONGELADO BLOCO 10KG</t>
  </si>
  <si>
    <t>FIGADO PORCO</t>
  </si>
  <si>
    <t>SUÍNO CHISPE DA MÃO</t>
  </si>
  <si>
    <t>LOMBADA FﾊMEA</t>
  </si>
  <si>
    <t>PERNA DE PORCO C/OSSO C/COURO</t>
  </si>
  <si>
    <t>FEVERA PERNA APARADA</t>
  </si>
  <si>
    <t>FEVERA PERNA FATIADA CONG</t>
  </si>
  <si>
    <t>PERNA 4D SUÍNO</t>
  </si>
  <si>
    <t>FEVERA PERNA CONG. GONDISCA</t>
  </si>
  <si>
    <t>FEVERA PERNA FATIADA</t>
  </si>
  <si>
    <t>VÃO COM CACHAÇO S/LOMBINHO</t>
  </si>
  <si>
    <t>LOMBO SUÍNO COM CORDÃO</t>
  </si>
  <si>
    <t>CACHAÇO SUINO COM OSSO</t>
  </si>
  <si>
    <t>ENTRECOSTO</t>
  </si>
  <si>
    <t>ENTREMEADA BRUTA PORCO</t>
  </si>
  <si>
    <t>ENTRECOSTO DE PORCO</t>
  </si>
  <si>
    <t>ENTRECOSTO TIRAS DE PORCO</t>
  </si>
  <si>
    <t>BARRIGA CONGELADA</t>
  </si>
  <si>
    <t>SALSICHA TOSCANA VC 1KG CONG</t>
  </si>
  <si>
    <t>CHOURIÇO DE CARNE EMB. VACUO</t>
  </si>
  <si>
    <t>CHOURIÇO EXTRA NE</t>
  </si>
  <si>
    <t>BACALHAU DEM. LOMBO MED CX900G</t>
  </si>
  <si>
    <t>BACALHAU DESFIADO IQF DEM.GRN</t>
  </si>
  <si>
    <t>LULA LIMPA IND U/10 SC10X0.8KG</t>
  </si>
  <si>
    <t>BOLINHOS BACALHAU MINI 18G AV</t>
  </si>
  <si>
    <t>RISSOIS CAMARÃO MINI 18G AV</t>
  </si>
  <si>
    <t xml:space="preserve">POTA TENTÁCULO CUVETE 800G </t>
  </si>
  <si>
    <t>PÁ YORK C/COURATO</t>
  </si>
  <si>
    <t>PÁ DE PORCO 4D SUÍNO</t>
  </si>
  <si>
    <t>Mês</t>
  </si>
  <si>
    <t>Ano</t>
  </si>
  <si>
    <t>janeiro</t>
  </si>
  <si>
    <t>Bacon</t>
  </si>
  <si>
    <t>Banha</t>
  </si>
  <si>
    <t>Cabeça Fumada</t>
  </si>
  <si>
    <t xml:space="preserve">Chouriço Colorau </t>
  </si>
  <si>
    <t>Chouriço Crioulo</t>
  </si>
  <si>
    <t>Chouriço De Carne</t>
  </si>
  <si>
    <t>Chouriço Vinho</t>
  </si>
  <si>
    <t>Chourição</t>
  </si>
  <si>
    <t>Fiambre Encosta Sobreiro</t>
  </si>
  <si>
    <t>Fiambre Perna</t>
  </si>
  <si>
    <t>Fiambre Sandwich</t>
  </si>
  <si>
    <t>Filete</t>
  </si>
  <si>
    <t>Linguiça</t>
  </si>
  <si>
    <t>Morcela</t>
  </si>
  <si>
    <t>Mortadela</t>
  </si>
  <si>
    <t>Ouvidos Fumados</t>
  </si>
  <si>
    <t>Pá Fumada</t>
  </si>
  <si>
    <t>Pernil Fumado</t>
  </si>
  <si>
    <t>Salsicha Fresca</t>
  </si>
  <si>
    <t>Salpicão</t>
  </si>
  <si>
    <t>Unhas Fumadas</t>
  </si>
  <si>
    <t>fevereiro</t>
  </si>
  <si>
    <t>março</t>
  </si>
  <si>
    <t>abril</t>
  </si>
  <si>
    <t>maio</t>
  </si>
  <si>
    <t>junho</t>
  </si>
  <si>
    <t>Janeiro</t>
  </si>
  <si>
    <t>Fevereiro</t>
  </si>
  <si>
    <t>Março</t>
  </si>
  <si>
    <t>Abril</t>
  </si>
  <si>
    <t>Maio</t>
  </si>
  <si>
    <t>julho</t>
  </si>
  <si>
    <t>agosto</t>
  </si>
  <si>
    <t>setembro</t>
  </si>
  <si>
    <t>outubro</t>
  </si>
  <si>
    <t>novembro</t>
  </si>
  <si>
    <t>dezembro</t>
  </si>
  <si>
    <t>Junho</t>
  </si>
  <si>
    <t>Julho</t>
  </si>
  <si>
    <t>Charcutaria p/ Cozido Tradicional 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</si>
</sst>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[$-816]mmm/yy;@"/>
    <numFmt numFmtId="165" formatCode="#.##0.0\ &quot;€&quot;;\-#.##0.0\ &quot;€&quot;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 tint="0.79998168889431442"/>
      </patternFill>
    </fill>
    <fill>
      <patternFill patternType="solid">
        <fgColor theme="2" tint="-0.249977111117893"/>
        <bgColor theme="9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59">
    <xf numFmtId="0" fontId="0" fillId="0" borderId="0" xfId="0"/>
    <xf numFmtId="17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0" borderId="12" xfId="0" applyBorder="1"/>
    <xf numFmtId="0" fontId="0" fillId="33" borderId="12" xfId="0" applyFill="1" applyBorder="1"/>
    <xf numFmtId="1" fontId="0" fillId="0" borderId="0" xfId="0" applyNumberFormat="1"/>
    <xf numFmtId="1" fontId="0" fillId="0" borderId="10" xfId="0" applyNumberFormat="1" applyBorder="1" applyAlignment="1">
      <alignment horizontal="right"/>
    </xf>
    <xf numFmtId="1" fontId="0" fillId="33" borderId="10" xfId="0" applyNumberFormat="1" applyFill="1" applyBorder="1" applyAlignment="1">
      <alignment horizontal="right"/>
    </xf>
    <xf numFmtId="5" fontId="0" fillId="0" borderId="0" xfId="42" applyNumberFormat="1" applyFont="1"/>
    <xf numFmtId="5" fontId="0" fillId="0" borderId="11" xfId="42" applyNumberFormat="1" applyFont="1" applyBorder="1" applyAlignment="1">
      <alignment horizontal="right"/>
    </xf>
    <xf numFmtId="5" fontId="0" fillId="33" borderId="11" xfId="42" applyNumberFormat="1" applyFont="1" applyFill="1" applyBorder="1" applyAlignment="1">
      <alignment horizontal="right"/>
    </xf>
    <xf numFmtId="5" fontId="0" fillId="33" borderId="10" xfId="42" applyNumberFormat="1" applyFont="1" applyFill="1" applyBorder="1" applyAlignment="1">
      <alignment horizontal="right"/>
    </xf>
    <xf numFmtId="5" fontId="0" fillId="0" borderId="10" xfId="42" applyNumberFormat="1" applyFont="1" applyBorder="1" applyAlignment="1">
      <alignment horizontal="right"/>
    </xf>
    <xf numFmtId="44" fontId="0" fillId="0" borderId="0" xfId="42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42" applyNumberFormat="1" applyFont="1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33" borderId="12" xfId="0" applyFill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14" fillId="34" borderId="13" xfId="0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14" fillId="34" borderId="13" xfId="0" applyFont="1" applyFill="1" applyBorder="1"/>
    <xf numFmtId="1" fontId="14" fillId="34" borderId="13" xfId="0" applyNumberFormat="1" applyFont="1" applyFill="1" applyBorder="1" applyAlignment="1">
      <alignment horizontal="center"/>
    </xf>
    <xf numFmtId="2" fontId="14" fillId="34" borderId="14" xfId="42" applyNumberFormat="1" applyFont="1" applyFill="1" applyBorder="1" applyAlignment="1">
      <alignment horizontal="center"/>
    </xf>
    <xf numFmtId="1" fontId="0" fillId="0" borderId="0" xfId="0" applyNumberFormat="1" applyAlignment="1">
      <alignment horizontal="right"/>
    </xf>
    <xf numFmtId="5" fontId="0" fillId="0" borderId="0" xfId="42" applyNumberFormat="1" applyFont="1" applyAlignment="1">
      <alignment horizontal="righ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5" fontId="17" fillId="0" borderId="0" xfId="42" applyNumberFormat="1" applyFont="1" applyAlignment="1">
      <alignment horizontal="center"/>
    </xf>
    <xf numFmtId="2" fontId="17" fillId="0" borderId="0" xfId="42" applyNumberFormat="1" applyFont="1" applyAlignment="1">
      <alignment horizontal="center"/>
    </xf>
    <xf numFmtId="0" fontId="0" fillId="35" borderId="0" xfId="0" applyFill="1"/>
    <xf numFmtId="17" fontId="0" fillId="35" borderId="0" xfId="0" applyNumberFormat="1" applyFill="1"/>
    <xf numFmtId="1" fontId="0" fillId="35" borderId="0" xfId="0" applyNumberFormat="1" applyFill="1"/>
    <xf numFmtId="5" fontId="0" fillId="35" borderId="0" xfId="42" applyNumberFormat="1" applyFont="1" applyFill="1"/>
    <xf numFmtId="2" fontId="0" fillId="35" borderId="0" xfId="42" applyNumberFormat="1" applyFont="1" applyFill="1"/>
    <xf numFmtId="0" fontId="0" fillId="36" borderId="0" xfId="0" applyFill="1"/>
    <xf numFmtId="17" fontId="0" fillId="36" borderId="0" xfId="0" applyNumberFormat="1" applyFill="1"/>
    <xf numFmtId="1" fontId="0" fillId="36" borderId="0" xfId="0" applyNumberFormat="1" applyFill="1"/>
    <xf numFmtId="5" fontId="0" fillId="36" borderId="0" xfId="42" applyNumberFormat="1" applyFont="1" applyFill="1"/>
    <xf numFmtId="2" fontId="0" fillId="36" borderId="0" xfId="42" applyNumberFormat="1" applyFont="1" applyFill="1"/>
    <xf numFmtId="2" fontId="17" fillId="0" borderId="0" xfId="0" applyNumberFormat="1" applyFont="1" applyAlignment="1">
      <alignment horizontal="center"/>
    </xf>
    <xf numFmtId="0" fontId="0" fillId="37" borderId="0" xfId="0" applyFill="1"/>
    <xf numFmtId="17" fontId="0" fillId="37" borderId="0" xfId="0" applyNumberFormat="1" applyFill="1"/>
    <xf numFmtId="1" fontId="0" fillId="37" borderId="0" xfId="0" applyNumberFormat="1" applyFill="1"/>
    <xf numFmtId="5" fontId="0" fillId="37" borderId="0" xfId="42" applyNumberFormat="1" applyFont="1" applyFill="1"/>
    <xf numFmtId="2" fontId="0" fillId="37" borderId="0" xfId="42" applyNumberFormat="1" applyFont="1" applyFill="1"/>
    <xf numFmtId="0" fontId="0" fillId="38" borderId="0" xfId="0" applyFill="1"/>
    <xf numFmtId="17" fontId="0" fillId="38" borderId="0" xfId="0" applyNumberFormat="1" applyFill="1"/>
    <xf numFmtId="1" fontId="0" fillId="38" borderId="0" xfId="0" applyNumberFormat="1" applyFill="1"/>
    <xf numFmtId="5" fontId="0" fillId="38" borderId="0" xfId="42" applyNumberFormat="1" applyFont="1" applyFill="1"/>
    <xf numFmtId="2" fontId="0" fillId="38" borderId="0" xfId="42" applyNumberFormat="1" applyFont="1" applyFill="1"/>
    <xf numFmtId="0" fontId="0" fillId="39" borderId="0" xfId="0" applyFill="1"/>
    <xf numFmtId="17" fontId="0" fillId="39" borderId="0" xfId="0" applyNumberFormat="1" applyFill="1"/>
    <xf numFmtId="1" fontId="0" fillId="39" borderId="0" xfId="0" applyNumberFormat="1" applyFill="1"/>
    <xf numFmtId="5" fontId="0" fillId="39" borderId="0" xfId="42" applyNumberFormat="1" applyFont="1" applyFill="1"/>
    <xf numFmtId="2" fontId="0" fillId="39" borderId="0" xfId="42" applyNumberFormat="1" applyFont="1" applyFill="1"/>
    <xf numFmtId="0" fontId="0" fillId="40" borderId="0" xfId="0" applyFill="1"/>
    <xf numFmtId="17" fontId="0" fillId="40" borderId="0" xfId="0" applyNumberFormat="1" applyFill="1"/>
    <xf numFmtId="1" fontId="0" fillId="40" borderId="0" xfId="0" applyNumberFormat="1" applyFill="1"/>
    <xf numFmtId="5" fontId="0" fillId="40" borderId="0" xfId="42" applyNumberFormat="1" applyFont="1" applyFill="1"/>
    <xf numFmtId="2" fontId="0" fillId="40" borderId="0" xfId="42" applyNumberFormat="1" applyFont="1" applyFill="1"/>
    <xf numFmtId="0" fontId="0" fillId="41" borderId="0" xfId="0" applyFill="1"/>
    <xf numFmtId="17" fontId="0" fillId="41" borderId="0" xfId="0" applyNumberFormat="1" applyFill="1"/>
    <xf numFmtId="1" fontId="0" fillId="41" borderId="0" xfId="0" applyNumberFormat="1" applyFill="1"/>
    <xf numFmtId="5" fontId="0" fillId="41" borderId="0" xfId="42" applyNumberFormat="1" applyFont="1" applyFill="1"/>
    <xf numFmtId="2" fontId="0" fillId="41" borderId="0" xfId="42" applyNumberFormat="1" applyFont="1" applyFill="1"/>
    <xf numFmtId="0" fontId="0" fillId="42" borderId="0" xfId="0" applyFill="1"/>
    <xf numFmtId="17" fontId="0" fillId="42" borderId="0" xfId="0" applyNumberFormat="1" applyFill="1"/>
    <xf numFmtId="1" fontId="0" fillId="42" borderId="0" xfId="0" applyNumberFormat="1" applyFill="1"/>
    <xf numFmtId="5" fontId="0" fillId="42" borderId="0" xfId="42" applyNumberFormat="1" applyFont="1" applyFill="1"/>
    <xf numFmtId="2" fontId="0" fillId="42" borderId="0" xfId="42" applyNumberFormat="1" applyFont="1" applyFill="1"/>
    <xf numFmtId="0" fontId="0" fillId="43" borderId="0" xfId="0" applyFill="1"/>
    <xf numFmtId="17" fontId="0" fillId="43" borderId="0" xfId="0" applyNumberFormat="1" applyFill="1"/>
    <xf numFmtId="1" fontId="0" fillId="43" borderId="0" xfId="0" applyNumberFormat="1" applyFill="1"/>
    <xf numFmtId="5" fontId="0" fillId="43" borderId="0" xfId="42" applyNumberFormat="1" applyFont="1" applyFill="1"/>
    <xf numFmtId="2" fontId="0" fillId="43" borderId="0" xfId="42" applyNumberFormat="1" applyFont="1" applyFill="1"/>
    <xf numFmtId="0" fontId="0" fillId="44" borderId="0" xfId="0" applyFill="1"/>
    <xf numFmtId="17" fontId="0" fillId="44" borderId="0" xfId="0" applyNumberFormat="1" applyFill="1"/>
    <xf numFmtId="1" fontId="0" fillId="44" borderId="0" xfId="0" applyNumberFormat="1" applyFill="1"/>
    <xf numFmtId="5" fontId="0" fillId="44" borderId="0" xfId="42" applyNumberFormat="1" applyFont="1" applyFill="1"/>
    <xf numFmtId="2" fontId="0" fillId="44" borderId="0" xfId="42" applyNumberFormat="1" applyFont="1" applyFill="1"/>
    <xf numFmtId="0" fontId="0" fillId="45" borderId="0" xfId="0" applyFill="1"/>
    <xf numFmtId="17" fontId="0" fillId="45" borderId="0" xfId="0" applyNumberFormat="1" applyFill="1"/>
    <xf numFmtId="1" fontId="0" fillId="45" borderId="0" xfId="0" applyNumberFormat="1" applyFill="1"/>
    <xf numFmtId="5" fontId="0" fillId="45" borderId="0" xfId="42" applyNumberFormat="1" applyFont="1" applyFill="1"/>
    <xf numFmtId="2" fontId="0" fillId="45" borderId="0" xfId="42" applyNumberFormat="1" applyFont="1" applyFill="1"/>
    <xf numFmtId="0" fontId="0" fillId="46" borderId="10" xfId="0" applyFill="1" applyBorder="1"/>
    <xf numFmtId="1" fontId="0" fillId="46" borderId="10" xfId="0" applyNumberFormat="1" applyFill="1" applyBorder="1" applyAlignment="1">
      <alignment horizontal="right"/>
    </xf>
    <xf numFmtId="5" fontId="0" fillId="46" borderId="11" xfId="42" applyNumberFormat="1" applyFont="1" applyFill="1" applyBorder="1" applyAlignment="1">
      <alignment horizontal="right"/>
    </xf>
    <xf numFmtId="0" fontId="0" fillId="47" borderId="10" xfId="0" applyFill="1" applyBorder="1"/>
    <xf numFmtId="1" fontId="0" fillId="47" borderId="10" xfId="0" applyNumberFormat="1" applyFill="1" applyBorder="1" applyAlignment="1">
      <alignment horizontal="right"/>
    </xf>
    <xf numFmtId="0" fontId="0" fillId="35" borderId="10" xfId="0" applyFill="1" applyBorder="1"/>
    <xf numFmtId="1" fontId="0" fillId="35" borderId="10" xfId="0" applyNumberFormat="1" applyFill="1" applyBorder="1" applyAlignment="1">
      <alignment horizontal="right"/>
    </xf>
    <xf numFmtId="5" fontId="0" fillId="35" borderId="11" xfId="42" applyNumberFormat="1" applyFont="1" applyFill="1" applyBorder="1" applyAlignment="1">
      <alignment horizontal="right"/>
    </xf>
    <xf numFmtId="0" fontId="0" fillId="48" borderId="10" xfId="0" applyFill="1" applyBorder="1"/>
    <xf numFmtId="1" fontId="0" fillId="48" borderId="10" xfId="0" applyNumberFormat="1" applyFill="1" applyBorder="1" applyAlignment="1">
      <alignment horizontal="right"/>
    </xf>
    <xf numFmtId="5" fontId="0" fillId="48" borderId="11" xfId="42" applyNumberFormat="1" applyFont="1" applyFill="1" applyBorder="1" applyAlignment="1">
      <alignment horizontal="right"/>
    </xf>
    <xf numFmtId="0" fontId="0" fillId="36" borderId="10" xfId="0" applyFill="1" applyBorder="1"/>
    <xf numFmtId="1" fontId="0" fillId="36" borderId="10" xfId="0" applyNumberFormat="1" applyFill="1" applyBorder="1" applyAlignment="1">
      <alignment horizontal="right"/>
    </xf>
    <xf numFmtId="5" fontId="0" fillId="36" borderId="11" xfId="42" applyNumberFormat="1" applyFont="1" applyFill="1" applyBorder="1" applyAlignment="1">
      <alignment horizontal="right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right"/>
    </xf>
    <xf numFmtId="5" fontId="0" fillId="49" borderId="11" xfId="42" applyNumberFormat="1" applyFont="1" applyFill="1" applyBorder="1" applyAlignment="1">
      <alignment horizontal="right"/>
    </xf>
    <xf numFmtId="0" fontId="0" fillId="37" borderId="10" xfId="0" applyFill="1" applyBorder="1"/>
    <xf numFmtId="1" fontId="0" fillId="37" borderId="10" xfId="0" applyNumberFormat="1" applyFill="1" applyBorder="1" applyAlignment="1">
      <alignment horizontal="right"/>
    </xf>
    <xf numFmtId="5" fontId="0" fillId="37" borderId="11" xfId="42" applyNumberFormat="1" applyFont="1" applyFill="1" applyBorder="1" applyAlignment="1">
      <alignment horizontal="right"/>
    </xf>
    <xf numFmtId="0" fontId="0" fillId="50" borderId="10" xfId="0" applyFill="1" applyBorder="1"/>
    <xf numFmtId="1" fontId="0" fillId="50" borderId="10" xfId="0" applyNumberFormat="1" applyFill="1" applyBorder="1" applyAlignment="1">
      <alignment horizontal="right"/>
    </xf>
    <xf numFmtId="5" fontId="0" fillId="50" borderId="11" xfId="42" applyNumberFormat="1" applyFont="1" applyFill="1" applyBorder="1" applyAlignment="1">
      <alignment horizontal="right"/>
    </xf>
    <xf numFmtId="0" fontId="0" fillId="42" borderId="10" xfId="0" applyFill="1" applyBorder="1"/>
    <xf numFmtId="1" fontId="0" fillId="42" borderId="10" xfId="0" applyNumberFormat="1" applyFill="1" applyBorder="1" applyAlignment="1">
      <alignment horizontal="right"/>
    </xf>
    <xf numFmtId="5" fontId="0" fillId="42" borderId="11" xfId="42" applyNumberFormat="1" applyFont="1" applyFill="1" applyBorder="1" applyAlignment="1">
      <alignment horizontal="right"/>
    </xf>
    <xf numFmtId="0" fontId="0" fillId="51" borderId="10" xfId="0" applyFill="1" applyBorder="1"/>
    <xf numFmtId="1" fontId="0" fillId="51" borderId="10" xfId="0" applyNumberFormat="1" applyFill="1" applyBorder="1" applyAlignment="1">
      <alignment horizontal="right"/>
    </xf>
    <xf numFmtId="5" fontId="0" fillId="51" borderId="11" xfId="42" applyNumberFormat="1" applyFont="1" applyFill="1" applyBorder="1" applyAlignment="1">
      <alignment horizontal="right"/>
    </xf>
    <xf numFmtId="0" fontId="0" fillId="52" borderId="10" xfId="0" applyFill="1" applyBorder="1"/>
    <xf numFmtId="1" fontId="0" fillId="52" borderId="10" xfId="0" applyNumberFormat="1" applyFill="1" applyBorder="1" applyAlignment="1">
      <alignment horizontal="right"/>
    </xf>
    <xf numFmtId="5" fontId="0" fillId="52" borderId="11" xfId="42" applyNumberFormat="1" applyFont="1" applyFill="1" applyBorder="1" applyAlignment="1">
      <alignment horizontal="right"/>
    </xf>
    <xf numFmtId="0" fontId="0" fillId="39" borderId="10" xfId="0" applyFill="1" applyBorder="1"/>
    <xf numFmtId="1" fontId="0" fillId="39" borderId="10" xfId="0" applyNumberFormat="1" applyFill="1" applyBorder="1" applyAlignment="1">
      <alignment horizontal="right"/>
    </xf>
    <xf numFmtId="5" fontId="0" fillId="39" borderId="11" xfId="42" applyNumberFormat="1" applyFont="1" applyFill="1" applyBorder="1" applyAlignment="1">
      <alignment horizontal="right"/>
    </xf>
    <xf numFmtId="0" fontId="0" fillId="53" borderId="0" xfId="0" applyFill="1"/>
    <xf numFmtId="17" fontId="0" fillId="53" borderId="0" xfId="0" applyNumberFormat="1" applyFill="1"/>
    <xf numFmtId="0" fontId="0" fillId="54" borderId="10" xfId="0" applyFill="1" applyBorder="1"/>
    <xf numFmtId="1" fontId="0" fillId="54" borderId="10" xfId="0" applyNumberFormat="1" applyFill="1" applyBorder="1" applyAlignment="1">
      <alignment horizontal="right"/>
    </xf>
    <xf numFmtId="5" fontId="0" fillId="54" borderId="11" xfId="42" applyNumberFormat="1" applyFont="1" applyFill="1" applyBorder="1" applyAlignment="1">
      <alignment horizontal="right"/>
    </xf>
    <xf numFmtId="2" fontId="0" fillId="53" borderId="0" xfId="42" applyNumberFormat="1" applyFont="1" applyFill="1"/>
    <xf numFmtId="0" fontId="0" fillId="53" borderId="10" xfId="0" applyFill="1" applyBorder="1"/>
    <xf numFmtId="1" fontId="0" fillId="53" borderId="10" xfId="0" applyNumberFormat="1" applyFill="1" applyBorder="1" applyAlignment="1">
      <alignment horizontal="right"/>
    </xf>
    <xf numFmtId="5" fontId="0" fillId="53" borderId="11" xfId="42" applyNumberFormat="1" applyFont="1" applyFill="1" applyBorder="1" applyAlignment="1">
      <alignment horizontal="right"/>
    </xf>
    <xf numFmtId="0" fontId="0" fillId="45" borderId="10" xfId="0" applyFill="1" applyBorder="1"/>
    <xf numFmtId="1" fontId="0" fillId="45" borderId="10" xfId="0" applyNumberFormat="1" applyFill="1" applyBorder="1" applyAlignment="1">
      <alignment horizontal="right"/>
    </xf>
    <xf numFmtId="5" fontId="0" fillId="45" borderId="11" xfId="42" applyNumberFormat="1" applyFont="1" applyFill="1" applyBorder="1" applyAlignment="1">
      <alignment horizontal="right"/>
    </xf>
    <xf numFmtId="0" fontId="0" fillId="55" borderId="10" xfId="0" applyFill="1" applyBorder="1"/>
    <xf numFmtId="1" fontId="0" fillId="55" borderId="10" xfId="0" applyNumberFormat="1" applyFill="1" applyBorder="1" applyAlignment="1">
      <alignment horizontal="right"/>
    </xf>
    <xf numFmtId="5" fontId="0" fillId="55" borderId="11" xfId="42" applyNumberFormat="1" applyFont="1" applyFill="1" applyBorder="1" applyAlignment="1">
      <alignment horizontal="right"/>
    </xf>
    <xf numFmtId="0" fontId="0" fillId="56" borderId="10" xfId="0" applyFill="1" applyBorder="1"/>
    <xf numFmtId="1" fontId="0" fillId="56" borderId="10" xfId="0" applyNumberFormat="1" applyFill="1" applyBorder="1" applyAlignment="1">
      <alignment horizontal="right"/>
    </xf>
    <xf numFmtId="5" fontId="0" fillId="56" borderId="11" xfId="42" applyNumberFormat="1" applyFont="1" applyFill="1" applyBorder="1" applyAlignment="1">
      <alignment horizontal="right"/>
    </xf>
    <xf numFmtId="0" fontId="0" fillId="41" borderId="10" xfId="0" applyFill="1" applyBorder="1"/>
    <xf numFmtId="1" fontId="0" fillId="41" borderId="10" xfId="0" applyNumberFormat="1" applyFill="1" applyBorder="1" applyAlignment="1">
      <alignment horizontal="right"/>
    </xf>
    <xf numFmtId="5" fontId="0" fillId="41" borderId="11" xfId="42" applyNumberFormat="1" applyFont="1" applyFill="1" applyBorder="1" applyAlignment="1">
      <alignment horizontal="right"/>
    </xf>
    <xf numFmtId="0" fontId="0" fillId="57" borderId="0" xfId="0" applyFill="1"/>
    <xf numFmtId="17" fontId="0" fillId="57" borderId="0" xfId="0" applyNumberFormat="1" applyFill="1"/>
    <xf numFmtId="0" fontId="0" fillId="58" borderId="10" xfId="0" applyFill="1" applyBorder="1"/>
    <xf numFmtId="1" fontId="0" fillId="58" borderId="10" xfId="0" applyNumberFormat="1" applyFill="1" applyBorder="1" applyAlignment="1">
      <alignment horizontal="right"/>
    </xf>
    <xf numFmtId="5" fontId="0" fillId="58" borderId="11" xfId="42" applyNumberFormat="1" applyFont="1" applyFill="1" applyBorder="1" applyAlignment="1">
      <alignment horizontal="right"/>
    </xf>
    <xf numFmtId="2" fontId="0" fillId="57" borderId="0" xfId="42" applyNumberFormat="1" applyFont="1" applyFill="1"/>
    <xf numFmtId="0" fontId="0" fillId="57" borderId="10" xfId="0" applyFill="1" applyBorder="1"/>
    <xf numFmtId="1" fontId="0" fillId="57" borderId="10" xfId="0" applyNumberFormat="1" applyFill="1" applyBorder="1" applyAlignment="1">
      <alignment horizontal="right"/>
    </xf>
    <xf numFmtId="5" fontId="0" fillId="57" borderId="11" xfId="42" applyNumberFormat="1" applyFont="1" applyFill="1" applyBorder="1" applyAlignment="1">
      <alignment horizontal="right"/>
    </xf>
    <xf numFmtId="0" fontId="0" fillId="59" borderId="0" xfId="0" applyFill="1"/>
    <xf numFmtId="17" fontId="0" fillId="59" borderId="0" xfId="0" applyNumberFormat="1" applyFill="1"/>
    <xf numFmtId="0" fontId="0" fillId="59" borderId="10" xfId="0" applyFill="1" applyBorder="1"/>
    <xf numFmtId="1" fontId="0" fillId="59" borderId="10" xfId="0" applyNumberFormat="1" applyFill="1" applyBorder="1" applyAlignment="1">
      <alignment horizontal="right"/>
    </xf>
    <xf numFmtId="5" fontId="0" fillId="59" borderId="11" xfId="42" applyNumberFormat="1" applyFont="1" applyFill="1" applyBorder="1" applyAlignment="1">
      <alignment horizontal="right"/>
    </xf>
    <xf numFmtId="2" fontId="0" fillId="59" borderId="0" xfId="42" applyNumberFormat="1" applyFont="1" applyFill="1"/>
    <xf numFmtId="0" fontId="0" fillId="46" borderId="12" xfId="0" applyFill="1" applyBorder="1"/>
    <xf numFmtId="17" fontId="0" fillId="47" borderId="0" xfId="0" applyNumberFormat="1" applyFill="1"/>
    <xf numFmtId="5" fontId="0" fillId="46" borderId="10" xfId="42" applyNumberFormat="1" applyFont="1" applyFill="1" applyBorder="1" applyAlignment="1">
      <alignment horizontal="right"/>
    </xf>
    <xf numFmtId="0" fontId="0" fillId="47" borderId="12" xfId="0" applyFill="1" applyBorder="1"/>
    <xf numFmtId="5" fontId="0" fillId="47" borderId="10" xfId="42" applyNumberFormat="1" applyFont="1" applyFill="1" applyBorder="1" applyAlignment="1">
      <alignment horizontal="right"/>
    </xf>
    <xf numFmtId="0" fontId="0" fillId="58" borderId="12" xfId="0" applyFill="1" applyBorder="1"/>
    <xf numFmtId="5" fontId="0" fillId="58" borderId="10" xfId="42" applyNumberFormat="1" applyFont="1" applyFill="1" applyBorder="1" applyAlignment="1">
      <alignment horizontal="right"/>
    </xf>
    <xf numFmtId="0" fontId="0" fillId="57" borderId="12" xfId="0" applyFill="1" applyBorder="1"/>
    <xf numFmtId="5" fontId="0" fillId="57" borderId="10" xfId="42" applyNumberFormat="1" applyFont="1" applyFill="1" applyBorder="1" applyAlignment="1">
      <alignment horizontal="right"/>
    </xf>
    <xf numFmtId="0" fontId="0" fillId="39" borderId="12" xfId="0" applyFill="1" applyBorder="1"/>
    <xf numFmtId="5" fontId="0" fillId="39" borderId="10" xfId="42" applyNumberFormat="1" applyFont="1" applyFill="1" applyBorder="1" applyAlignment="1">
      <alignment horizontal="right"/>
    </xf>
    <xf numFmtId="0" fontId="0" fillId="52" borderId="12" xfId="0" applyFill="1" applyBorder="1"/>
    <xf numFmtId="5" fontId="0" fillId="52" borderId="10" xfId="42" applyNumberFormat="1" applyFont="1" applyFill="1" applyBorder="1" applyAlignment="1">
      <alignment horizontal="right"/>
    </xf>
    <xf numFmtId="0" fontId="0" fillId="49" borderId="12" xfId="0" applyFill="1" applyBorder="1"/>
    <xf numFmtId="5" fontId="0" fillId="49" borderId="10" xfId="42" applyNumberFormat="1" applyFont="1" applyFill="1" applyBorder="1" applyAlignment="1">
      <alignment horizontal="right"/>
    </xf>
    <xf numFmtId="0" fontId="0" fillId="36" borderId="12" xfId="0" applyFill="1" applyBorder="1"/>
    <xf numFmtId="5" fontId="0" fillId="36" borderId="10" xfId="42" applyNumberFormat="1" applyFont="1" applyFill="1" applyBorder="1" applyAlignment="1">
      <alignment horizontal="right"/>
    </xf>
    <xf numFmtId="0" fontId="0" fillId="51" borderId="12" xfId="0" applyFill="1" applyBorder="1"/>
    <xf numFmtId="5" fontId="0" fillId="51" borderId="10" xfId="42" applyNumberFormat="1" applyFont="1" applyFill="1" applyBorder="1" applyAlignment="1">
      <alignment horizontal="right"/>
    </xf>
    <xf numFmtId="0" fontId="0" fillId="42" borderId="12" xfId="0" applyFill="1" applyBorder="1"/>
    <xf numFmtId="5" fontId="0" fillId="42" borderId="10" xfId="42" applyNumberFormat="1" applyFont="1" applyFill="1" applyBorder="1" applyAlignment="1">
      <alignment horizontal="right"/>
    </xf>
    <xf numFmtId="0" fontId="0" fillId="48" borderId="12" xfId="0" applyFill="1" applyBorder="1"/>
    <xf numFmtId="5" fontId="0" fillId="48" borderId="10" xfId="42" applyNumberFormat="1" applyFont="1" applyFill="1" applyBorder="1" applyAlignment="1">
      <alignment horizontal="right"/>
    </xf>
    <xf numFmtId="0" fontId="0" fillId="35" borderId="12" xfId="0" applyFill="1" applyBorder="1"/>
    <xf numFmtId="5" fontId="0" fillId="35" borderId="10" xfId="42" applyNumberFormat="1" applyFont="1" applyFill="1" applyBorder="1" applyAlignment="1">
      <alignment horizontal="right"/>
    </xf>
    <xf numFmtId="0" fontId="0" fillId="60" borderId="12" xfId="0" applyFill="1" applyBorder="1"/>
    <xf numFmtId="17" fontId="0" fillId="60" borderId="0" xfId="0" applyNumberFormat="1" applyFill="1"/>
    <xf numFmtId="0" fontId="0" fillId="60" borderId="10" xfId="0" applyFill="1" applyBorder="1"/>
    <xf numFmtId="1" fontId="0" fillId="60" borderId="10" xfId="0" applyNumberFormat="1" applyFill="1" applyBorder="1" applyAlignment="1">
      <alignment horizontal="right"/>
    </xf>
    <xf numFmtId="5" fontId="0" fillId="60" borderId="10" xfId="42" applyNumberFormat="1" applyFont="1" applyFill="1" applyBorder="1" applyAlignment="1">
      <alignment horizontal="right"/>
    </xf>
    <xf numFmtId="2" fontId="0" fillId="60" borderId="0" xfId="42" applyNumberFormat="1" applyFont="1" applyFill="1"/>
    <xf numFmtId="0" fontId="0" fillId="60" borderId="0" xfId="0" applyFill="1"/>
    <xf numFmtId="0" fontId="0" fillId="61" borderId="12" xfId="0" applyFill="1" applyBorder="1"/>
    <xf numFmtId="0" fontId="0" fillId="61" borderId="10" xfId="0" applyFill="1" applyBorder="1"/>
    <xf numFmtId="1" fontId="0" fillId="61" borderId="10" xfId="0" applyNumberFormat="1" applyFill="1" applyBorder="1" applyAlignment="1">
      <alignment horizontal="right"/>
    </xf>
    <xf numFmtId="5" fontId="0" fillId="61" borderId="10" xfId="42" applyNumberFormat="1" applyFont="1" applyFill="1" applyBorder="1" applyAlignment="1">
      <alignment horizontal="right"/>
    </xf>
    <xf numFmtId="0" fontId="0" fillId="50" borderId="12" xfId="0" applyFill="1" applyBorder="1"/>
    <xf numFmtId="5" fontId="0" fillId="50" borderId="10" xfId="42" applyNumberFormat="1" applyFont="1" applyFill="1" applyBorder="1" applyAlignment="1">
      <alignment horizontal="right"/>
    </xf>
    <xf numFmtId="0" fontId="0" fillId="37" borderId="12" xfId="0" applyFill="1" applyBorder="1"/>
    <xf numFmtId="5" fontId="0" fillId="37" borderId="10" xfId="42" applyNumberFormat="1" applyFont="1" applyFill="1" applyBorder="1" applyAlignment="1">
      <alignment horizontal="right"/>
    </xf>
    <xf numFmtId="0" fontId="0" fillId="62" borderId="12" xfId="0" applyFill="1" applyBorder="1"/>
    <xf numFmtId="17" fontId="0" fillId="62" borderId="0" xfId="0" applyNumberFormat="1" applyFill="1"/>
    <xf numFmtId="0" fontId="0" fillId="62" borderId="10" xfId="0" applyFill="1" applyBorder="1"/>
    <xf numFmtId="1" fontId="0" fillId="62" borderId="10" xfId="0" applyNumberFormat="1" applyFill="1" applyBorder="1" applyAlignment="1">
      <alignment horizontal="right"/>
    </xf>
    <xf numFmtId="5" fontId="0" fillId="62" borderId="10" xfId="42" applyNumberFormat="1" applyFont="1" applyFill="1" applyBorder="1" applyAlignment="1">
      <alignment horizontal="right"/>
    </xf>
    <xf numFmtId="2" fontId="0" fillId="62" borderId="0" xfId="42" applyNumberFormat="1" applyFont="1" applyFill="1"/>
    <xf numFmtId="0" fontId="0" fillId="62" borderId="0" xfId="0" applyFill="1"/>
    <xf numFmtId="0" fontId="0" fillId="63" borderId="12" xfId="0" applyFill="1" applyBorder="1"/>
    <xf numFmtId="0" fontId="0" fillId="63" borderId="10" xfId="0" applyFill="1" applyBorder="1"/>
    <xf numFmtId="1" fontId="0" fillId="63" borderId="10" xfId="0" applyNumberFormat="1" applyFill="1" applyBorder="1" applyAlignment="1">
      <alignment horizontal="right"/>
    </xf>
    <xf numFmtId="5" fontId="0" fillId="63" borderId="10" xfId="42" applyNumberFormat="1" applyFont="1" applyFill="1" applyBorder="1" applyAlignment="1">
      <alignment horizontal="right"/>
    </xf>
    <xf numFmtId="0" fontId="0" fillId="41" borderId="12" xfId="0" applyFill="1" applyBorder="1"/>
    <xf numFmtId="5" fontId="0" fillId="41" borderId="10" xfId="42" applyNumberFormat="1" applyFont="1" applyFill="1" applyBorder="1" applyAlignment="1">
      <alignment horizontal="right"/>
    </xf>
    <xf numFmtId="0" fontId="0" fillId="56" borderId="12" xfId="0" applyFill="1" applyBorder="1"/>
    <xf numFmtId="5" fontId="0" fillId="56" borderId="10" xfId="42" applyNumberFormat="1" applyFont="1" applyFill="1" applyBorder="1" applyAlignment="1">
      <alignment horizontal="right"/>
    </xf>
    <xf numFmtId="0" fontId="0" fillId="59" borderId="12" xfId="0" applyFill="1" applyBorder="1"/>
    <xf numFmtId="5" fontId="0" fillId="59" borderId="10" xfId="42" applyNumberFormat="1" applyFont="1" applyFill="1" applyBorder="1" applyAlignment="1">
      <alignment horizontal="right"/>
    </xf>
    <xf numFmtId="0" fontId="0" fillId="64" borderId="12" xfId="0" applyFill="1" applyBorder="1"/>
    <xf numFmtId="0" fontId="0" fillId="64" borderId="10" xfId="0" applyFill="1" applyBorder="1"/>
    <xf numFmtId="1" fontId="0" fillId="64" borderId="10" xfId="0" applyNumberFormat="1" applyFill="1" applyBorder="1" applyAlignment="1">
      <alignment horizontal="right"/>
    </xf>
    <xf numFmtId="5" fontId="0" fillId="64" borderId="10" xfId="42" applyNumberFormat="1" applyFont="1" applyFill="1" applyBorder="1" applyAlignment="1">
      <alignment horizontal="right"/>
    </xf>
    <xf numFmtId="164" fontId="0" fillId="53" borderId="0" xfId="0" applyNumberFormat="1" applyFill="1"/>
    <xf numFmtId="1" fontId="0" fillId="53" borderId="0" xfId="0" applyNumberFormat="1" applyFill="1"/>
    <xf numFmtId="5" fontId="0" fillId="53" borderId="0" xfId="42" applyNumberFormat="1" applyFont="1" applyFill="1"/>
    <xf numFmtId="164" fontId="0" fillId="36" borderId="0" xfId="0" applyNumberFormat="1" applyFill="1"/>
    <xf numFmtId="165" fontId="0" fillId="0" borderId="0" xfId="0" applyNumberFormat="1"/>
    <xf numFmtId="0" fontId="0" fillId="65" borderId="0" xfId="0" applyFill="1"/>
    <xf numFmtId="164" fontId="0" fillId="65" borderId="0" xfId="0" applyNumberFormat="1" applyFill="1"/>
    <xf numFmtId="1" fontId="0" fillId="65" borderId="0" xfId="0" applyNumberFormat="1" applyFill="1"/>
    <xf numFmtId="5" fontId="0" fillId="65" borderId="0" xfId="42" applyNumberFormat="1" applyFont="1" applyFill="1"/>
    <xf numFmtId="2" fontId="0" fillId="65" borderId="0" xfId="42" applyNumberFormat="1" applyFont="1" applyFill="1"/>
    <xf numFmtId="164" fontId="0" fillId="45" borderId="0" xfId="0" applyNumberFormat="1" applyFill="1"/>
    <xf numFmtId="164" fontId="0" fillId="43" borderId="0" xfId="0" applyNumberFormat="1" applyFill="1"/>
    <xf numFmtId="164" fontId="0" fillId="37" borderId="0" xfId="0" applyNumberFormat="1" applyFill="1"/>
    <xf numFmtId="164" fontId="0" fillId="39" borderId="0" xfId="0" applyNumberFormat="1" applyFill="1"/>
    <xf numFmtId="164" fontId="0" fillId="59" borderId="0" xfId="0" applyNumberFormat="1" applyFill="1"/>
    <xf numFmtId="1" fontId="0" fillId="59" borderId="0" xfId="0" applyNumberFormat="1" applyFill="1"/>
    <xf numFmtId="5" fontId="0" fillId="59" borderId="0" xfId="42" applyNumberFormat="1" applyFont="1" applyFill="1"/>
    <xf numFmtId="0" fontId="19" fillId="36" borderId="0" xfId="0" applyFont="1" applyFill="1"/>
    <xf numFmtId="164" fontId="19" fillId="36" borderId="0" xfId="0" applyNumberFormat="1" applyFont="1" applyFill="1"/>
    <xf numFmtId="1" fontId="19" fillId="36" borderId="0" xfId="0" applyNumberFormat="1" applyFont="1" applyFill="1"/>
    <xf numFmtId="5" fontId="19" fillId="36" borderId="0" xfId="42" applyNumberFormat="1" applyFont="1" applyFill="1"/>
    <xf numFmtId="2" fontId="19" fillId="36" borderId="0" xfId="42" applyNumberFormat="1" applyFont="1" applyFill="1"/>
    <xf numFmtId="164" fontId="0" fillId="41" borderId="0" xfId="0" applyNumberFormat="1" applyFill="1"/>
    <xf numFmtId="164" fontId="0" fillId="42" borderId="0" xfId="0" applyNumberFormat="1" applyFill="1"/>
    <xf numFmtId="0" fontId="0" fillId="66" borderId="0" xfId="0" applyFill="1"/>
    <xf numFmtId="164" fontId="0" fillId="66" borderId="0" xfId="0" applyNumberFormat="1" applyFill="1"/>
    <xf numFmtId="1" fontId="0" fillId="66" borderId="0" xfId="0" applyNumberFormat="1" applyFill="1"/>
    <xf numFmtId="5" fontId="0" fillId="66" borderId="0" xfId="42" applyNumberFormat="1" applyFont="1" applyFill="1"/>
    <xf numFmtId="2" fontId="0" fillId="66" borderId="0" xfId="42" applyNumberFormat="1" applyFont="1" applyFill="1"/>
    <xf numFmtId="164" fontId="0" fillId="40" borderId="0" xfId="0" applyNumberFormat="1" applyFill="1"/>
    <xf numFmtId="2" fontId="0" fillId="35" borderId="0" xfId="0" applyNumberFormat="1" applyFill="1"/>
    <xf numFmtId="2" fontId="0" fillId="47" borderId="0" xfId="0" applyNumberFormat="1" applyFill="1"/>
    <xf numFmtId="0" fontId="0" fillId="47" borderId="0" xfId="0" applyFill="1"/>
    <xf numFmtId="1" fontId="0" fillId="47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oeda 2" xfId="43" xr:uid="{5D2071A3-89DC-4FCF-BFCB-E2A1D080DCD2}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#,##0\ &quot;€&quot;;\-#,##0\ &quot;€&quot;"/>
    </dxf>
    <dxf>
      <numFmt numFmtId="1" formatCode="0"/>
    </dxf>
    <dxf>
      <numFmt numFmtId="164" formatCode="[$-816]mmm/yy;@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22" formatCode="mmm/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401562062023801E-2"/>
          <c:y val="6.1297982283464565E-2"/>
          <c:w val="0.907697652901301"/>
          <c:h val="0.82011216371391082"/>
        </c:manualLayout>
      </c:layout>
      <c:lineChart>
        <c:grouping val="percentStacked"/>
        <c:varyColors val="0"/>
        <c:ser>
          <c:idx val="0"/>
          <c:order val="0"/>
          <c:tx>
            <c:strRef>
              <c:f>AT!$J$3</c:f>
              <c:strCache>
                <c:ptCount val="1"/>
                <c:pt idx="0">
                  <c:v>KGS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AT!$H$4:$I$20</c:f>
              <c:multiLvlStrCache>
                <c:ptCount val="17"/>
                <c:lvl>
                  <c:pt idx="0">
                    <c:v>CHOURIÇO CRIOLO 1 KG</c:v>
                  </c:pt>
                  <c:pt idx="1">
                    <c:v>CHOURIÇO CRIOLO 1 KG</c:v>
                  </c:pt>
                  <c:pt idx="2">
                    <c:v>CHOURIÇO CRIOLO 1 KG</c:v>
                  </c:pt>
                  <c:pt idx="3">
                    <c:v>CHOURIÇO CRIOLO 1 KG</c:v>
                  </c:pt>
                  <c:pt idx="4">
                    <c:v>CHOURIÇO CRIOLO 1 KG</c:v>
                  </c:pt>
                  <c:pt idx="5">
                    <c:v>CHOURIÇO CRIOLO 1 KG</c:v>
                  </c:pt>
                  <c:pt idx="6">
                    <c:v>CHOURIÇO CRIOLO 1 KG</c:v>
                  </c:pt>
                  <c:pt idx="7">
                    <c:v>CHOURIÇO CRIOLO 1 KG</c:v>
                  </c:pt>
                  <c:pt idx="8">
                    <c:v>CHOURIÇO CRIOLO 1 KG</c:v>
                  </c:pt>
                  <c:pt idx="9">
                    <c:v>CHOURIÇO CRIOLO 1 KG</c:v>
                  </c:pt>
                  <c:pt idx="10">
                    <c:v>CHOURIÇO CRIOLO 1 KG</c:v>
                  </c:pt>
                  <c:pt idx="11">
                    <c:v>CHOURIÇO CRIOLO 1 KG</c:v>
                  </c:pt>
                  <c:pt idx="12">
                    <c:v>CHOURIÇO CRIOLO 1 KG</c:v>
                  </c:pt>
                  <c:pt idx="13">
                    <c:v>CHOURIÇO CRIOLO 1 KG</c:v>
                  </c:pt>
                  <c:pt idx="14">
                    <c:v>CHOURIÇO CRIOLO 1 KG</c:v>
                  </c:pt>
                  <c:pt idx="15">
                    <c:v>CHOURIÇO CRIOLO 1 KG</c:v>
                  </c:pt>
                  <c:pt idx="16">
                    <c:v>CHOURIÇO CRIOLO 1 KG</c:v>
                  </c:pt>
                </c:lvl>
                <c:lvl>
                  <c:pt idx="0">
                    <c:v>dez/22</c:v>
                  </c:pt>
                  <c:pt idx="1">
                    <c:v>jan/23</c:v>
                  </c:pt>
                  <c:pt idx="2">
                    <c:v>fev/23</c:v>
                  </c:pt>
                  <c:pt idx="3">
                    <c:v>mar/23</c:v>
                  </c:pt>
                  <c:pt idx="4">
                    <c:v>abr/23</c:v>
                  </c:pt>
                  <c:pt idx="5">
                    <c:v>mai/23</c:v>
                  </c:pt>
                  <c:pt idx="6">
                    <c:v>jun/23</c:v>
                  </c:pt>
                  <c:pt idx="7">
                    <c:v>jul/23</c:v>
                  </c:pt>
                  <c:pt idx="8">
                    <c:v>ago/23</c:v>
                  </c:pt>
                  <c:pt idx="9">
                    <c:v>set/23</c:v>
                  </c:pt>
                  <c:pt idx="10">
                    <c:v>out/23</c:v>
                  </c:pt>
                  <c:pt idx="11">
                    <c:v>nov/23</c:v>
                  </c:pt>
                  <c:pt idx="12">
                    <c:v>dez/23</c:v>
                  </c:pt>
                  <c:pt idx="13">
                    <c:v>jan/24</c:v>
                  </c:pt>
                  <c:pt idx="14">
                    <c:v>fev/24</c:v>
                  </c:pt>
                  <c:pt idx="15">
                    <c:v>mar/24</c:v>
                  </c:pt>
                  <c:pt idx="16">
                    <c:v>abr/24</c:v>
                  </c:pt>
                </c:lvl>
              </c:multiLvlStrCache>
            </c:multiLvlStrRef>
          </c:cat>
          <c:val>
            <c:numRef>
              <c:f>AT!$J$4:$J$20</c:f>
              <c:numCache>
                <c:formatCode>General</c:formatCode>
                <c:ptCount val="17"/>
                <c:pt idx="0">
                  <c:v>5298</c:v>
                </c:pt>
                <c:pt idx="1">
                  <c:v>5634.9</c:v>
                </c:pt>
                <c:pt idx="2">
                  <c:v>6241.24</c:v>
                </c:pt>
                <c:pt idx="3">
                  <c:v>6138.86</c:v>
                </c:pt>
                <c:pt idx="4">
                  <c:v>6713.51</c:v>
                </c:pt>
                <c:pt idx="5">
                  <c:v>6771.5</c:v>
                </c:pt>
                <c:pt idx="6">
                  <c:v>8281.69</c:v>
                </c:pt>
                <c:pt idx="7">
                  <c:v>6235.15</c:v>
                </c:pt>
                <c:pt idx="8">
                  <c:v>8830.56</c:v>
                </c:pt>
                <c:pt idx="9">
                  <c:v>6418.6</c:v>
                </c:pt>
                <c:pt idx="10">
                  <c:v>6762.73</c:v>
                </c:pt>
                <c:pt idx="11">
                  <c:v>6656.39</c:v>
                </c:pt>
                <c:pt idx="12">
                  <c:v>6918.17</c:v>
                </c:pt>
                <c:pt idx="13">
                  <c:v>6373.58</c:v>
                </c:pt>
                <c:pt idx="14">
                  <c:v>4636.3</c:v>
                </c:pt>
                <c:pt idx="15">
                  <c:v>5327</c:v>
                </c:pt>
                <c:pt idx="16">
                  <c:v>6026.7560000000003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B-4AB7-A92B-89A421370A14}"/>
            </c:ext>
          </c:extLst>
        </c:ser>
        <c:ser>
          <c:idx val="1"/>
          <c:order val="1"/>
          <c:tx>
            <c:strRef>
              <c:f>AT!$K$3</c:f>
              <c:strCache>
                <c:ptCount val="1"/>
                <c:pt idx="0">
                  <c:v>PM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AT!$H$4:$I$20</c:f>
              <c:multiLvlStrCache>
                <c:ptCount val="17"/>
                <c:lvl>
                  <c:pt idx="0">
                    <c:v>CHOURIÇO CRIOLO 1 KG</c:v>
                  </c:pt>
                  <c:pt idx="1">
                    <c:v>CHOURIÇO CRIOLO 1 KG</c:v>
                  </c:pt>
                  <c:pt idx="2">
                    <c:v>CHOURIÇO CRIOLO 1 KG</c:v>
                  </c:pt>
                  <c:pt idx="3">
                    <c:v>CHOURIÇO CRIOLO 1 KG</c:v>
                  </c:pt>
                  <c:pt idx="4">
                    <c:v>CHOURIÇO CRIOLO 1 KG</c:v>
                  </c:pt>
                  <c:pt idx="5">
                    <c:v>CHOURIÇO CRIOLO 1 KG</c:v>
                  </c:pt>
                  <c:pt idx="6">
                    <c:v>CHOURIÇO CRIOLO 1 KG</c:v>
                  </c:pt>
                  <c:pt idx="7">
                    <c:v>CHOURIÇO CRIOLO 1 KG</c:v>
                  </c:pt>
                  <c:pt idx="8">
                    <c:v>CHOURIÇO CRIOLO 1 KG</c:v>
                  </c:pt>
                  <c:pt idx="9">
                    <c:v>CHOURIÇO CRIOLO 1 KG</c:v>
                  </c:pt>
                  <c:pt idx="10">
                    <c:v>CHOURIÇO CRIOLO 1 KG</c:v>
                  </c:pt>
                  <c:pt idx="11">
                    <c:v>CHOURIÇO CRIOLO 1 KG</c:v>
                  </c:pt>
                  <c:pt idx="12">
                    <c:v>CHOURIÇO CRIOLO 1 KG</c:v>
                  </c:pt>
                  <c:pt idx="13">
                    <c:v>CHOURIÇO CRIOLO 1 KG</c:v>
                  </c:pt>
                  <c:pt idx="14">
                    <c:v>CHOURIÇO CRIOLO 1 KG</c:v>
                  </c:pt>
                  <c:pt idx="15">
                    <c:v>CHOURIÇO CRIOLO 1 KG</c:v>
                  </c:pt>
                  <c:pt idx="16">
                    <c:v>CHOURIÇO CRIOLO 1 KG</c:v>
                  </c:pt>
                </c:lvl>
                <c:lvl>
                  <c:pt idx="0">
                    <c:v>dez/22</c:v>
                  </c:pt>
                  <c:pt idx="1">
                    <c:v>jan/23</c:v>
                  </c:pt>
                  <c:pt idx="2">
                    <c:v>fev/23</c:v>
                  </c:pt>
                  <c:pt idx="3">
                    <c:v>mar/23</c:v>
                  </c:pt>
                  <c:pt idx="4">
                    <c:v>abr/23</c:v>
                  </c:pt>
                  <c:pt idx="5">
                    <c:v>mai/23</c:v>
                  </c:pt>
                  <c:pt idx="6">
                    <c:v>jun/23</c:v>
                  </c:pt>
                  <c:pt idx="7">
                    <c:v>jul/23</c:v>
                  </c:pt>
                  <c:pt idx="8">
                    <c:v>ago/23</c:v>
                  </c:pt>
                  <c:pt idx="9">
                    <c:v>set/23</c:v>
                  </c:pt>
                  <c:pt idx="10">
                    <c:v>out/23</c:v>
                  </c:pt>
                  <c:pt idx="11">
                    <c:v>nov/23</c:v>
                  </c:pt>
                  <c:pt idx="12">
                    <c:v>dez/23</c:v>
                  </c:pt>
                  <c:pt idx="13">
                    <c:v>jan/24</c:v>
                  </c:pt>
                  <c:pt idx="14">
                    <c:v>fev/24</c:v>
                  </c:pt>
                  <c:pt idx="15">
                    <c:v>mar/24</c:v>
                  </c:pt>
                  <c:pt idx="16">
                    <c:v>abr/24</c:v>
                  </c:pt>
                </c:lvl>
              </c:multiLvlStrCache>
            </c:multiLvlStrRef>
          </c:cat>
          <c:val>
            <c:numRef>
              <c:f>AT!$K$4:$K$20</c:f>
              <c:numCache>
                <c:formatCode>_("€"* #,##0.00_);_("€"* \(#,##0.00\);_("€"* "-"??_);_(@_)</c:formatCode>
                <c:ptCount val="17"/>
                <c:pt idx="0">
                  <c:v>3.0344110985277464</c:v>
                </c:pt>
                <c:pt idx="1">
                  <c:v>3.1417771389021989</c:v>
                </c:pt>
                <c:pt idx="2">
                  <c:v>3.1357550743121561</c:v>
                </c:pt>
                <c:pt idx="3">
                  <c:v>3.2213277383748773</c:v>
                </c:pt>
                <c:pt idx="4">
                  <c:v>3.2939997110304442</c:v>
                </c:pt>
                <c:pt idx="5">
                  <c:v>3.3218947057520487</c:v>
                </c:pt>
                <c:pt idx="6">
                  <c:v>3.2627446813391954</c:v>
                </c:pt>
                <c:pt idx="7">
                  <c:v>3.3337241285293859</c:v>
                </c:pt>
                <c:pt idx="8">
                  <c:v>3.3274922541718759</c:v>
                </c:pt>
                <c:pt idx="9">
                  <c:v>3.2988361948088367</c:v>
                </c:pt>
                <c:pt idx="10">
                  <c:v>3.2560208673124613</c:v>
                </c:pt>
                <c:pt idx="11">
                  <c:v>3.299739047742094</c:v>
                </c:pt>
                <c:pt idx="12">
                  <c:v>3.2468152705122888</c:v>
                </c:pt>
                <c:pt idx="13">
                  <c:v>3.1471700363061266</c:v>
                </c:pt>
                <c:pt idx="14">
                  <c:v>3.3300282552897782</c:v>
                </c:pt>
                <c:pt idx="15">
                  <c:v>3.3394687441336584</c:v>
                </c:pt>
                <c:pt idx="16">
                  <c:v>3.3471854510121193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B-4AB7-A92B-89A421370A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6531232"/>
        <c:axId val="70081104"/>
      </c:lineChart>
      <c:catAx>
        <c:axId val="179653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1104"/>
        <c:crosses val="autoZero"/>
        <c:auto val="1"/>
        <c:lblAlgn val="ctr"/>
        <c:lblOffset val="100"/>
        <c:noMultiLvlLbl val="0"/>
      </c:catAx>
      <c:valAx>
        <c:axId val="70081104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79653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2</xdr:row>
      <xdr:rowOff>30480</xdr:rowOff>
    </xdr:from>
    <xdr:to>
      <xdr:col>21</xdr:col>
      <xdr:colOff>502920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F312A-2DB0-0AF1-155B-0E53A2439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B93B5-F13F-4C98-80BA-8EA992747BBE}" name="PRD" displayName="PRD" ref="A1:F3835" totalsRowShown="0">
  <autoFilter ref="A1:F3835" xr:uid="{EA0B93B5-F13F-4C98-80BA-8EA992747BBE}"/>
  <sortState xmlns:xlrd2="http://schemas.microsoft.com/office/spreadsheetml/2017/richdata2" ref="A319:F1854">
    <sortCondition ref="C1:C2802"/>
  </sortState>
  <tableColumns count="6">
    <tableColumn id="1" xr3:uid="{8A4D4696-C27B-433F-9A59-18D01F08BE09}" name="CODIGO" dataDxfId="8"/>
    <tableColumn id="2" xr3:uid="{9B5EC052-F830-4926-8E90-C100DFB8204B}" name="DATA" dataDxfId="7"/>
    <tableColumn id="3" xr3:uid="{C43593A4-7D93-4116-96B8-D8F290698287}" name="PRODUTO"/>
    <tableColumn id="4" xr3:uid="{267931EB-6DB8-46FB-BA0E-563B3A4D1FD4}" name="KGS" dataDxfId="6"/>
    <tableColumn id="5" xr3:uid="{0C665C84-24F5-42F2-8BD1-6CD1EA548B3C}" name="VALOR" dataDxfId="5"/>
    <tableColumn id="6" xr3:uid="{E284E77D-43D2-44DD-82DE-B059197A5AA8}" name="PM" dataDxfId="4">
      <calculatedColumnFormula>IFERROR(PRD[[#This Row],[VALOR]]/PRD[[#This Row],[KGS]],"")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7E4E6-5B1C-466E-9038-DD4DA03DAB10}" name="Table1" displayName="Table1" ref="A1:H1382" totalsRowShown="0">
  <autoFilter ref="A1:H1382" xr:uid="{A7D7E4E6-5B1C-466E-9038-DD4DA03DAB10}">
    <filterColumn colId="6">
      <filters>
        <filter val="maio"/>
      </filters>
    </filterColumn>
    <filterColumn colId="7">
      <filters>
        <filter val="2023"/>
      </filters>
    </filterColumn>
  </autoFilter>
  <tableColumns count="8">
    <tableColumn id="1" xr3:uid="{5E738717-1C18-4A2F-9B44-E57562BA5A59}" name="CODIGO"/>
    <tableColumn id="2" xr3:uid="{C9DA9D48-B507-4F55-8300-2FE4FFD80DB7}" name="DATA" dataDxfId="3"/>
    <tableColumn id="3" xr3:uid="{8CFAAC07-CA6C-4576-A95C-9DF975AF1C05}" name="PRODUTO"/>
    <tableColumn id="4" xr3:uid="{C47B9A48-D11E-4CBF-A2E5-7F7BB08A0E28}" name="KGS" dataDxfId="2"/>
    <tableColumn id="5" xr3:uid="{89B56607-05A4-4EBF-975F-7EC24A676D8B}" name="VALOR" dataDxfId="1" dataCellStyle="Currency"/>
    <tableColumn id="6" xr3:uid="{5D9233CA-C121-4CE6-8477-3AE8DDA5E98E}" name="PM" dataDxfId="0" dataCellStyle="Currency">
      <calculatedColumnFormula>E2/D2</calculatedColumnFormula>
    </tableColumn>
    <tableColumn id="7" xr3:uid="{8D6D854B-11EB-4BF4-B290-D308C825386D}" name="Mês">
      <calculatedColumnFormula>TEXT(B2,"mmmm")</calculatedColumnFormula>
    </tableColumn>
    <tableColumn id="8" xr3:uid="{6C848EA9-FF2C-4252-8024-8B5C20E5DA89}" name="Ano">
      <calculatedColumnFormula>YEAR(B2)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2879-3959-4D46-AF6F-E107CCF79358}">
  <dimension ref="A1:G3685"/>
  <sheetViews>
    <sheetView topLeftCell="A588" workbookViewId="0">
      <selection activeCell="C122" sqref="C122"/>
    </sheetView>
  </sheetViews>
  <sheetFormatPr defaultRowHeight="15" x14ac:dyDescent="0.25"/>
  <cols>
    <col min="1" max="1" width="8" bestFit="1" customWidth="1"/>
    <col min="3" max="3" width="34.85546875" customWidth="1"/>
    <col min="4" max="4" width="9" style="6" bestFit="1" customWidth="1"/>
    <col min="5" max="5" width="12.7109375" style="9" customWidth="1"/>
    <col min="6" max="6" width="9.28515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6" t="s">
        <v>3</v>
      </c>
      <c r="E1" s="9" t="s">
        <v>4</v>
      </c>
      <c r="F1" t="s">
        <v>1023</v>
      </c>
      <c r="G1" t="s">
        <v>1024</v>
      </c>
    </row>
    <row r="2" spans="1:7" x14ac:dyDescent="0.25">
      <c r="A2" t="s">
        <v>5</v>
      </c>
      <c r="B2" s="1">
        <v>44927</v>
      </c>
      <c r="C2" t="s">
        <v>6</v>
      </c>
      <c r="D2" s="6">
        <v>1197.5999999999999</v>
      </c>
      <c r="E2" s="9">
        <v>593.9</v>
      </c>
      <c r="F2" t="str">
        <f>TEXT(B2,"mmmm")</f>
        <v>janeiro</v>
      </c>
      <c r="G2">
        <f>YEAR(B2)</f>
        <v>2023</v>
      </c>
    </row>
    <row r="3" spans="1:7" x14ac:dyDescent="0.25">
      <c r="A3" t="s">
        <v>7</v>
      </c>
      <c r="B3" s="1">
        <v>44927</v>
      </c>
      <c r="C3" t="s">
        <v>8</v>
      </c>
      <c r="D3" s="6">
        <v>5754</v>
      </c>
      <c r="E3" s="9">
        <v>4523</v>
      </c>
      <c r="F3" t="str">
        <f t="shared" ref="F3:F66" si="0">TEXT(B3,"mmmm")</f>
        <v>janeiro</v>
      </c>
      <c r="G3">
        <f t="shared" ref="G3:G66" si="1">YEAR(B3)</f>
        <v>2023</v>
      </c>
    </row>
    <row r="4" spans="1:7" x14ac:dyDescent="0.25">
      <c r="A4" t="s">
        <v>9</v>
      </c>
      <c r="B4" s="1">
        <v>44927</v>
      </c>
      <c r="C4" t="s">
        <v>10</v>
      </c>
      <c r="D4" s="6">
        <v>1429</v>
      </c>
      <c r="E4" s="9">
        <v>2355</v>
      </c>
      <c r="F4" t="str">
        <f t="shared" si="0"/>
        <v>janeiro</v>
      </c>
      <c r="G4">
        <f t="shared" si="1"/>
        <v>2023</v>
      </c>
    </row>
    <row r="5" spans="1:7" x14ac:dyDescent="0.25">
      <c r="A5" t="s">
        <v>11</v>
      </c>
      <c r="B5" s="1">
        <v>44927</v>
      </c>
      <c r="C5" t="s">
        <v>12</v>
      </c>
      <c r="D5" s="6">
        <v>33.299999999999997</v>
      </c>
      <c r="E5" s="9">
        <v>227</v>
      </c>
      <c r="F5" t="str">
        <f t="shared" si="0"/>
        <v>janeiro</v>
      </c>
      <c r="G5">
        <f t="shared" si="1"/>
        <v>2023</v>
      </c>
    </row>
    <row r="6" spans="1:7" x14ac:dyDescent="0.25">
      <c r="A6" t="s">
        <v>15</v>
      </c>
      <c r="B6" s="1">
        <v>44927</v>
      </c>
      <c r="C6" t="s">
        <v>16</v>
      </c>
      <c r="D6" s="6">
        <v>608.79999999999995</v>
      </c>
      <c r="E6" s="9">
        <v>984</v>
      </c>
      <c r="F6" t="str">
        <f t="shared" si="0"/>
        <v>janeiro</v>
      </c>
      <c r="G6">
        <f t="shared" si="1"/>
        <v>2023</v>
      </c>
    </row>
    <row r="7" spans="1:7" x14ac:dyDescent="0.25">
      <c r="A7" t="s">
        <v>17</v>
      </c>
      <c r="B7" s="1">
        <v>44927</v>
      </c>
      <c r="C7" t="s">
        <v>18</v>
      </c>
      <c r="D7" s="6">
        <v>81.3</v>
      </c>
      <c r="E7" s="9">
        <v>94</v>
      </c>
      <c r="F7" t="str">
        <f t="shared" si="0"/>
        <v>janeiro</v>
      </c>
      <c r="G7">
        <f t="shared" si="1"/>
        <v>2023</v>
      </c>
    </row>
    <row r="8" spans="1:7" x14ac:dyDescent="0.25">
      <c r="A8" t="s">
        <v>19</v>
      </c>
      <c r="B8" s="1">
        <v>44927</v>
      </c>
      <c r="C8" t="s">
        <v>20</v>
      </c>
      <c r="D8" s="6">
        <v>1398.5</v>
      </c>
      <c r="E8" s="9">
        <v>797</v>
      </c>
      <c r="F8" t="str">
        <f t="shared" si="0"/>
        <v>janeiro</v>
      </c>
      <c r="G8">
        <f t="shared" si="1"/>
        <v>2023</v>
      </c>
    </row>
    <row r="9" spans="1:7" x14ac:dyDescent="0.25">
      <c r="A9">
        <v>1011100</v>
      </c>
      <c r="B9" s="1">
        <v>44927</v>
      </c>
      <c r="C9" t="s">
        <v>293</v>
      </c>
      <c r="D9" s="6">
        <v>182.5</v>
      </c>
      <c r="E9" s="9">
        <v>81</v>
      </c>
      <c r="F9" t="str">
        <f t="shared" si="0"/>
        <v>janeiro</v>
      </c>
      <c r="G9">
        <f t="shared" si="1"/>
        <v>2023</v>
      </c>
    </row>
    <row r="10" spans="1:7" x14ac:dyDescent="0.25">
      <c r="A10">
        <v>1011200</v>
      </c>
      <c r="B10" s="1">
        <v>44927</v>
      </c>
      <c r="C10" t="s">
        <v>24</v>
      </c>
      <c r="D10" s="6">
        <v>50</v>
      </c>
      <c r="E10" s="9">
        <v>67</v>
      </c>
      <c r="F10" t="str">
        <f t="shared" si="0"/>
        <v>janeiro</v>
      </c>
      <c r="G10">
        <f t="shared" si="1"/>
        <v>2023</v>
      </c>
    </row>
    <row r="11" spans="1:7" x14ac:dyDescent="0.25">
      <c r="A11" t="s">
        <v>294</v>
      </c>
      <c r="B11" s="1">
        <v>44927</v>
      </c>
      <c r="C11" t="s">
        <v>295</v>
      </c>
      <c r="D11" s="6">
        <v>14562</v>
      </c>
      <c r="E11" s="9">
        <v>11560</v>
      </c>
      <c r="F11" t="str">
        <f t="shared" si="0"/>
        <v>janeiro</v>
      </c>
      <c r="G11">
        <f t="shared" si="1"/>
        <v>2023</v>
      </c>
    </row>
    <row r="12" spans="1:7" x14ac:dyDescent="0.25">
      <c r="A12">
        <v>1011400</v>
      </c>
      <c r="B12" s="1">
        <v>44927</v>
      </c>
      <c r="C12" t="s">
        <v>25</v>
      </c>
      <c r="D12" s="6">
        <v>20</v>
      </c>
      <c r="E12" s="9">
        <v>50</v>
      </c>
      <c r="F12" t="str">
        <f t="shared" si="0"/>
        <v>janeiro</v>
      </c>
      <c r="G12">
        <f t="shared" si="1"/>
        <v>2023</v>
      </c>
    </row>
    <row r="13" spans="1:7" x14ac:dyDescent="0.25">
      <c r="A13" t="s">
        <v>26</v>
      </c>
      <c r="B13" s="1">
        <v>44927</v>
      </c>
      <c r="C13" t="s">
        <v>27</v>
      </c>
      <c r="D13" s="6">
        <v>3335</v>
      </c>
      <c r="E13" s="9">
        <v>2682</v>
      </c>
      <c r="F13" t="str">
        <f t="shared" si="0"/>
        <v>janeiro</v>
      </c>
      <c r="G13">
        <f t="shared" si="1"/>
        <v>2023</v>
      </c>
    </row>
    <row r="14" spans="1:7" x14ac:dyDescent="0.25">
      <c r="A14" t="s">
        <v>296</v>
      </c>
      <c r="B14" s="1">
        <v>44927</v>
      </c>
      <c r="C14" t="s">
        <v>297</v>
      </c>
      <c r="D14" s="6">
        <v>3288</v>
      </c>
      <c r="E14" s="9">
        <v>1644</v>
      </c>
      <c r="F14" t="str">
        <f t="shared" si="0"/>
        <v>janeiro</v>
      </c>
      <c r="G14">
        <f t="shared" si="1"/>
        <v>2023</v>
      </c>
    </row>
    <row r="15" spans="1:7" x14ac:dyDescent="0.25">
      <c r="A15" t="s">
        <v>28</v>
      </c>
      <c r="B15" s="1">
        <v>44927</v>
      </c>
      <c r="C15" t="s">
        <v>29</v>
      </c>
      <c r="D15" s="6">
        <v>31840</v>
      </c>
      <c r="E15" s="9">
        <v>1910</v>
      </c>
      <c r="F15" t="str">
        <f t="shared" si="0"/>
        <v>janeiro</v>
      </c>
      <c r="G15">
        <f t="shared" si="1"/>
        <v>2023</v>
      </c>
    </row>
    <row r="16" spans="1:7" x14ac:dyDescent="0.25">
      <c r="A16" t="s">
        <v>30</v>
      </c>
      <c r="B16" s="1">
        <v>44927</v>
      </c>
      <c r="C16" t="s">
        <v>31</v>
      </c>
      <c r="D16" s="6">
        <v>283</v>
      </c>
      <c r="E16" s="9">
        <v>467</v>
      </c>
      <c r="F16" t="str">
        <f t="shared" si="0"/>
        <v>janeiro</v>
      </c>
      <c r="G16">
        <f t="shared" si="1"/>
        <v>2023</v>
      </c>
    </row>
    <row r="17" spans="1:7" x14ac:dyDescent="0.25">
      <c r="A17">
        <v>1011701</v>
      </c>
      <c r="B17" s="1">
        <v>44927</v>
      </c>
      <c r="C17" t="s">
        <v>298</v>
      </c>
      <c r="D17" s="6">
        <v>1644</v>
      </c>
      <c r="E17" s="9">
        <v>1315</v>
      </c>
      <c r="F17" t="str">
        <f t="shared" si="0"/>
        <v>janeiro</v>
      </c>
      <c r="G17">
        <f t="shared" si="1"/>
        <v>2023</v>
      </c>
    </row>
    <row r="18" spans="1:7" x14ac:dyDescent="0.25">
      <c r="A18" t="s">
        <v>32</v>
      </c>
      <c r="B18" s="1">
        <v>44927</v>
      </c>
      <c r="C18" t="s">
        <v>33</v>
      </c>
      <c r="D18" s="6">
        <v>4363</v>
      </c>
      <c r="E18" s="9">
        <v>8318</v>
      </c>
      <c r="F18" t="str">
        <f t="shared" si="0"/>
        <v>janeiro</v>
      </c>
      <c r="G18">
        <f t="shared" si="1"/>
        <v>2023</v>
      </c>
    </row>
    <row r="19" spans="1:7" x14ac:dyDescent="0.25">
      <c r="A19" t="s">
        <v>34</v>
      </c>
      <c r="B19" s="1">
        <v>44927</v>
      </c>
      <c r="C19" t="s">
        <v>35</v>
      </c>
      <c r="D19" s="6">
        <v>420.9</v>
      </c>
      <c r="E19" s="9">
        <v>651.48</v>
      </c>
      <c r="F19" t="str">
        <f t="shared" si="0"/>
        <v>janeiro</v>
      </c>
      <c r="G19">
        <f t="shared" si="1"/>
        <v>2023</v>
      </c>
    </row>
    <row r="20" spans="1:7" x14ac:dyDescent="0.25">
      <c r="A20" t="s">
        <v>299</v>
      </c>
      <c r="B20" s="1">
        <v>44927</v>
      </c>
      <c r="C20" t="s">
        <v>300</v>
      </c>
      <c r="D20" s="6">
        <v>110</v>
      </c>
      <c r="E20" s="9">
        <v>55</v>
      </c>
      <c r="F20" t="str">
        <f t="shared" si="0"/>
        <v>janeiro</v>
      </c>
      <c r="G20">
        <f t="shared" si="1"/>
        <v>2023</v>
      </c>
    </row>
    <row r="21" spans="1:7" x14ac:dyDescent="0.25">
      <c r="A21" t="s">
        <v>301</v>
      </c>
      <c r="B21" s="1">
        <v>44927</v>
      </c>
      <c r="C21" t="s">
        <v>302</v>
      </c>
      <c r="D21" s="6">
        <v>2567</v>
      </c>
      <c r="E21" s="9">
        <v>4235.55</v>
      </c>
      <c r="F21" t="str">
        <f t="shared" si="0"/>
        <v>janeiro</v>
      </c>
      <c r="G21">
        <f t="shared" si="1"/>
        <v>2023</v>
      </c>
    </row>
    <row r="22" spans="1:7" x14ac:dyDescent="0.25">
      <c r="A22" t="s">
        <v>38</v>
      </c>
      <c r="B22" s="1">
        <v>44927</v>
      </c>
      <c r="C22" t="s">
        <v>39</v>
      </c>
      <c r="D22" s="6">
        <v>1368.8</v>
      </c>
      <c r="E22" s="9">
        <v>2066.17</v>
      </c>
      <c r="F22" t="str">
        <f t="shared" si="0"/>
        <v>janeiro</v>
      </c>
      <c r="G22">
        <f t="shared" si="1"/>
        <v>2023</v>
      </c>
    </row>
    <row r="23" spans="1:7" x14ac:dyDescent="0.25">
      <c r="A23" t="s">
        <v>40</v>
      </c>
      <c r="B23" s="1">
        <v>44927</v>
      </c>
      <c r="C23" t="s">
        <v>41</v>
      </c>
      <c r="D23" s="6">
        <v>346</v>
      </c>
      <c r="E23" s="9">
        <v>659.68</v>
      </c>
      <c r="F23" t="str">
        <f t="shared" si="0"/>
        <v>janeiro</v>
      </c>
      <c r="G23">
        <f t="shared" si="1"/>
        <v>2023</v>
      </c>
    </row>
    <row r="24" spans="1:7" x14ac:dyDescent="0.25">
      <c r="A24" t="s">
        <v>42</v>
      </c>
      <c r="B24" s="1">
        <v>44927</v>
      </c>
      <c r="C24" t="s">
        <v>43</v>
      </c>
      <c r="D24" s="6">
        <v>876</v>
      </c>
      <c r="E24" s="9">
        <v>1362</v>
      </c>
      <c r="F24" t="str">
        <f t="shared" si="0"/>
        <v>janeiro</v>
      </c>
      <c r="G24">
        <f t="shared" si="1"/>
        <v>2023</v>
      </c>
    </row>
    <row r="25" spans="1:7" x14ac:dyDescent="0.25">
      <c r="A25" t="s">
        <v>44</v>
      </c>
      <c r="B25" s="1">
        <v>44927</v>
      </c>
      <c r="C25" t="s">
        <v>45</v>
      </c>
      <c r="D25" s="6">
        <v>501.31</v>
      </c>
      <c r="E25" s="9">
        <v>748.04</v>
      </c>
      <c r="F25" t="str">
        <f t="shared" si="0"/>
        <v>janeiro</v>
      </c>
      <c r="G25">
        <f t="shared" si="1"/>
        <v>2023</v>
      </c>
    </row>
    <row r="26" spans="1:7" x14ac:dyDescent="0.25">
      <c r="A26" t="s">
        <v>46</v>
      </c>
      <c r="B26" s="1">
        <v>44927</v>
      </c>
      <c r="C26" t="s">
        <v>47</v>
      </c>
      <c r="D26" s="6">
        <v>1350</v>
      </c>
      <c r="E26" s="9">
        <v>1665</v>
      </c>
      <c r="F26" t="str">
        <f t="shared" si="0"/>
        <v>janeiro</v>
      </c>
      <c r="G26">
        <f t="shared" si="1"/>
        <v>2023</v>
      </c>
    </row>
    <row r="27" spans="1:7" x14ac:dyDescent="0.25">
      <c r="A27" t="s">
        <v>48</v>
      </c>
      <c r="B27" s="1">
        <v>44927</v>
      </c>
      <c r="C27" t="s">
        <v>49</v>
      </c>
      <c r="D27" s="6">
        <v>969.85</v>
      </c>
      <c r="E27" s="9">
        <v>1606.82</v>
      </c>
      <c r="F27" t="str">
        <f t="shared" si="0"/>
        <v>janeiro</v>
      </c>
      <c r="G27">
        <f t="shared" si="1"/>
        <v>2023</v>
      </c>
    </row>
    <row r="28" spans="1:7" x14ac:dyDescent="0.25">
      <c r="A28" t="s">
        <v>50</v>
      </c>
      <c r="B28" s="1">
        <v>44927</v>
      </c>
      <c r="C28" t="s">
        <v>51</v>
      </c>
      <c r="D28" s="6">
        <v>80</v>
      </c>
      <c r="E28" s="9">
        <v>140</v>
      </c>
      <c r="F28" t="str">
        <f t="shared" si="0"/>
        <v>janeiro</v>
      </c>
      <c r="G28">
        <f t="shared" si="1"/>
        <v>2023</v>
      </c>
    </row>
    <row r="29" spans="1:7" x14ac:dyDescent="0.25">
      <c r="A29" t="s">
        <v>52</v>
      </c>
      <c r="B29" s="1">
        <v>44927</v>
      </c>
      <c r="C29" t="s">
        <v>53</v>
      </c>
      <c r="D29" s="6">
        <v>55.6</v>
      </c>
      <c r="E29" s="9">
        <v>22.72</v>
      </c>
      <c r="F29" t="str">
        <f t="shared" si="0"/>
        <v>janeiro</v>
      </c>
      <c r="G29">
        <f t="shared" si="1"/>
        <v>2023</v>
      </c>
    </row>
    <row r="30" spans="1:7" x14ac:dyDescent="0.25">
      <c r="A30" t="s">
        <v>54</v>
      </c>
      <c r="B30" s="1">
        <v>44927</v>
      </c>
      <c r="C30" t="s">
        <v>55</v>
      </c>
      <c r="D30" s="6">
        <v>183</v>
      </c>
      <c r="E30" s="9">
        <v>183</v>
      </c>
      <c r="F30" t="str">
        <f t="shared" si="0"/>
        <v>janeiro</v>
      </c>
      <c r="G30">
        <f t="shared" si="1"/>
        <v>2023</v>
      </c>
    </row>
    <row r="31" spans="1:7" x14ac:dyDescent="0.25">
      <c r="A31" t="s">
        <v>56</v>
      </c>
      <c r="B31" s="1">
        <v>44927</v>
      </c>
      <c r="C31" t="s">
        <v>57</v>
      </c>
      <c r="D31" s="6">
        <v>192</v>
      </c>
      <c r="E31" s="9">
        <v>198</v>
      </c>
      <c r="F31" t="str">
        <f t="shared" si="0"/>
        <v>janeiro</v>
      </c>
      <c r="G31">
        <f t="shared" si="1"/>
        <v>2023</v>
      </c>
    </row>
    <row r="32" spans="1:7" x14ac:dyDescent="0.25">
      <c r="A32" t="s">
        <v>58</v>
      </c>
      <c r="B32" s="1">
        <v>44927</v>
      </c>
      <c r="C32" t="s">
        <v>59</v>
      </c>
      <c r="D32" s="6">
        <v>2218</v>
      </c>
      <c r="E32" s="9">
        <v>2268</v>
      </c>
      <c r="F32" t="str">
        <f t="shared" si="0"/>
        <v>janeiro</v>
      </c>
      <c r="G32">
        <f t="shared" si="1"/>
        <v>2023</v>
      </c>
    </row>
    <row r="33" spans="1:7" x14ac:dyDescent="0.25">
      <c r="A33" t="s">
        <v>60</v>
      </c>
      <c r="B33" s="1">
        <v>44927</v>
      </c>
      <c r="C33" t="s">
        <v>61</v>
      </c>
      <c r="D33" s="6">
        <v>46</v>
      </c>
      <c r="E33" s="9">
        <v>23</v>
      </c>
      <c r="F33" t="str">
        <f t="shared" si="0"/>
        <v>janeiro</v>
      </c>
      <c r="G33">
        <f t="shared" si="1"/>
        <v>2023</v>
      </c>
    </row>
    <row r="34" spans="1:7" x14ac:dyDescent="0.25">
      <c r="A34" t="s">
        <v>62</v>
      </c>
      <c r="B34" s="1">
        <v>44927</v>
      </c>
      <c r="C34" t="s">
        <v>63</v>
      </c>
      <c r="D34" s="6">
        <v>50226.45</v>
      </c>
      <c r="E34" s="9">
        <v>126777</v>
      </c>
      <c r="F34" t="str">
        <f t="shared" si="0"/>
        <v>janeiro</v>
      </c>
      <c r="G34">
        <f t="shared" si="1"/>
        <v>2023</v>
      </c>
    </row>
    <row r="35" spans="1:7" x14ac:dyDescent="0.25">
      <c r="A35" t="s">
        <v>64</v>
      </c>
      <c r="B35" s="1">
        <v>44927</v>
      </c>
      <c r="C35" t="s">
        <v>65</v>
      </c>
      <c r="D35" s="6">
        <v>452.7</v>
      </c>
      <c r="E35" s="9">
        <v>1229.55</v>
      </c>
      <c r="F35" t="str">
        <f t="shared" si="0"/>
        <v>janeiro</v>
      </c>
      <c r="G35">
        <f t="shared" si="1"/>
        <v>2023</v>
      </c>
    </row>
    <row r="36" spans="1:7" x14ac:dyDescent="0.25">
      <c r="A36" t="s">
        <v>66</v>
      </c>
      <c r="B36" s="1">
        <v>44927</v>
      </c>
      <c r="C36" t="s">
        <v>67</v>
      </c>
      <c r="D36" s="6">
        <v>72844.19</v>
      </c>
      <c r="E36" s="9">
        <v>196953</v>
      </c>
      <c r="F36" t="str">
        <f t="shared" si="0"/>
        <v>janeiro</v>
      </c>
      <c r="G36">
        <f t="shared" si="1"/>
        <v>2023</v>
      </c>
    </row>
    <row r="37" spans="1:7" x14ac:dyDescent="0.25">
      <c r="A37" t="s">
        <v>68</v>
      </c>
      <c r="B37" s="1">
        <v>44927</v>
      </c>
      <c r="C37" t="s">
        <v>69</v>
      </c>
      <c r="D37" s="6">
        <v>11575.93</v>
      </c>
      <c r="E37" s="9">
        <v>31255.62</v>
      </c>
      <c r="F37" t="str">
        <f t="shared" si="0"/>
        <v>janeiro</v>
      </c>
      <c r="G37">
        <f t="shared" si="1"/>
        <v>2023</v>
      </c>
    </row>
    <row r="38" spans="1:7" x14ac:dyDescent="0.25">
      <c r="A38" t="s">
        <v>70</v>
      </c>
      <c r="B38" s="1">
        <v>44927</v>
      </c>
      <c r="C38" t="s">
        <v>71</v>
      </c>
      <c r="D38" s="6">
        <v>1716</v>
      </c>
      <c r="E38" s="9">
        <v>4919</v>
      </c>
      <c r="F38" t="str">
        <f t="shared" si="0"/>
        <v>janeiro</v>
      </c>
      <c r="G38">
        <f t="shared" si="1"/>
        <v>2023</v>
      </c>
    </row>
    <row r="39" spans="1:7" x14ac:dyDescent="0.25">
      <c r="A39" t="s">
        <v>72</v>
      </c>
      <c r="B39" s="1">
        <v>44927</v>
      </c>
      <c r="C39" t="s">
        <v>73</v>
      </c>
      <c r="D39" s="6">
        <v>8144.6</v>
      </c>
      <c r="E39" s="9">
        <v>19997</v>
      </c>
      <c r="F39" t="str">
        <f t="shared" si="0"/>
        <v>janeiro</v>
      </c>
      <c r="G39">
        <f t="shared" si="1"/>
        <v>2023</v>
      </c>
    </row>
    <row r="40" spans="1:7" x14ac:dyDescent="0.25">
      <c r="A40" t="s">
        <v>74</v>
      </c>
      <c r="B40" s="1">
        <v>44927</v>
      </c>
      <c r="C40" t="s">
        <v>75</v>
      </c>
      <c r="D40" s="6">
        <v>684</v>
      </c>
      <c r="E40" s="9">
        <v>1931.25</v>
      </c>
      <c r="F40" t="str">
        <f t="shared" si="0"/>
        <v>janeiro</v>
      </c>
      <c r="G40">
        <f t="shared" si="1"/>
        <v>2023</v>
      </c>
    </row>
    <row r="41" spans="1:7" x14ac:dyDescent="0.25">
      <c r="A41" t="s">
        <v>76</v>
      </c>
      <c r="B41" s="1">
        <v>44927</v>
      </c>
      <c r="C41" t="s">
        <v>77</v>
      </c>
      <c r="D41" s="6">
        <v>3913</v>
      </c>
      <c r="E41" s="9">
        <v>11342</v>
      </c>
      <c r="F41" t="str">
        <f t="shared" si="0"/>
        <v>janeiro</v>
      </c>
      <c r="G41">
        <f t="shared" si="1"/>
        <v>2023</v>
      </c>
    </row>
    <row r="42" spans="1:7" x14ac:dyDescent="0.25">
      <c r="A42" t="s">
        <v>78</v>
      </c>
      <c r="B42" s="1">
        <v>44927</v>
      </c>
      <c r="C42" t="s">
        <v>79</v>
      </c>
      <c r="D42" s="6">
        <v>452.9</v>
      </c>
      <c r="E42" s="9">
        <v>2155</v>
      </c>
      <c r="F42" t="str">
        <f t="shared" si="0"/>
        <v>janeiro</v>
      </c>
      <c r="G42">
        <f t="shared" si="1"/>
        <v>2023</v>
      </c>
    </row>
    <row r="43" spans="1:7" x14ac:dyDescent="0.25">
      <c r="A43" t="s">
        <v>303</v>
      </c>
      <c r="B43" s="1">
        <v>44927</v>
      </c>
      <c r="C43" t="s">
        <v>304</v>
      </c>
      <c r="D43" s="6">
        <v>10</v>
      </c>
      <c r="E43" s="9">
        <v>58.1</v>
      </c>
      <c r="F43" t="str">
        <f t="shared" si="0"/>
        <v>janeiro</v>
      </c>
      <c r="G43">
        <f t="shared" si="1"/>
        <v>2023</v>
      </c>
    </row>
    <row r="44" spans="1:7" x14ac:dyDescent="0.25">
      <c r="A44">
        <v>1100608</v>
      </c>
      <c r="B44" s="1">
        <v>44927</v>
      </c>
      <c r="C44" t="s">
        <v>81</v>
      </c>
      <c r="D44" s="6">
        <v>6724</v>
      </c>
      <c r="E44" s="9">
        <v>18492</v>
      </c>
      <c r="F44" t="str">
        <f t="shared" si="0"/>
        <v>janeiro</v>
      </c>
      <c r="G44">
        <f t="shared" si="1"/>
        <v>2023</v>
      </c>
    </row>
    <row r="45" spans="1:7" x14ac:dyDescent="0.25">
      <c r="A45">
        <v>1100700</v>
      </c>
      <c r="B45" s="1">
        <v>44927</v>
      </c>
      <c r="C45" t="s">
        <v>83</v>
      </c>
      <c r="D45" s="6">
        <v>12512.8</v>
      </c>
      <c r="E45" s="9">
        <v>36598</v>
      </c>
      <c r="F45" t="str">
        <f t="shared" si="0"/>
        <v>janeiro</v>
      </c>
      <c r="G45">
        <f t="shared" si="1"/>
        <v>2023</v>
      </c>
    </row>
    <row r="46" spans="1:7" x14ac:dyDescent="0.25">
      <c r="A46">
        <v>1100701</v>
      </c>
      <c r="B46" s="1">
        <v>44927</v>
      </c>
      <c r="C46" t="s">
        <v>84</v>
      </c>
      <c r="D46" s="6">
        <v>37.9</v>
      </c>
      <c r="E46" s="9">
        <v>173.42</v>
      </c>
      <c r="F46" t="str">
        <f t="shared" si="0"/>
        <v>janeiro</v>
      </c>
      <c r="G46">
        <f t="shared" si="1"/>
        <v>2023</v>
      </c>
    </row>
    <row r="47" spans="1:7" x14ac:dyDescent="0.25">
      <c r="A47">
        <v>1100703</v>
      </c>
      <c r="B47" s="1">
        <v>44927</v>
      </c>
      <c r="C47" t="s">
        <v>86</v>
      </c>
      <c r="D47" s="6">
        <v>2561.4</v>
      </c>
      <c r="E47" s="9">
        <v>8907.41</v>
      </c>
      <c r="F47" t="str">
        <f t="shared" si="0"/>
        <v>janeiro</v>
      </c>
      <c r="G47">
        <f t="shared" si="1"/>
        <v>2023</v>
      </c>
    </row>
    <row r="48" spans="1:7" x14ac:dyDescent="0.25">
      <c r="A48">
        <v>1100705</v>
      </c>
      <c r="B48" s="1">
        <v>44927</v>
      </c>
      <c r="C48" t="s">
        <v>88</v>
      </c>
      <c r="D48" s="6">
        <v>187.3</v>
      </c>
      <c r="E48" s="9">
        <v>261.05</v>
      </c>
      <c r="F48" t="str">
        <f t="shared" si="0"/>
        <v>janeiro</v>
      </c>
      <c r="G48">
        <f t="shared" si="1"/>
        <v>2023</v>
      </c>
    </row>
    <row r="49" spans="1:7" x14ac:dyDescent="0.25">
      <c r="A49">
        <v>1100706</v>
      </c>
      <c r="B49" s="1">
        <v>44927</v>
      </c>
      <c r="C49" t="s">
        <v>305</v>
      </c>
      <c r="D49" s="6">
        <v>20</v>
      </c>
      <c r="E49" s="9">
        <v>28.9</v>
      </c>
      <c r="F49" t="str">
        <f t="shared" si="0"/>
        <v>janeiro</v>
      </c>
      <c r="G49">
        <f t="shared" si="1"/>
        <v>2023</v>
      </c>
    </row>
    <row r="50" spans="1:7" x14ac:dyDescent="0.25">
      <c r="A50">
        <v>1100800</v>
      </c>
      <c r="B50" s="1">
        <v>44927</v>
      </c>
      <c r="C50" t="s">
        <v>90</v>
      </c>
      <c r="D50" s="6">
        <v>20376</v>
      </c>
      <c r="E50" s="9">
        <v>54877</v>
      </c>
      <c r="F50" t="str">
        <f t="shared" si="0"/>
        <v>janeiro</v>
      </c>
      <c r="G50">
        <f t="shared" si="1"/>
        <v>2023</v>
      </c>
    </row>
    <row r="51" spans="1:7" x14ac:dyDescent="0.25">
      <c r="A51">
        <v>1100802</v>
      </c>
      <c r="B51" s="1">
        <v>44927</v>
      </c>
      <c r="C51" t="s">
        <v>306</v>
      </c>
      <c r="D51" s="6">
        <v>1320.6</v>
      </c>
      <c r="E51" s="9">
        <v>3651.52</v>
      </c>
      <c r="F51" t="str">
        <f t="shared" si="0"/>
        <v>janeiro</v>
      </c>
      <c r="G51">
        <f t="shared" si="1"/>
        <v>2023</v>
      </c>
    </row>
    <row r="52" spans="1:7" x14ac:dyDescent="0.25">
      <c r="A52">
        <v>1100900</v>
      </c>
      <c r="B52" s="1">
        <v>44927</v>
      </c>
      <c r="C52" t="s">
        <v>94</v>
      </c>
      <c r="D52" s="6">
        <v>862</v>
      </c>
      <c r="E52" s="9">
        <v>4529</v>
      </c>
      <c r="F52" t="str">
        <f t="shared" si="0"/>
        <v>janeiro</v>
      </c>
      <c r="G52">
        <f t="shared" si="1"/>
        <v>2023</v>
      </c>
    </row>
    <row r="53" spans="1:7" x14ac:dyDescent="0.25">
      <c r="A53">
        <v>1101000</v>
      </c>
      <c r="B53" s="1">
        <v>44927</v>
      </c>
      <c r="C53" t="s">
        <v>96</v>
      </c>
      <c r="D53" s="6">
        <v>9126.4</v>
      </c>
      <c r="E53" s="9">
        <v>30848</v>
      </c>
      <c r="F53" t="str">
        <f t="shared" si="0"/>
        <v>janeiro</v>
      </c>
      <c r="G53">
        <f t="shared" si="1"/>
        <v>2023</v>
      </c>
    </row>
    <row r="54" spans="1:7" x14ac:dyDescent="0.25">
      <c r="A54">
        <v>1101001</v>
      </c>
      <c r="B54" s="1">
        <v>44927</v>
      </c>
      <c r="C54" t="s">
        <v>98</v>
      </c>
      <c r="D54" s="6">
        <v>665.1</v>
      </c>
      <c r="E54" s="9">
        <v>2438.58</v>
      </c>
      <c r="F54" t="str">
        <f t="shared" si="0"/>
        <v>janeiro</v>
      </c>
      <c r="G54">
        <f t="shared" si="1"/>
        <v>2023</v>
      </c>
    </row>
    <row r="55" spans="1:7" x14ac:dyDescent="0.25">
      <c r="A55">
        <v>1101100</v>
      </c>
      <c r="B55" s="1">
        <v>44927</v>
      </c>
      <c r="C55" t="s">
        <v>100</v>
      </c>
      <c r="D55" s="6">
        <v>51336</v>
      </c>
      <c r="E55" s="9">
        <v>167991</v>
      </c>
      <c r="F55" t="str">
        <f t="shared" si="0"/>
        <v>janeiro</v>
      </c>
      <c r="G55">
        <f t="shared" si="1"/>
        <v>2023</v>
      </c>
    </row>
    <row r="56" spans="1:7" x14ac:dyDescent="0.25">
      <c r="A56">
        <v>1101300</v>
      </c>
      <c r="B56" s="1">
        <v>44927</v>
      </c>
      <c r="C56" t="s">
        <v>102</v>
      </c>
      <c r="D56" s="6">
        <v>98.4</v>
      </c>
      <c r="E56" s="9">
        <v>449.6</v>
      </c>
      <c r="F56" t="str">
        <f t="shared" si="0"/>
        <v>janeiro</v>
      </c>
      <c r="G56">
        <f t="shared" si="1"/>
        <v>2023</v>
      </c>
    </row>
    <row r="57" spans="1:7" x14ac:dyDescent="0.25">
      <c r="A57">
        <v>1101400</v>
      </c>
      <c r="B57" s="1">
        <v>44927</v>
      </c>
      <c r="C57" t="s">
        <v>104</v>
      </c>
      <c r="D57" s="6">
        <v>16866</v>
      </c>
      <c r="E57" s="9">
        <v>39180</v>
      </c>
      <c r="F57" t="str">
        <f t="shared" si="0"/>
        <v>janeiro</v>
      </c>
      <c r="G57">
        <f t="shared" si="1"/>
        <v>2023</v>
      </c>
    </row>
    <row r="58" spans="1:7" x14ac:dyDescent="0.25">
      <c r="A58">
        <v>1101500</v>
      </c>
      <c r="B58" s="1">
        <v>44927</v>
      </c>
      <c r="C58" t="s">
        <v>106</v>
      </c>
      <c r="D58" s="6">
        <v>711.5</v>
      </c>
      <c r="E58" s="9">
        <v>1691.37</v>
      </c>
      <c r="F58" t="str">
        <f t="shared" si="0"/>
        <v>janeiro</v>
      </c>
      <c r="G58">
        <f t="shared" si="1"/>
        <v>2023</v>
      </c>
    </row>
    <row r="59" spans="1:7" x14ac:dyDescent="0.25">
      <c r="A59">
        <v>1101600</v>
      </c>
      <c r="B59" s="1">
        <v>44927</v>
      </c>
      <c r="C59" t="s">
        <v>108</v>
      </c>
      <c r="D59" s="6">
        <v>485.8</v>
      </c>
      <c r="E59" s="9">
        <v>1236.1500000000001</v>
      </c>
      <c r="F59" t="str">
        <f t="shared" si="0"/>
        <v>janeiro</v>
      </c>
      <c r="G59">
        <f t="shared" si="1"/>
        <v>2023</v>
      </c>
    </row>
    <row r="60" spans="1:7" x14ac:dyDescent="0.25">
      <c r="A60">
        <v>1101700</v>
      </c>
      <c r="B60" s="1">
        <v>44927</v>
      </c>
      <c r="C60" t="s">
        <v>110</v>
      </c>
      <c r="D60" s="6">
        <v>7137.6</v>
      </c>
      <c r="E60" s="9">
        <v>16060</v>
      </c>
      <c r="F60" t="str">
        <f t="shared" si="0"/>
        <v>janeiro</v>
      </c>
      <c r="G60">
        <f t="shared" si="1"/>
        <v>2023</v>
      </c>
    </row>
    <row r="61" spans="1:7" x14ac:dyDescent="0.25">
      <c r="A61">
        <v>1101801</v>
      </c>
      <c r="B61" s="1">
        <v>44927</v>
      </c>
      <c r="C61" t="s">
        <v>112</v>
      </c>
      <c r="D61" s="6">
        <v>6308.2</v>
      </c>
      <c r="E61" s="9">
        <v>14295.12</v>
      </c>
      <c r="F61" t="str">
        <f t="shared" si="0"/>
        <v>janeiro</v>
      </c>
      <c r="G61">
        <f t="shared" si="1"/>
        <v>2023</v>
      </c>
    </row>
    <row r="62" spans="1:7" x14ac:dyDescent="0.25">
      <c r="A62">
        <v>1101900</v>
      </c>
      <c r="B62" s="1">
        <v>44927</v>
      </c>
      <c r="C62" t="s">
        <v>114</v>
      </c>
      <c r="D62" s="6">
        <v>3618.6</v>
      </c>
      <c r="E62" s="9">
        <v>10543</v>
      </c>
      <c r="F62" t="str">
        <f t="shared" si="0"/>
        <v>janeiro</v>
      </c>
      <c r="G62">
        <f t="shared" si="1"/>
        <v>2023</v>
      </c>
    </row>
    <row r="63" spans="1:7" x14ac:dyDescent="0.25">
      <c r="A63">
        <v>1102300</v>
      </c>
      <c r="B63" s="1">
        <v>44927</v>
      </c>
      <c r="C63" t="s">
        <v>119</v>
      </c>
      <c r="D63" s="6">
        <v>3618.7</v>
      </c>
      <c r="E63" s="9">
        <v>9715</v>
      </c>
      <c r="F63" t="str">
        <f t="shared" si="0"/>
        <v>janeiro</v>
      </c>
      <c r="G63">
        <f t="shared" si="1"/>
        <v>2023</v>
      </c>
    </row>
    <row r="64" spans="1:7" x14ac:dyDescent="0.25">
      <c r="A64">
        <v>1103000</v>
      </c>
      <c r="B64" s="1">
        <v>44927</v>
      </c>
      <c r="C64" t="s">
        <v>121</v>
      </c>
      <c r="D64" s="6">
        <v>213.7</v>
      </c>
      <c r="E64" s="9">
        <v>386.47</v>
      </c>
      <c r="F64" t="str">
        <f t="shared" si="0"/>
        <v>janeiro</v>
      </c>
      <c r="G64">
        <f t="shared" si="1"/>
        <v>2023</v>
      </c>
    </row>
    <row r="65" spans="1:7" x14ac:dyDescent="0.25">
      <c r="A65">
        <v>1103001</v>
      </c>
      <c r="B65" s="1">
        <v>44927</v>
      </c>
      <c r="C65" t="s">
        <v>123</v>
      </c>
      <c r="D65" s="6">
        <v>120</v>
      </c>
      <c r="E65" s="9">
        <v>228</v>
      </c>
      <c r="F65" t="str">
        <f t="shared" si="0"/>
        <v>janeiro</v>
      </c>
      <c r="G65">
        <f t="shared" si="1"/>
        <v>2023</v>
      </c>
    </row>
    <row r="66" spans="1:7" x14ac:dyDescent="0.25">
      <c r="A66">
        <v>2010900</v>
      </c>
      <c r="B66" s="1">
        <v>44927</v>
      </c>
      <c r="C66" t="s">
        <v>125</v>
      </c>
      <c r="D66" s="6">
        <v>640</v>
      </c>
      <c r="E66" s="9">
        <v>914</v>
      </c>
      <c r="F66" t="str">
        <f t="shared" si="0"/>
        <v>janeiro</v>
      </c>
      <c r="G66">
        <f t="shared" si="1"/>
        <v>2023</v>
      </c>
    </row>
    <row r="67" spans="1:7" x14ac:dyDescent="0.25">
      <c r="A67">
        <v>2010902</v>
      </c>
      <c r="B67" s="1">
        <v>44927</v>
      </c>
      <c r="C67" t="s">
        <v>127</v>
      </c>
      <c r="D67" s="6">
        <v>340</v>
      </c>
      <c r="E67" s="9">
        <v>346</v>
      </c>
      <c r="F67" t="str">
        <f t="shared" ref="F67:F130" si="2">TEXT(B67,"mmmm")</f>
        <v>janeiro</v>
      </c>
      <c r="G67">
        <f t="shared" ref="G67:G130" si="3">YEAR(B67)</f>
        <v>2023</v>
      </c>
    </row>
    <row r="68" spans="1:7" x14ac:dyDescent="0.25">
      <c r="A68">
        <v>2011700</v>
      </c>
      <c r="B68" s="1">
        <v>44927</v>
      </c>
      <c r="C68" t="s">
        <v>129</v>
      </c>
      <c r="D68" s="6">
        <v>140.4</v>
      </c>
      <c r="E68" s="9">
        <v>418.3</v>
      </c>
      <c r="F68" t="str">
        <f t="shared" si="2"/>
        <v>janeiro</v>
      </c>
      <c r="G68">
        <f t="shared" si="3"/>
        <v>2023</v>
      </c>
    </row>
    <row r="69" spans="1:7" x14ac:dyDescent="0.25">
      <c r="A69">
        <v>3020103</v>
      </c>
      <c r="B69" s="1">
        <v>44927</v>
      </c>
      <c r="C69" t="s">
        <v>131</v>
      </c>
      <c r="D69" s="6">
        <v>5634.9</v>
      </c>
      <c r="E69" s="9">
        <v>17703.599999999999</v>
      </c>
      <c r="F69" t="str">
        <f t="shared" si="2"/>
        <v>janeiro</v>
      </c>
      <c r="G69">
        <f t="shared" si="3"/>
        <v>2023</v>
      </c>
    </row>
    <row r="70" spans="1:7" x14ac:dyDescent="0.25">
      <c r="A70">
        <v>3020212</v>
      </c>
      <c r="B70" s="1">
        <v>44927</v>
      </c>
      <c r="C70" t="s">
        <v>133</v>
      </c>
      <c r="D70" s="6">
        <v>1229.9000000000001</v>
      </c>
      <c r="E70" s="9">
        <v>4488</v>
      </c>
      <c r="F70" t="str">
        <f t="shared" si="2"/>
        <v>janeiro</v>
      </c>
      <c r="G70">
        <f t="shared" si="3"/>
        <v>2023</v>
      </c>
    </row>
    <row r="71" spans="1:7" x14ac:dyDescent="0.25">
      <c r="A71">
        <v>3020214</v>
      </c>
      <c r="B71" s="1">
        <v>44927</v>
      </c>
      <c r="C71" t="s">
        <v>135</v>
      </c>
      <c r="D71" s="6">
        <v>554.29999999999995</v>
      </c>
      <c r="E71" s="9">
        <v>1976</v>
      </c>
      <c r="F71" t="str">
        <f t="shared" si="2"/>
        <v>janeiro</v>
      </c>
      <c r="G71">
        <f t="shared" si="3"/>
        <v>2023</v>
      </c>
    </row>
    <row r="72" spans="1:7" x14ac:dyDescent="0.25">
      <c r="A72">
        <v>3020315</v>
      </c>
      <c r="B72" s="1">
        <v>44927</v>
      </c>
      <c r="C72" t="s">
        <v>137</v>
      </c>
      <c r="D72" s="6">
        <v>2248.8000000000002</v>
      </c>
      <c r="E72" s="9">
        <v>7921.12</v>
      </c>
      <c r="F72" t="str">
        <f t="shared" si="2"/>
        <v>janeiro</v>
      </c>
      <c r="G72">
        <f t="shared" si="3"/>
        <v>2023</v>
      </c>
    </row>
    <row r="73" spans="1:7" x14ac:dyDescent="0.25">
      <c r="A73">
        <v>3020316</v>
      </c>
      <c r="B73" s="1">
        <v>44927</v>
      </c>
      <c r="C73" t="s">
        <v>139</v>
      </c>
      <c r="D73" s="6">
        <v>302.60000000000002</v>
      </c>
      <c r="E73" s="9">
        <v>912.82</v>
      </c>
      <c r="F73" t="str">
        <f t="shared" si="2"/>
        <v>janeiro</v>
      </c>
      <c r="G73">
        <f t="shared" si="3"/>
        <v>2023</v>
      </c>
    </row>
    <row r="74" spans="1:7" x14ac:dyDescent="0.25">
      <c r="A74">
        <v>3020402</v>
      </c>
      <c r="B74" s="1">
        <v>44927</v>
      </c>
      <c r="C74" t="s">
        <v>141</v>
      </c>
      <c r="D74" s="6">
        <v>2138.4</v>
      </c>
      <c r="E74" s="9">
        <v>7229.68</v>
      </c>
      <c r="F74" t="str">
        <f t="shared" si="2"/>
        <v>janeiro</v>
      </c>
      <c r="G74">
        <f t="shared" si="3"/>
        <v>2023</v>
      </c>
    </row>
    <row r="75" spans="1:7" x14ac:dyDescent="0.25">
      <c r="A75">
        <v>3020504</v>
      </c>
      <c r="B75" s="1">
        <v>44927</v>
      </c>
      <c r="C75" t="s">
        <v>143</v>
      </c>
      <c r="D75" s="6">
        <v>703.5</v>
      </c>
      <c r="E75" s="9">
        <v>2522.9699999999998</v>
      </c>
      <c r="F75" t="str">
        <f t="shared" si="2"/>
        <v>janeiro</v>
      </c>
      <c r="G75">
        <f t="shared" si="3"/>
        <v>2023</v>
      </c>
    </row>
    <row r="76" spans="1:7" x14ac:dyDescent="0.25">
      <c r="A76">
        <v>3020622</v>
      </c>
      <c r="B76" s="1">
        <v>44927</v>
      </c>
      <c r="C76" t="s">
        <v>145</v>
      </c>
      <c r="D76" s="6">
        <v>4588</v>
      </c>
      <c r="E76" s="9">
        <v>16403</v>
      </c>
      <c r="F76" t="str">
        <f t="shared" si="2"/>
        <v>janeiro</v>
      </c>
      <c r="G76">
        <f t="shared" si="3"/>
        <v>2023</v>
      </c>
    </row>
    <row r="77" spans="1:7" x14ac:dyDescent="0.25">
      <c r="A77">
        <v>3020623</v>
      </c>
      <c r="B77" s="1">
        <v>44927</v>
      </c>
      <c r="C77" t="s">
        <v>147</v>
      </c>
      <c r="D77" s="6">
        <v>1062.7</v>
      </c>
      <c r="E77" s="9">
        <v>3907.71</v>
      </c>
      <c r="F77" t="str">
        <f t="shared" si="2"/>
        <v>janeiro</v>
      </c>
      <c r="G77">
        <f t="shared" si="3"/>
        <v>2023</v>
      </c>
    </row>
    <row r="78" spans="1:7" x14ac:dyDescent="0.25">
      <c r="A78">
        <v>3020725</v>
      </c>
      <c r="B78" s="1">
        <v>44927</v>
      </c>
      <c r="C78" t="s">
        <v>149</v>
      </c>
      <c r="D78" s="6">
        <v>338.1</v>
      </c>
      <c r="E78" s="9">
        <v>1261.1400000000001</v>
      </c>
      <c r="F78" t="str">
        <f t="shared" si="2"/>
        <v>janeiro</v>
      </c>
      <c r="G78">
        <f t="shared" si="3"/>
        <v>2023</v>
      </c>
    </row>
    <row r="79" spans="1:7" x14ac:dyDescent="0.25">
      <c r="A79">
        <v>3020823</v>
      </c>
      <c r="B79" s="1">
        <v>44927</v>
      </c>
      <c r="C79" t="s">
        <v>151</v>
      </c>
      <c r="D79" s="6">
        <v>1728.7</v>
      </c>
      <c r="E79" s="9">
        <v>6340</v>
      </c>
      <c r="F79" t="str">
        <f t="shared" si="2"/>
        <v>janeiro</v>
      </c>
      <c r="G79">
        <f t="shared" si="3"/>
        <v>2023</v>
      </c>
    </row>
    <row r="80" spans="1:7" x14ac:dyDescent="0.25">
      <c r="A80">
        <v>3020824</v>
      </c>
      <c r="B80" s="1">
        <v>44927</v>
      </c>
      <c r="C80" t="s">
        <v>153</v>
      </c>
      <c r="D80" s="6">
        <v>2250</v>
      </c>
      <c r="E80" s="9">
        <v>8161</v>
      </c>
      <c r="F80" t="str">
        <f t="shared" si="2"/>
        <v>janeiro</v>
      </c>
      <c r="G80">
        <f t="shared" si="3"/>
        <v>2023</v>
      </c>
    </row>
    <row r="81" spans="1:7" x14ac:dyDescent="0.25">
      <c r="A81">
        <v>3020924</v>
      </c>
      <c r="B81" s="1">
        <v>44927</v>
      </c>
      <c r="C81" t="s">
        <v>155</v>
      </c>
      <c r="D81" s="6">
        <v>1785.1</v>
      </c>
      <c r="E81" s="9">
        <v>6513.36</v>
      </c>
      <c r="F81" t="str">
        <f t="shared" si="2"/>
        <v>janeiro</v>
      </c>
      <c r="G81">
        <f t="shared" si="3"/>
        <v>2023</v>
      </c>
    </row>
    <row r="82" spans="1:7" x14ac:dyDescent="0.25">
      <c r="A82">
        <v>3020925</v>
      </c>
      <c r="B82" s="1">
        <v>44927</v>
      </c>
      <c r="C82" t="s">
        <v>157</v>
      </c>
      <c r="D82" s="6">
        <v>982.4</v>
      </c>
      <c r="E82" s="9">
        <v>3567.34</v>
      </c>
      <c r="F82" t="str">
        <f t="shared" si="2"/>
        <v>janeiro</v>
      </c>
      <c r="G82">
        <f t="shared" si="3"/>
        <v>2023</v>
      </c>
    </row>
    <row r="83" spans="1:7" x14ac:dyDescent="0.25">
      <c r="A83">
        <v>3021435</v>
      </c>
      <c r="B83" s="1">
        <v>44927</v>
      </c>
      <c r="C83" t="s">
        <v>159</v>
      </c>
      <c r="D83" s="6">
        <v>2766.2</v>
      </c>
      <c r="E83" s="9">
        <v>8103.47</v>
      </c>
      <c r="F83" t="str">
        <f t="shared" si="2"/>
        <v>janeiro</v>
      </c>
      <c r="G83">
        <f t="shared" si="3"/>
        <v>2023</v>
      </c>
    </row>
    <row r="84" spans="1:7" x14ac:dyDescent="0.25">
      <c r="A84">
        <v>3021537</v>
      </c>
      <c r="B84" s="1">
        <v>44927</v>
      </c>
      <c r="C84" t="s">
        <v>161</v>
      </c>
      <c r="D84" s="6">
        <v>37.700000000000003</v>
      </c>
      <c r="E84" s="9">
        <v>115</v>
      </c>
      <c r="F84" t="str">
        <f t="shared" si="2"/>
        <v>janeiro</v>
      </c>
      <c r="G84">
        <f t="shared" si="3"/>
        <v>2023</v>
      </c>
    </row>
    <row r="85" spans="1:7" x14ac:dyDescent="0.25">
      <c r="A85">
        <v>3021638</v>
      </c>
      <c r="B85" s="1">
        <v>44927</v>
      </c>
      <c r="C85" t="s">
        <v>163</v>
      </c>
      <c r="D85" s="6">
        <v>67.8</v>
      </c>
      <c r="E85" s="9">
        <v>209.45</v>
      </c>
      <c r="F85" t="str">
        <f t="shared" si="2"/>
        <v>janeiro</v>
      </c>
      <c r="G85">
        <f t="shared" si="3"/>
        <v>2023</v>
      </c>
    </row>
    <row r="86" spans="1:7" x14ac:dyDescent="0.25">
      <c r="A86">
        <v>3021739</v>
      </c>
      <c r="B86" s="1">
        <v>44927</v>
      </c>
      <c r="C86" t="s">
        <v>165</v>
      </c>
      <c r="D86" s="6">
        <v>589.70000000000005</v>
      </c>
      <c r="E86" s="9">
        <v>1757</v>
      </c>
      <c r="F86" t="str">
        <f t="shared" si="2"/>
        <v>janeiro</v>
      </c>
      <c r="G86">
        <f t="shared" si="3"/>
        <v>2023</v>
      </c>
    </row>
    <row r="87" spans="1:7" x14ac:dyDescent="0.25">
      <c r="A87">
        <v>3021760</v>
      </c>
      <c r="B87" s="1">
        <v>44927</v>
      </c>
      <c r="C87" t="s">
        <v>167</v>
      </c>
      <c r="D87" s="6">
        <v>1993.3</v>
      </c>
      <c r="E87" s="9">
        <v>4645.58</v>
      </c>
      <c r="F87" t="str">
        <f t="shared" si="2"/>
        <v>janeiro</v>
      </c>
      <c r="G87">
        <f t="shared" si="3"/>
        <v>2023</v>
      </c>
    </row>
    <row r="88" spans="1:7" x14ac:dyDescent="0.25">
      <c r="A88">
        <v>3021811</v>
      </c>
      <c r="B88" s="1">
        <v>44927</v>
      </c>
      <c r="C88" t="s">
        <v>169</v>
      </c>
      <c r="D88" s="6">
        <v>3015.12</v>
      </c>
      <c r="E88" s="9">
        <v>6640.21</v>
      </c>
      <c r="F88" t="str">
        <f t="shared" si="2"/>
        <v>janeiro</v>
      </c>
      <c r="G88">
        <f t="shared" si="3"/>
        <v>2023</v>
      </c>
    </row>
    <row r="89" spans="1:7" x14ac:dyDescent="0.25">
      <c r="A89">
        <v>3021812</v>
      </c>
      <c r="B89" s="1">
        <v>44927</v>
      </c>
      <c r="C89" t="s">
        <v>171</v>
      </c>
      <c r="D89" s="6">
        <v>1767.4</v>
      </c>
      <c r="E89" s="9">
        <v>3693</v>
      </c>
      <c r="F89" t="str">
        <f t="shared" si="2"/>
        <v>janeiro</v>
      </c>
      <c r="G89">
        <f t="shared" si="3"/>
        <v>2023</v>
      </c>
    </row>
    <row r="90" spans="1:7" x14ac:dyDescent="0.25">
      <c r="A90">
        <v>3022100</v>
      </c>
      <c r="B90" s="1">
        <v>44927</v>
      </c>
      <c r="C90" t="s">
        <v>173</v>
      </c>
      <c r="D90" s="6">
        <v>76.5</v>
      </c>
      <c r="E90" s="9">
        <v>285.01</v>
      </c>
      <c r="F90" t="str">
        <f t="shared" si="2"/>
        <v>janeiro</v>
      </c>
      <c r="G90">
        <f t="shared" si="3"/>
        <v>2023</v>
      </c>
    </row>
    <row r="91" spans="1:7" x14ac:dyDescent="0.25">
      <c r="A91">
        <v>3022208</v>
      </c>
      <c r="B91" s="1">
        <v>44927</v>
      </c>
      <c r="C91" t="s">
        <v>307</v>
      </c>
      <c r="D91" s="6">
        <v>130.69999999999999</v>
      </c>
      <c r="E91" s="9">
        <v>471.02</v>
      </c>
      <c r="F91" t="str">
        <f t="shared" si="2"/>
        <v>janeiro</v>
      </c>
      <c r="G91">
        <f t="shared" si="3"/>
        <v>2023</v>
      </c>
    </row>
    <row r="92" spans="1:7" x14ac:dyDescent="0.25">
      <c r="A92">
        <v>3022311</v>
      </c>
      <c r="B92" s="1">
        <v>44927</v>
      </c>
      <c r="C92" t="s">
        <v>176</v>
      </c>
      <c r="D92" s="6">
        <v>2326.8000000000002</v>
      </c>
      <c r="E92" s="9">
        <v>5199.87</v>
      </c>
      <c r="F92" t="str">
        <f t="shared" si="2"/>
        <v>janeiro</v>
      </c>
      <c r="G92">
        <f t="shared" si="3"/>
        <v>2023</v>
      </c>
    </row>
    <row r="93" spans="1:7" x14ac:dyDescent="0.25">
      <c r="A93">
        <v>3022312</v>
      </c>
      <c r="B93" s="1">
        <v>44927</v>
      </c>
      <c r="C93" t="s">
        <v>308</v>
      </c>
      <c r="D93" s="6">
        <v>38.869999999999997</v>
      </c>
      <c r="E93" s="9">
        <v>99.13</v>
      </c>
      <c r="F93" t="str">
        <f t="shared" si="2"/>
        <v>janeiro</v>
      </c>
      <c r="G93">
        <f t="shared" si="3"/>
        <v>2023</v>
      </c>
    </row>
    <row r="94" spans="1:7" x14ac:dyDescent="0.25">
      <c r="A94">
        <v>3022411</v>
      </c>
      <c r="B94" s="1">
        <v>44927</v>
      </c>
      <c r="C94" t="s">
        <v>178</v>
      </c>
      <c r="D94" s="6">
        <v>58.6</v>
      </c>
      <c r="E94" s="9">
        <v>152.41</v>
      </c>
      <c r="F94" t="str">
        <f t="shared" si="2"/>
        <v>janeiro</v>
      </c>
      <c r="G94">
        <f t="shared" si="3"/>
        <v>2023</v>
      </c>
    </row>
    <row r="95" spans="1:7" x14ac:dyDescent="0.25">
      <c r="A95">
        <v>3022511</v>
      </c>
      <c r="B95" s="1">
        <v>44927</v>
      </c>
      <c r="C95" t="s">
        <v>180</v>
      </c>
      <c r="D95" s="6">
        <v>9.5</v>
      </c>
      <c r="E95" s="9">
        <v>23.48</v>
      </c>
      <c r="F95" t="str">
        <f t="shared" si="2"/>
        <v>janeiro</v>
      </c>
      <c r="G95">
        <f t="shared" si="3"/>
        <v>2023</v>
      </c>
    </row>
    <row r="96" spans="1:7" x14ac:dyDescent="0.25">
      <c r="A96">
        <v>3022601</v>
      </c>
      <c r="B96" s="1">
        <v>44927</v>
      </c>
      <c r="C96" t="s">
        <v>182</v>
      </c>
      <c r="D96" s="6">
        <v>388.7</v>
      </c>
      <c r="E96" s="9">
        <v>1773.55</v>
      </c>
      <c r="F96" t="str">
        <f t="shared" si="2"/>
        <v>janeiro</v>
      </c>
      <c r="G96">
        <f t="shared" si="3"/>
        <v>2023</v>
      </c>
    </row>
    <row r="97" spans="1:7" x14ac:dyDescent="0.25">
      <c r="A97">
        <v>3022703</v>
      </c>
      <c r="B97" s="1">
        <v>44927</v>
      </c>
      <c r="C97" t="s">
        <v>309</v>
      </c>
      <c r="D97" s="6">
        <v>1079</v>
      </c>
      <c r="E97" s="9">
        <v>2475.0500000000002</v>
      </c>
      <c r="F97" t="str">
        <f t="shared" si="2"/>
        <v>janeiro</v>
      </c>
      <c r="G97">
        <f t="shared" si="3"/>
        <v>2023</v>
      </c>
    </row>
    <row r="98" spans="1:7" x14ac:dyDescent="0.25">
      <c r="A98">
        <v>3022805</v>
      </c>
      <c r="B98" s="1">
        <v>44927</v>
      </c>
      <c r="C98" t="s">
        <v>186</v>
      </c>
      <c r="D98" s="6">
        <v>1725</v>
      </c>
      <c r="E98" s="9">
        <v>3364</v>
      </c>
      <c r="F98" t="str">
        <f t="shared" si="2"/>
        <v>janeiro</v>
      </c>
      <c r="G98">
        <f t="shared" si="3"/>
        <v>2023</v>
      </c>
    </row>
    <row r="99" spans="1:7" x14ac:dyDescent="0.25">
      <c r="A99">
        <v>3022906</v>
      </c>
      <c r="B99" s="1">
        <v>44927</v>
      </c>
      <c r="C99" t="s">
        <v>188</v>
      </c>
      <c r="D99" s="6">
        <v>3370</v>
      </c>
      <c r="E99" s="9">
        <v>6542</v>
      </c>
      <c r="F99" t="str">
        <f t="shared" si="2"/>
        <v>janeiro</v>
      </c>
      <c r="G99">
        <f t="shared" si="3"/>
        <v>2023</v>
      </c>
    </row>
    <row r="100" spans="1:7" x14ac:dyDescent="0.25">
      <c r="A100">
        <v>3023007</v>
      </c>
      <c r="B100" s="1">
        <v>44927</v>
      </c>
      <c r="C100" t="s">
        <v>190</v>
      </c>
      <c r="D100" s="6">
        <v>860</v>
      </c>
      <c r="E100" s="9">
        <v>1679</v>
      </c>
      <c r="F100" t="str">
        <f t="shared" si="2"/>
        <v>janeiro</v>
      </c>
      <c r="G100">
        <f t="shared" si="3"/>
        <v>2023</v>
      </c>
    </row>
    <row r="101" spans="1:7" x14ac:dyDescent="0.25">
      <c r="A101">
        <v>3024001</v>
      </c>
      <c r="B101" s="1">
        <v>44927</v>
      </c>
      <c r="C101" t="s">
        <v>192</v>
      </c>
      <c r="D101" s="6">
        <v>1698</v>
      </c>
      <c r="E101" s="9">
        <v>6476</v>
      </c>
      <c r="F101" t="str">
        <f t="shared" si="2"/>
        <v>janeiro</v>
      </c>
      <c r="G101">
        <f t="shared" si="3"/>
        <v>2023</v>
      </c>
    </row>
    <row r="102" spans="1:7" x14ac:dyDescent="0.25">
      <c r="A102">
        <v>3024003</v>
      </c>
      <c r="B102" s="1">
        <v>44927</v>
      </c>
      <c r="C102" t="s">
        <v>196</v>
      </c>
      <c r="D102" s="6">
        <v>473</v>
      </c>
      <c r="E102" s="9">
        <v>1229</v>
      </c>
      <c r="F102" t="str">
        <f t="shared" si="2"/>
        <v>janeiro</v>
      </c>
      <c r="G102">
        <f t="shared" si="3"/>
        <v>2023</v>
      </c>
    </row>
    <row r="103" spans="1:7" x14ac:dyDescent="0.25">
      <c r="A103">
        <v>3024004</v>
      </c>
      <c r="B103" s="1">
        <v>44927</v>
      </c>
      <c r="C103" t="s">
        <v>198</v>
      </c>
      <c r="D103" s="6">
        <v>1671.3</v>
      </c>
      <c r="E103" s="9">
        <v>1214.24</v>
      </c>
      <c r="F103" t="str">
        <f t="shared" si="2"/>
        <v>janeiro</v>
      </c>
      <c r="G103">
        <f t="shared" si="3"/>
        <v>2023</v>
      </c>
    </row>
    <row r="104" spans="1:7" x14ac:dyDescent="0.25">
      <c r="A104">
        <v>4030100</v>
      </c>
      <c r="B104" s="1">
        <v>44927</v>
      </c>
      <c r="C104" t="s">
        <v>200</v>
      </c>
      <c r="D104" s="6">
        <v>332</v>
      </c>
      <c r="E104" s="9">
        <v>1977</v>
      </c>
      <c r="F104" t="str">
        <f t="shared" si="2"/>
        <v>janeiro</v>
      </c>
      <c r="G104">
        <f t="shared" si="3"/>
        <v>2023</v>
      </c>
    </row>
    <row r="105" spans="1:7" x14ac:dyDescent="0.25">
      <c r="A105">
        <v>4030211</v>
      </c>
      <c r="B105" s="1">
        <v>44927</v>
      </c>
      <c r="C105" t="s">
        <v>202</v>
      </c>
      <c r="D105" s="6">
        <v>641</v>
      </c>
      <c r="E105" s="9">
        <v>3786</v>
      </c>
      <c r="F105" t="str">
        <f t="shared" si="2"/>
        <v>janeiro</v>
      </c>
      <c r="G105">
        <f t="shared" si="3"/>
        <v>2023</v>
      </c>
    </row>
    <row r="106" spans="1:7" x14ac:dyDescent="0.25">
      <c r="A106">
        <v>4030300</v>
      </c>
      <c r="B106" s="1">
        <v>44927</v>
      </c>
      <c r="C106" t="s">
        <v>310</v>
      </c>
      <c r="D106" s="6">
        <v>257</v>
      </c>
      <c r="E106" s="9">
        <v>1031.53</v>
      </c>
      <c r="F106" t="str">
        <f t="shared" si="2"/>
        <v>janeiro</v>
      </c>
      <c r="G106">
        <f t="shared" si="3"/>
        <v>2023</v>
      </c>
    </row>
    <row r="107" spans="1:7" x14ac:dyDescent="0.25">
      <c r="A107">
        <v>4030311</v>
      </c>
      <c r="B107" s="1">
        <v>44927</v>
      </c>
      <c r="C107" t="s">
        <v>311</v>
      </c>
      <c r="D107" s="6">
        <v>572</v>
      </c>
      <c r="E107" s="9">
        <v>3730</v>
      </c>
      <c r="F107" t="str">
        <f t="shared" si="2"/>
        <v>janeiro</v>
      </c>
      <c r="G107">
        <f t="shared" si="3"/>
        <v>2023</v>
      </c>
    </row>
    <row r="108" spans="1:7" x14ac:dyDescent="0.25">
      <c r="A108">
        <v>4030400</v>
      </c>
      <c r="B108" s="1">
        <v>44927</v>
      </c>
      <c r="C108" t="s">
        <v>312</v>
      </c>
      <c r="D108" s="6">
        <v>278.2</v>
      </c>
      <c r="E108" s="9">
        <v>1417.62</v>
      </c>
      <c r="F108" t="str">
        <f t="shared" si="2"/>
        <v>janeiro</v>
      </c>
      <c r="G108">
        <f t="shared" si="3"/>
        <v>2023</v>
      </c>
    </row>
    <row r="109" spans="1:7" x14ac:dyDescent="0.25">
      <c r="A109">
        <v>4030511</v>
      </c>
      <c r="B109" s="1">
        <v>44927</v>
      </c>
      <c r="C109" t="s">
        <v>208</v>
      </c>
      <c r="D109" s="6">
        <v>2056.4</v>
      </c>
      <c r="E109" s="9">
        <v>10142.26</v>
      </c>
      <c r="F109" t="str">
        <f t="shared" si="2"/>
        <v>janeiro</v>
      </c>
      <c r="G109">
        <f t="shared" si="3"/>
        <v>2023</v>
      </c>
    </row>
    <row r="110" spans="1:7" x14ac:dyDescent="0.25">
      <c r="A110">
        <v>4030600</v>
      </c>
      <c r="B110" s="1">
        <v>44927</v>
      </c>
      <c r="C110" t="s">
        <v>212</v>
      </c>
      <c r="D110" s="6">
        <v>1259.9000000000001</v>
      </c>
      <c r="E110" s="9">
        <v>3441.8</v>
      </c>
      <c r="F110" t="str">
        <f t="shared" si="2"/>
        <v>janeiro</v>
      </c>
      <c r="G110">
        <f t="shared" si="3"/>
        <v>2023</v>
      </c>
    </row>
    <row r="111" spans="1:7" x14ac:dyDescent="0.25">
      <c r="A111">
        <v>4030711</v>
      </c>
      <c r="B111" s="1">
        <v>44927</v>
      </c>
      <c r="C111" t="s">
        <v>214</v>
      </c>
      <c r="D111" s="6">
        <v>3478.6</v>
      </c>
      <c r="E111" s="9">
        <v>10452</v>
      </c>
      <c r="F111" t="str">
        <f t="shared" si="2"/>
        <v>janeiro</v>
      </c>
      <c r="G111">
        <f t="shared" si="3"/>
        <v>2023</v>
      </c>
    </row>
    <row r="112" spans="1:7" x14ac:dyDescent="0.25">
      <c r="A112">
        <v>4030811</v>
      </c>
      <c r="B112" s="1">
        <v>44927</v>
      </c>
      <c r="C112" t="s">
        <v>216</v>
      </c>
      <c r="D112" s="6">
        <v>2586</v>
      </c>
      <c r="E112" s="9">
        <v>7549</v>
      </c>
      <c r="F112" t="str">
        <f t="shared" si="2"/>
        <v>janeiro</v>
      </c>
      <c r="G112">
        <f t="shared" si="3"/>
        <v>2023</v>
      </c>
    </row>
    <row r="113" spans="1:7" x14ac:dyDescent="0.25">
      <c r="A113">
        <v>4030813</v>
      </c>
      <c r="B113" s="1">
        <v>44927</v>
      </c>
      <c r="C113" t="s">
        <v>218</v>
      </c>
      <c r="D113" s="6">
        <v>2586</v>
      </c>
      <c r="E113" s="9">
        <v>7224.52</v>
      </c>
      <c r="F113" t="str">
        <f t="shared" si="2"/>
        <v>janeiro</v>
      </c>
      <c r="G113">
        <f t="shared" si="3"/>
        <v>2023</v>
      </c>
    </row>
    <row r="114" spans="1:7" x14ac:dyDescent="0.25">
      <c r="A114">
        <v>4030900</v>
      </c>
      <c r="B114" s="1">
        <v>44927</v>
      </c>
      <c r="C114" t="s">
        <v>220</v>
      </c>
      <c r="D114" s="6">
        <v>5878.9</v>
      </c>
      <c r="E114" s="9">
        <v>16787.13</v>
      </c>
      <c r="F114" t="str">
        <f t="shared" si="2"/>
        <v>janeiro</v>
      </c>
      <c r="G114">
        <f t="shared" si="3"/>
        <v>2023</v>
      </c>
    </row>
    <row r="115" spans="1:7" x14ac:dyDescent="0.25">
      <c r="A115">
        <v>4030910</v>
      </c>
      <c r="B115" s="1">
        <v>44927</v>
      </c>
      <c r="C115" t="s">
        <v>222</v>
      </c>
      <c r="D115" s="6">
        <v>465.1</v>
      </c>
      <c r="E115" s="9">
        <v>1388</v>
      </c>
      <c r="F115" t="str">
        <f t="shared" si="2"/>
        <v>janeiro</v>
      </c>
      <c r="G115">
        <f t="shared" si="3"/>
        <v>2023</v>
      </c>
    </row>
    <row r="116" spans="1:7" x14ac:dyDescent="0.25">
      <c r="A116">
        <v>4031012</v>
      </c>
      <c r="B116" s="1">
        <v>44927</v>
      </c>
      <c r="C116" t="s">
        <v>224</v>
      </c>
      <c r="D116" s="6">
        <v>1454</v>
      </c>
      <c r="E116" s="9">
        <v>4157.93</v>
      </c>
      <c r="F116" t="str">
        <f t="shared" si="2"/>
        <v>janeiro</v>
      </c>
      <c r="G116">
        <f t="shared" si="3"/>
        <v>2023</v>
      </c>
    </row>
    <row r="117" spans="1:7" x14ac:dyDescent="0.25">
      <c r="A117">
        <v>4031017</v>
      </c>
      <c r="B117" s="1">
        <v>44927</v>
      </c>
      <c r="C117" t="s">
        <v>226</v>
      </c>
      <c r="D117" s="6">
        <v>2233</v>
      </c>
      <c r="E117" s="9">
        <v>1278.45</v>
      </c>
      <c r="F117" t="str">
        <f t="shared" si="2"/>
        <v>janeiro</v>
      </c>
      <c r="G117">
        <f t="shared" si="3"/>
        <v>2023</v>
      </c>
    </row>
    <row r="118" spans="1:7" x14ac:dyDescent="0.25">
      <c r="A118">
        <v>4031102</v>
      </c>
      <c r="B118" s="1">
        <v>44927</v>
      </c>
      <c r="C118" t="s">
        <v>228</v>
      </c>
      <c r="D118" s="6">
        <v>9889</v>
      </c>
      <c r="E118" s="9">
        <v>26808</v>
      </c>
      <c r="F118" t="str">
        <f t="shared" si="2"/>
        <v>janeiro</v>
      </c>
      <c r="G118">
        <f t="shared" si="3"/>
        <v>2023</v>
      </c>
    </row>
    <row r="119" spans="1:7" x14ac:dyDescent="0.25">
      <c r="A119">
        <v>4031200</v>
      </c>
      <c r="B119" s="1">
        <v>44927</v>
      </c>
      <c r="C119" t="s">
        <v>230</v>
      </c>
      <c r="D119" s="6">
        <v>1149.2</v>
      </c>
      <c r="E119" s="9">
        <v>3158.49</v>
      </c>
      <c r="F119" t="str">
        <f t="shared" si="2"/>
        <v>janeiro</v>
      </c>
      <c r="G119">
        <f t="shared" si="3"/>
        <v>2023</v>
      </c>
    </row>
    <row r="120" spans="1:7" x14ac:dyDescent="0.25">
      <c r="A120">
        <v>4031304</v>
      </c>
      <c r="B120" s="1">
        <v>44927</v>
      </c>
      <c r="C120" t="s">
        <v>232</v>
      </c>
      <c r="D120" s="6">
        <v>1469</v>
      </c>
      <c r="E120" s="9">
        <v>3938</v>
      </c>
      <c r="F120" t="str">
        <f t="shared" si="2"/>
        <v>janeiro</v>
      </c>
      <c r="G120">
        <f t="shared" si="3"/>
        <v>2023</v>
      </c>
    </row>
    <row r="121" spans="1:7" x14ac:dyDescent="0.25">
      <c r="A121">
        <v>4031411</v>
      </c>
      <c r="B121" s="1">
        <v>44927</v>
      </c>
      <c r="C121" t="s">
        <v>234</v>
      </c>
      <c r="D121" s="6">
        <v>67.3</v>
      </c>
      <c r="E121" s="9">
        <v>195.07</v>
      </c>
      <c r="F121" t="str">
        <f t="shared" si="2"/>
        <v>janeiro</v>
      </c>
      <c r="G121">
        <f t="shared" si="3"/>
        <v>2023</v>
      </c>
    </row>
    <row r="122" spans="1:7" x14ac:dyDescent="0.25">
      <c r="A122">
        <v>4031500</v>
      </c>
      <c r="B122" s="1">
        <v>44927</v>
      </c>
      <c r="C122" t="s">
        <v>236</v>
      </c>
      <c r="D122" s="6">
        <v>5909</v>
      </c>
      <c r="E122" s="9">
        <v>15016.02</v>
      </c>
      <c r="F122" t="str">
        <f t="shared" si="2"/>
        <v>janeiro</v>
      </c>
      <c r="G122">
        <f t="shared" si="3"/>
        <v>2023</v>
      </c>
    </row>
    <row r="123" spans="1:7" x14ac:dyDescent="0.25">
      <c r="A123">
        <v>4031604</v>
      </c>
      <c r="B123" s="1">
        <v>44927</v>
      </c>
      <c r="C123" t="s">
        <v>238</v>
      </c>
      <c r="D123" s="6">
        <v>6459</v>
      </c>
      <c r="E123" s="9">
        <v>16051</v>
      </c>
      <c r="F123" t="str">
        <f t="shared" si="2"/>
        <v>janeiro</v>
      </c>
      <c r="G123">
        <f t="shared" si="3"/>
        <v>2023</v>
      </c>
    </row>
    <row r="124" spans="1:7" x14ac:dyDescent="0.25">
      <c r="A124">
        <v>4031605</v>
      </c>
      <c r="B124" s="1">
        <v>44927</v>
      </c>
      <c r="C124" t="s">
        <v>240</v>
      </c>
      <c r="D124" s="6">
        <v>108.4</v>
      </c>
      <c r="E124" s="9">
        <v>299.74</v>
      </c>
      <c r="F124" t="str">
        <f t="shared" si="2"/>
        <v>janeiro</v>
      </c>
      <c r="G124">
        <f t="shared" si="3"/>
        <v>2023</v>
      </c>
    </row>
    <row r="125" spans="1:7" x14ac:dyDescent="0.25">
      <c r="A125">
        <v>4031700</v>
      </c>
      <c r="B125" s="1">
        <v>44927</v>
      </c>
      <c r="C125" t="s">
        <v>242</v>
      </c>
      <c r="D125" s="6">
        <v>784.1</v>
      </c>
      <c r="E125" s="9">
        <v>2164.29</v>
      </c>
      <c r="F125" t="str">
        <f t="shared" si="2"/>
        <v>janeiro</v>
      </c>
      <c r="G125">
        <f t="shared" si="3"/>
        <v>2023</v>
      </c>
    </row>
    <row r="126" spans="1:7" x14ac:dyDescent="0.25">
      <c r="A126">
        <v>4031812</v>
      </c>
      <c r="B126" s="1">
        <v>44927</v>
      </c>
      <c r="C126" t="s">
        <v>244</v>
      </c>
      <c r="D126" s="6">
        <v>600</v>
      </c>
      <c r="E126" s="9">
        <v>1686.38</v>
      </c>
      <c r="F126" t="str">
        <f t="shared" si="2"/>
        <v>janeiro</v>
      </c>
      <c r="G126">
        <f t="shared" si="3"/>
        <v>2023</v>
      </c>
    </row>
    <row r="127" spans="1:7" x14ac:dyDescent="0.25">
      <c r="A127">
        <v>4031813</v>
      </c>
      <c r="B127" s="1">
        <v>44927</v>
      </c>
      <c r="C127" t="s">
        <v>313</v>
      </c>
      <c r="D127" s="6">
        <v>350</v>
      </c>
      <c r="E127" s="9">
        <v>217</v>
      </c>
      <c r="F127" t="str">
        <f t="shared" si="2"/>
        <v>janeiro</v>
      </c>
      <c r="G127">
        <f t="shared" si="3"/>
        <v>2023</v>
      </c>
    </row>
    <row r="128" spans="1:7" x14ac:dyDescent="0.25">
      <c r="A128">
        <v>4031904</v>
      </c>
      <c r="B128" s="1">
        <v>44927</v>
      </c>
      <c r="C128" t="s">
        <v>246</v>
      </c>
      <c r="D128" s="6">
        <v>1111</v>
      </c>
      <c r="E128" s="9">
        <v>2954</v>
      </c>
      <c r="F128" t="str">
        <f t="shared" si="2"/>
        <v>janeiro</v>
      </c>
      <c r="G128">
        <f t="shared" si="3"/>
        <v>2023</v>
      </c>
    </row>
    <row r="129" spans="1:7" x14ac:dyDescent="0.25">
      <c r="A129">
        <v>4032111</v>
      </c>
      <c r="B129" s="1">
        <v>44927</v>
      </c>
      <c r="C129" t="s">
        <v>314</v>
      </c>
      <c r="D129" s="6">
        <v>39.299999999999997</v>
      </c>
      <c r="E129" s="9">
        <v>202.73</v>
      </c>
      <c r="F129" t="str">
        <f t="shared" si="2"/>
        <v>janeiro</v>
      </c>
      <c r="G129">
        <f t="shared" si="3"/>
        <v>2023</v>
      </c>
    </row>
    <row r="130" spans="1:7" x14ac:dyDescent="0.25">
      <c r="A130">
        <v>4032204</v>
      </c>
      <c r="B130" s="1">
        <v>44927</v>
      </c>
      <c r="C130" t="s">
        <v>315</v>
      </c>
      <c r="D130" s="6">
        <v>140.80000000000001</v>
      </c>
      <c r="E130" s="9">
        <v>716.9</v>
      </c>
      <c r="F130" t="str">
        <f t="shared" si="2"/>
        <v>janeiro</v>
      </c>
      <c r="G130">
        <f t="shared" si="3"/>
        <v>2023</v>
      </c>
    </row>
    <row r="131" spans="1:7" x14ac:dyDescent="0.25">
      <c r="A131">
        <v>4032312</v>
      </c>
      <c r="B131" s="1">
        <v>44927</v>
      </c>
      <c r="C131" t="s">
        <v>252</v>
      </c>
      <c r="D131" s="6">
        <v>407</v>
      </c>
      <c r="E131" s="9">
        <v>1662</v>
      </c>
      <c r="F131" t="str">
        <f t="shared" ref="F131:F194" si="4">TEXT(B131,"mmmm")</f>
        <v>janeiro</v>
      </c>
      <c r="G131">
        <f t="shared" ref="G131:G194" si="5">YEAR(B131)</f>
        <v>2023</v>
      </c>
    </row>
    <row r="132" spans="1:7" x14ac:dyDescent="0.25">
      <c r="A132">
        <v>4032404</v>
      </c>
      <c r="B132" s="1">
        <v>44927</v>
      </c>
      <c r="C132" t="s">
        <v>254</v>
      </c>
      <c r="D132" s="6">
        <v>117.1</v>
      </c>
      <c r="E132" s="9">
        <v>476.68</v>
      </c>
      <c r="F132" t="str">
        <f t="shared" si="4"/>
        <v>janeiro</v>
      </c>
      <c r="G132">
        <f t="shared" si="5"/>
        <v>2023</v>
      </c>
    </row>
    <row r="133" spans="1:7" x14ac:dyDescent="0.25">
      <c r="A133">
        <v>4032500</v>
      </c>
      <c r="B133" s="1">
        <v>44927</v>
      </c>
      <c r="C133" t="s">
        <v>256</v>
      </c>
      <c r="D133" s="6">
        <v>425.1</v>
      </c>
      <c r="E133" s="9">
        <v>1043.3399999999999</v>
      </c>
      <c r="F133" t="str">
        <f t="shared" si="4"/>
        <v>janeiro</v>
      </c>
      <c r="G133">
        <f t="shared" si="5"/>
        <v>2023</v>
      </c>
    </row>
    <row r="134" spans="1:7" x14ac:dyDescent="0.25">
      <c r="A134">
        <v>4032611</v>
      </c>
      <c r="B134" s="1">
        <v>44927</v>
      </c>
      <c r="C134" t="s">
        <v>258</v>
      </c>
      <c r="D134" s="6">
        <v>41.5</v>
      </c>
      <c r="E134" s="9">
        <v>119.61</v>
      </c>
      <c r="F134" t="str">
        <f t="shared" si="4"/>
        <v>janeiro</v>
      </c>
      <c r="G134">
        <f t="shared" si="5"/>
        <v>2023</v>
      </c>
    </row>
    <row r="135" spans="1:7" x14ac:dyDescent="0.25">
      <c r="A135">
        <v>4032704</v>
      </c>
      <c r="B135" s="1">
        <v>44927</v>
      </c>
      <c r="C135" t="s">
        <v>260</v>
      </c>
      <c r="D135" s="6">
        <v>449</v>
      </c>
      <c r="E135" s="9">
        <v>1222.94</v>
      </c>
      <c r="F135" t="str">
        <f t="shared" si="4"/>
        <v>janeiro</v>
      </c>
      <c r="G135">
        <f t="shared" si="5"/>
        <v>2023</v>
      </c>
    </row>
    <row r="136" spans="1:7" x14ac:dyDescent="0.25">
      <c r="A136">
        <v>4032800</v>
      </c>
      <c r="B136" s="1">
        <v>44927</v>
      </c>
      <c r="C136" t="s">
        <v>262</v>
      </c>
      <c r="D136" s="6">
        <v>211.6</v>
      </c>
      <c r="E136" s="9">
        <v>1127.28</v>
      </c>
      <c r="F136" t="str">
        <f t="shared" si="4"/>
        <v>janeiro</v>
      </c>
      <c r="G136">
        <f t="shared" si="5"/>
        <v>2023</v>
      </c>
    </row>
    <row r="137" spans="1:7" x14ac:dyDescent="0.25">
      <c r="A137">
        <v>4032902</v>
      </c>
      <c r="B137" s="1">
        <v>44927</v>
      </c>
      <c r="C137" t="s">
        <v>264</v>
      </c>
      <c r="D137" s="6">
        <v>392</v>
      </c>
      <c r="E137" s="9">
        <v>1953</v>
      </c>
      <c r="F137" t="str">
        <f t="shared" si="4"/>
        <v>janeiro</v>
      </c>
      <c r="G137">
        <f t="shared" si="5"/>
        <v>2023</v>
      </c>
    </row>
    <row r="138" spans="1:7" x14ac:dyDescent="0.25">
      <c r="A138">
        <v>4033011</v>
      </c>
      <c r="B138" s="1">
        <v>44927</v>
      </c>
      <c r="C138" t="s">
        <v>266</v>
      </c>
      <c r="D138" s="6">
        <v>169.3</v>
      </c>
      <c r="E138" s="9">
        <v>852</v>
      </c>
      <c r="F138" t="str">
        <f t="shared" si="4"/>
        <v>janeiro</v>
      </c>
      <c r="G138">
        <f t="shared" si="5"/>
        <v>2023</v>
      </c>
    </row>
    <row r="139" spans="1:7" x14ac:dyDescent="0.25">
      <c r="A139">
        <v>4033111</v>
      </c>
      <c r="B139" s="1">
        <v>44927</v>
      </c>
      <c r="C139" t="s">
        <v>268</v>
      </c>
      <c r="D139" s="6">
        <v>25</v>
      </c>
      <c r="E139" s="9">
        <v>118.97</v>
      </c>
      <c r="F139" t="str">
        <f t="shared" si="4"/>
        <v>janeiro</v>
      </c>
      <c r="G139">
        <f t="shared" si="5"/>
        <v>2023</v>
      </c>
    </row>
    <row r="140" spans="1:7" x14ac:dyDescent="0.25">
      <c r="A140">
        <v>4033211</v>
      </c>
      <c r="B140" s="1">
        <v>44927</v>
      </c>
      <c r="C140" t="s">
        <v>270</v>
      </c>
      <c r="D140" s="6">
        <v>143</v>
      </c>
      <c r="E140" s="9">
        <v>644</v>
      </c>
      <c r="F140" t="str">
        <f t="shared" si="4"/>
        <v>janeiro</v>
      </c>
      <c r="G140">
        <f t="shared" si="5"/>
        <v>2023</v>
      </c>
    </row>
    <row r="141" spans="1:7" x14ac:dyDescent="0.25">
      <c r="A141">
        <v>4033311</v>
      </c>
      <c r="B141" s="1">
        <v>44927</v>
      </c>
      <c r="C141" t="s">
        <v>272</v>
      </c>
      <c r="D141" s="6">
        <v>39.5</v>
      </c>
      <c r="E141" s="9">
        <v>237.12</v>
      </c>
      <c r="F141" t="str">
        <f t="shared" si="4"/>
        <v>janeiro</v>
      </c>
      <c r="G141">
        <f t="shared" si="5"/>
        <v>2023</v>
      </c>
    </row>
    <row r="142" spans="1:7" x14ac:dyDescent="0.25">
      <c r="A142">
        <v>4033400</v>
      </c>
      <c r="B142" s="1">
        <v>44927</v>
      </c>
      <c r="C142" t="s">
        <v>274</v>
      </c>
      <c r="D142" s="6">
        <v>1383.2</v>
      </c>
      <c r="E142" s="9">
        <v>3649.44</v>
      </c>
      <c r="F142" t="str">
        <f t="shared" si="4"/>
        <v>janeiro</v>
      </c>
      <c r="G142">
        <f t="shared" si="5"/>
        <v>2023</v>
      </c>
    </row>
    <row r="143" spans="1:7" x14ac:dyDescent="0.25">
      <c r="A143">
        <v>4033511</v>
      </c>
      <c r="B143" s="1">
        <v>44927</v>
      </c>
      <c r="C143" t="s">
        <v>276</v>
      </c>
      <c r="D143" s="6">
        <v>3742</v>
      </c>
      <c r="E143" s="9">
        <v>10907</v>
      </c>
      <c r="F143" t="str">
        <f t="shared" si="4"/>
        <v>janeiro</v>
      </c>
      <c r="G143">
        <f t="shared" si="5"/>
        <v>2023</v>
      </c>
    </row>
    <row r="144" spans="1:7" x14ac:dyDescent="0.25">
      <c r="A144">
        <v>4033900</v>
      </c>
      <c r="B144" s="1">
        <v>44927</v>
      </c>
      <c r="C144" t="s">
        <v>278</v>
      </c>
      <c r="D144" s="6">
        <v>138</v>
      </c>
      <c r="E144" s="9">
        <v>693.94</v>
      </c>
      <c r="F144" t="str">
        <f t="shared" si="4"/>
        <v>janeiro</v>
      </c>
      <c r="G144">
        <f t="shared" si="5"/>
        <v>2023</v>
      </c>
    </row>
    <row r="145" spans="1:7" x14ac:dyDescent="0.25">
      <c r="A145">
        <v>4034011</v>
      </c>
      <c r="B145" s="1">
        <v>44927</v>
      </c>
      <c r="C145" t="s">
        <v>280</v>
      </c>
      <c r="D145" s="6">
        <v>670</v>
      </c>
      <c r="E145" s="9">
        <v>3328</v>
      </c>
      <c r="F145" t="str">
        <f t="shared" si="4"/>
        <v>janeiro</v>
      </c>
      <c r="G145">
        <f t="shared" si="5"/>
        <v>2023</v>
      </c>
    </row>
    <row r="146" spans="1:7" x14ac:dyDescent="0.25">
      <c r="A146">
        <v>4034211</v>
      </c>
      <c r="B146" s="1">
        <v>44927</v>
      </c>
      <c r="C146" t="s">
        <v>282</v>
      </c>
      <c r="D146" s="6">
        <v>250</v>
      </c>
      <c r="E146" s="9">
        <v>1037</v>
      </c>
      <c r="F146" t="str">
        <f t="shared" si="4"/>
        <v>janeiro</v>
      </c>
      <c r="G146">
        <f t="shared" si="5"/>
        <v>2023</v>
      </c>
    </row>
    <row r="147" spans="1:7" x14ac:dyDescent="0.25">
      <c r="A147">
        <v>4034400</v>
      </c>
      <c r="B147" s="1">
        <v>44927</v>
      </c>
      <c r="C147" t="s">
        <v>284</v>
      </c>
      <c r="D147" s="6">
        <v>146.9</v>
      </c>
      <c r="E147" s="9">
        <v>396.41</v>
      </c>
      <c r="F147" t="str">
        <f t="shared" si="4"/>
        <v>janeiro</v>
      </c>
      <c r="G147">
        <f t="shared" si="5"/>
        <v>2023</v>
      </c>
    </row>
    <row r="148" spans="1:7" x14ac:dyDescent="0.25">
      <c r="A148">
        <v>4034502</v>
      </c>
      <c r="B148" s="1">
        <v>44927</v>
      </c>
      <c r="C148" t="s">
        <v>286</v>
      </c>
      <c r="D148" s="6">
        <v>172</v>
      </c>
      <c r="E148" s="9">
        <v>482</v>
      </c>
      <c r="F148" t="str">
        <f t="shared" si="4"/>
        <v>janeiro</v>
      </c>
      <c r="G148">
        <f t="shared" si="5"/>
        <v>2023</v>
      </c>
    </row>
    <row r="149" spans="1:7" x14ac:dyDescent="0.25">
      <c r="A149">
        <v>8040007</v>
      </c>
      <c r="B149" s="1">
        <v>44927</v>
      </c>
      <c r="C149" t="s">
        <v>316</v>
      </c>
      <c r="D149" s="6">
        <v>12</v>
      </c>
      <c r="E149" s="9">
        <v>97</v>
      </c>
      <c r="F149" t="str">
        <f t="shared" si="4"/>
        <v>janeiro</v>
      </c>
      <c r="G149">
        <f t="shared" si="5"/>
        <v>2023</v>
      </c>
    </row>
    <row r="150" spans="1:7" x14ac:dyDescent="0.25">
      <c r="A150">
        <v>8040008</v>
      </c>
      <c r="B150" s="1">
        <v>44927</v>
      </c>
      <c r="C150" t="s">
        <v>317</v>
      </c>
      <c r="D150" s="6">
        <v>64</v>
      </c>
      <c r="E150" s="9">
        <v>766</v>
      </c>
      <c r="F150" t="str">
        <f t="shared" si="4"/>
        <v>janeiro</v>
      </c>
      <c r="G150">
        <f t="shared" si="5"/>
        <v>2023</v>
      </c>
    </row>
    <row r="151" spans="1:7" x14ac:dyDescent="0.25">
      <c r="A151">
        <v>8040009</v>
      </c>
      <c r="B151" s="1">
        <v>44927</v>
      </c>
      <c r="C151" t="s">
        <v>318</v>
      </c>
      <c r="D151" s="6">
        <v>128</v>
      </c>
      <c r="E151" s="9">
        <v>758</v>
      </c>
      <c r="F151" t="str">
        <f t="shared" si="4"/>
        <v>janeiro</v>
      </c>
      <c r="G151">
        <f t="shared" si="5"/>
        <v>2023</v>
      </c>
    </row>
    <row r="152" spans="1:7" x14ac:dyDescent="0.25">
      <c r="A152">
        <v>8040010</v>
      </c>
      <c r="B152" s="1">
        <v>44927</v>
      </c>
      <c r="C152" t="s">
        <v>319</v>
      </c>
      <c r="D152" s="6">
        <v>81</v>
      </c>
      <c r="E152" s="9">
        <v>621</v>
      </c>
      <c r="F152" t="str">
        <f t="shared" si="4"/>
        <v>janeiro</v>
      </c>
      <c r="G152">
        <f t="shared" si="5"/>
        <v>2023</v>
      </c>
    </row>
    <row r="153" spans="1:7" x14ac:dyDescent="0.25">
      <c r="A153">
        <v>8040011</v>
      </c>
      <c r="B153" s="1">
        <v>44927</v>
      </c>
      <c r="C153" t="s">
        <v>320</v>
      </c>
      <c r="D153" s="6">
        <v>80.64</v>
      </c>
      <c r="E153" s="9">
        <v>468</v>
      </c>
      <c r="F153" t="str">
        <f t="shared" si="4"/>
        <v>janeiro</v>
      </c>
      <c r="G153">
        <f t="shared" si="5"/>
        <v>2023</v>
      </c>
    </row>
    <row r="154" spans="1:7" x14ac:dyDescent="0.25">
      <c r="A154">
        <v>8050002</v>
      </c>
      <c r="B154" s="1">
        <v>44927</v>
      </c>
      <c r="C154" t="s">
        <v>321</v>
      </c>
      <c r="D154" s="6">
        <v>1360</v>
      </c>
      <c r="E154" s="9">
        <v>2017.6</v>
      </c>
      <c r="F154" t="str">
        <f t="shared" si="4"/>
        <v>janeiro</v>
      </c>
      <c r="G154">
        <f t="shared" si="5"/>
        <v>2023</v>
      </c>
    </row>
    <row r="155" spans="1:7" x14ac:dyDescent="0.25">
      <c r="A155">
        <v>8050003</v>
      </c>
      <c r="B155" s="1">
        <v>44927</v>
      </c>
      <c r="C155" t="s">
        <v>322</v>
      </c>
      <c r="D155" s="6">
        <v>3600</v>
      </c>
      <c r="E155" s="9">
        <v>18000</v>
      </c>
      <c r="F155" t="str">
        <f t="shared" si="4"/>
        <v>janeiro</v>
      </c>
      <c r="G155">
        <f t="shared" si="5"/>
        <v>2023</v>
      </c>
    </row>
    <row r="156" spans="1:7" x14ac:dyDescent="0.25">
      <c r="A156">
        <v>8050004</v>
      </c>
      <c r="B156" s="1">
        <v>44927</v>
      </c>
      <c r="C156" t="s">
        <v>323</v>
      </c>
      <c r="D156" s="6">
        <v>3600</v>
      </c>
      <c r="E156" s="9">
        <v>13824</v>
      </c>
      <c r="F156" t="str">
        <f t="shared" si="4"/>
        <v>janeiro</v>
      </c>
      <c r="G156">
        <f t="shared" si="5"/>
        <v>2023</v>
      </c>
    </row>
    <row r="157" spans="1:7" x14ac:dyDescent="0.25">
      <c r="A157">
        <v>8060001</v>
      </c>
      <c r="B157" s="1">
        <v>44927</v>
      </c>
      <c r="C157" t="s">
        <v>324</v>
      </c>
      <c r="D157" s="6">
        <v>11930</v>
      </c>
      <c r="E157" s="9">
        <v>47123.5</v>
      </c>
      <c r="F157" t="str">
        <f t="shared" si="4"/>
        <v>janeiro</v>
      </c>
      <c r="G157">
        <f t="shared" si="5"/>
        <v>2023</v>
      </c>
    </row>
    <row r="158" spans="1:7" x14ac:dyDescent="0.25">
      <c r="A158">
        <v>8060002</v>
      </c>
      <c r="B158" s="1">
        <v>44927</v>
      </c>
      <c r="C158" t="s">
        <v>325</v>
      </c>
      <c r="D158" s="6">
        <v>7200</v>
      </c>
      <c r="E158" s="9">
        <v>43200</v>
      </c>
      <c r="F158" t="str">
        <f t="shared" si="4"/>
        <v>janeiro</v>
      </c>
      <c r="G158">
        <f t="shared" si="5"/>
        <v>2023</v>
      </c>
    </row>
    <row r="159" spans="1:7" x14ac:dyDescent="0.25">
      <c r="A159">
        <v>8070002</v>
      </c>
      <c r="B159" s="1">
        <v>44927</v>
      </c>
      <c r="C159" t="s">
        <v>326</v>
      </c>
      <c r="D159" s="6">
        <v>432</v>
      </c>
      <c r="E159" s="9">
        <v>911.52</v>
      </c>
      <c r="F159" t="str">
        <f t="shared" si="4"/>
        <v>janeiro</v>
      </c>
      <c r="G159">
        <f t="shared" si="5"/>
        <v>2023</v>
      </c>
    </row>
    <row r="160" spans="1:7" x14ac:dyDescent="0.25">
      <c r="A160">
        <v>8070003</v>
      </c>
      <c r="B160" s="1">
        <v>44927</v>
      </c>
      <c r="C160" t="s">
        <v>327</v>
      </c>
      <c r="D160" s="6">
        <v>2000</v>
      </c>
      <c r="E160" s="9">
        <v>14240</v>
      </c>
      <c r="F160" t="str">
        <f t="shared" si="4"/>
        <v>janeiro</v>
      </c>
      <c r="G160">
        <f t="shared" si="5"/>
        <v>2023</v>
      </c>
    </row>
    <row r="161" spans="1:7" x14ac:dyDescent="0.25">
      <c r="A161">
        <v>8070005</v>
      </c>
      <c r="B161" s="1">
        <v>44927</v>
      </c>
      <c r="C161" t="s">
        <v>328</v>
      </c>
      <c r="D161" s="6">
        <v>600</v>
      </c>
      <c r="E161" s="9">
        <v>3870</v>
      </c>
      <c r="F161" t="str">
        <f t="shared" si="4"/>
        <v>janeiro</v>
      </c>
      <c r="G161">
        <f t="shared" si="5"/>
        <v>2023</v>
      </c>
    </row>
    <row r="162" spans="1:7" ht="13.15" customHeight="1" x14ac:dyDescent="0.25">
      <c r="A162">
        <v>8120001</v>
      </c>
      <c r="B162" s="1">
        <v>44927</v>
      </c>
      <c r="C162" t="s">
        <v>329</v>
      </c>
      <c r="D162" s="6">
        <v>1238.6949999999999</v>
      </c>
      <c r="E162" s="9">
        <v>6565.09</v>
      </c>
      <c r="F162" t="str">
        <f t="shared" si="4"/>
        <v>janeiro</v>
      </c>
      <c r="G162">
        <f t="shared" si="5"/>
        <v>2023</v>
      </c>
    </row>
    <row r="163" spans="1:7" ht="13.9" customHeight="1" x14ac:dyDescent="0.25">
      <c r="A163" t="s">
        <v>330</v>
      </c>
      <c r="B163" s="1">
        <v>44958</v>
      </c>
      <c r="C163" t="s">
        <v>331</v>
      </c>
      <c r="D163" s="6">
        <v>812.2</v>
      </c>
      <c r="E163" s="9">
        <v>243.66</v>
      </c>
      <c r="F163" t="str">
        <f t="shared" si="4"/>
        <v>fevereiro</v>
      </c>
      <c r="G163">
        <f t="shared" si="5"/>
        <v>2023</v>
      </c>
    </row>
    <row r="164" spans="1:7" ht="13.9" customHeight="1" x14ac:dyDescent="0.25">
      <c r="A164" t="s">
        <v>332</v>
      </c>
      <c r="B164" s="1">
        <v>44958</v>
      </c>
      <c r="C164" t="s">
        <v>333</v>
      </c>
      <c r="D164" s="6">
        <v>1407.5</v>
      </c>
      <c r="E164" s="9">
        <v>422.25</v>
      </c>
      <c r="F164" t="str">
        <f t="shared" si="4"/>
        <v>fevereiro</v>
      </c>
      <c r="G164">
        <f t="shared" si="5"/>
        <v>2023</v>
      </c>
    </row>
    <row r="165" spans="1:7" ht="13.9" customHeight="1" x14ac:dyDescent="0.25">
      <c r="A165">
        <v>1010500</v>
      </c>
      <c r="B165" s="1">
        <v>44958</v>
      </c>
      <c r="C165" t="s">
        <v>6</v>
      </c>
      <c r="D165" s="6">
        <v>1696.6</v>
      </c>
      <c r="E165" s="9">
        <v>945.1</v>
      </c>
      <c r="F165" t="str">
        <f t="shared" si="4"/>
        <v>fevereiro</v>
      </c>
      <c r="G165">
        <f t="shared" si="5"/>
        <v>2023</v>
      </c>
    </row>
    <row r="166" spans="1:7" ht="13.9" customHeight="1" x14ac:dyDescent="0.25">
      <c r="A166">
        <v>1010600</v>
      </c>
      <c r="B166" s="1">
        <v>44958</v>
      </c>
      <c r="C166" t="s">
        <v>334</v>
      </c>
      <c r="D166" s="6">
        <v>5062.17</v>
      </c>
      <c r="E166" s="9">
        <v>5104.91</v>
      </c>
      <c r="F166" t="str">
        <f t="shared" si="4"/>
        <v>fevereiro</v>
      </c>
      <c r="G166">
        <f t="shared" si="5"/>
        <v>2023</v>
      </c>
    </row>
    <row r="167" spans="1:7" ht="13.9" customHeight="1" x14ac:dyDescent="0.25">
      <c r="A167">
        <v>1010700</v>
      </c>
      <c r="B167" s="1">
        <v>44958</v>
      </c>
      <c r="C167" t="s">
        <v>335</v>
      </c>
      <c r="D167" s="6">
        <v>2068</v>
      </c>
      <c r="E167" s="9">
        <v>4049</v>
      </c>
      <c r="F167" t="str">
        <f t="shared" si="4"/>
        <v>fevereiro</v>
      </c>
      <c r="G167">
        <f t="shared" si="5"/>
        <v>2023</v>
      </c>
    </row>
    <row r="168" spans="1:7" ht="13.9" customHeight="1" x14ac:dyDescent="0.25">
      <c r="A168">
        <v>1010701</v>
      </c>
      <c r="B168" s="1">
        <v>44958</v>
      </c>
      <c r="C168" t="s">
        <v>12</v>
      </c>
      <c r="D168" s="6">
        <v>36.700000000000003</v>
      </c>
      <c r="E168" s="9">
        <v>249</v>
      </c>
      <c r="F168" t="str">
        <f t="shared" si="4"/>
        <v>fevereiro</v>
      </c>
      <c r="G168">
        <f t="shared" si="5"/>
        <v>2023</v>
      </c>
    </row>
    <row r="169" spans="1:7" ht="13.9" customHeight="1" x14ac:dyDescent="0.25">
      <c r="A169">
        <v>1010900</v>
      </c>
      <c r="B169" s="1">
        <v>44958</v>
      </c>
      <c r="C169" t="s">
        <v>336</v>
      </c>
      <c r="D169" s="6">
        <v>629</v>
      </c>
      <c r="E169" s="9">
        <v>1034</v>
      </c>
      <c r="F169" t="str">
        <f t="shared" si="4"/>
        <v>fevereiro</v>
      </c>
      <c r="G169">
        <f t="shared" si="5"/>
        <v>2023</v>
      </c>
    </row>
    <row r="170" spans="1:7" ht="13.9" customHeight="1" x14ac:dyDescent="0.25">
      <c r="A170">
        <v>1010901</v>
      </c>
      <c r="B170" s="1">
        <v>44958</v>
      </c>
      <c r="C170" t="s">
        <v>337</v>
      </c>
      <c r="D170" s="6">
        <v>264</v>
      </c>
      <c r="E170" s="9">
        <v>216</v>
      </c>
      <c r="F170" t="str">
        <f t="shared" si="4"/>
        <v>fevereiro</v>
      </c>
      <c r="G170">
        <f t="shared" si="5"/>
        <v>2023</v>
      </c>
    </row>
    <row r="171" spans="1:7" ht="13.9" customHeight="1" x14ac:dyDescent="0.25">
      <c r="A171">
        <v>1011000</v>
      </c>
      <c r="B171" s="1">
        <v>44958</v>
      </c>
      <c r="C171" t="s">
        <v>20</v>
      </c>
      <c r="D171" s="6">
        <v>1323.8</v>
      </c>
      <c r="E171" s="9">
        <v>720.67</v>
      </c>
      <c r="F171" t="str">
        <f t="shared" si="4"/>
        <v>fevereiro</v>
      </c>
      <c r="G171">
        <f t="shared" si="5"/>
        <v>2023</v>
      </c>
    </row>
    <row r="172" spans="1:7" ht="13.9" customHeight="1" x14ac:dyDescent="0.25">
      <c r="A172">
        <v>1011100</v>
      </c>
      <c r="B172" s="1">
        <v>44958</v>
      </c>
      <c r="C172" t="s">
        <v>293</v>
      </c>
      <c r="D172" s="6">
        <v>10.3</v>
      </c>
      <c r="E172" s="9">
        <v>5.15</v>
      </c>
      <c r="F172" t="str">
        <f t="shared" si="4"/>
        <v>fevereiro</v>
      </c>
      <c r="G172">
        <f t="shared" si="5"/>
        <v>2023</v>
      </c>
    </row>
    <row r="173" spans="1:7" ht="13.9" customHeight="1" x14ac:dyDescent="0.25">
      <c r="A173">
        <v>1011200</v>
      </c>
      <c r="B173" s="1">
        <v>44958</v>
      </c>
      <c r="C173" t="s">
        <v>24</v>
      </c>
      <c r="D173" s="6">
        <v>46.4</v>
      </c>
      <c r="E173" s="9">
        <v>60</v>
      </c>
      <c r="F173" t="str">
        <f t="shared" si="4"/>
        <v>fevereiro</v>
      </c>
      <c r="G173">
        <f t="shared" si="5"/>
        <v>2023</v>
      </c>
    </row>
    <row r="174" spans="1:7" ht="13.9" customHeight="1" x14ac:dyDescent="0.25">
      <c r="A174">
        <v>1011201</v>
      </c>
      <c r="B174" s="1">
        <v>44958</v>
      </c>
      <c r="C174" t="s">
        <v>338</v>
      </c>
      <c r="D174" s="6">
        <v>94.3</v>
      </c>
      <c r="E174" s="9">
        <v>254.61</v>
      </c>
      <c r="F174" t="str">
        <f t="shared" si="4"/>
        <v>fevereiro</v>
      </c>
      <c r="G174">
        <f t="shared" si="5"/>
        <v>2023</v>
      </c>
    </row>
    <row r="175" spans="1:7" ht="13.9" customHeight="1" x14ac:dyDescent="0.25">
      <c r="A175" t="s">
        <v>339</v>
      </c>
      <c r="B175" s="1">
        <v>44958</v>
      </c>
      <c r="C175" t="s">
        <v>340</v>
      </c>
      <c r="D175" s="6">
        <v>453.4</v>
      </c>
      <c r="E175" s="9">
        <v>181.36</v>
      </c>
      <c r="F175" t="str">
        <f t="shared" si="4"/>
        <v>fevereiro</v>
      </c>
      <c r="G175">
        <f t="shared" si="5"/>
        <v>2023</v>
      </c>
    </row>
    <row r="176" spans="1:7" ht="13.9" customHeight="1" x14ac:dyDescent="0.25">
      <c r="A176" t="s">
        <v>341</v>
      </c>
      <c r="B176" s="1">
        <v>44958</v>
      </c>
      <c r="C176" t="s">
        <v>342</v>
      </c>
      <c r="D176" s="6">
        <v>109.2</v>
      </c>
      <c r="E176" s="9">
        <v>65.62</v>
      </c>
      <c r="F176" t="str">
        <f t="shared" si="4"/>
        <v>fevereiro</v>
      </c>
      <c r="G176">
        <f t="shared" si="5"/>
        <v>2023</v>
      </c>
    </row>
    <row r="177" spans="1:7" x14ac:dyDescent="0.25">
      <c r="A177" t="s">
        <v>343</v>
      </c>
      <c r="B177" s="1">
        <v>44958</v>
      </c>
      <c r="C177" t="s">
        <v>344</v>
      </c>
      <c r="D177" s="6">
        <v>230</v>
      </c>
      <c r="E177" s="9">
        <v>390</v>
      </c>
      <c r="F177" t="str">
        <f t="shared" si="4"/>
        <v>fevereiro</v>
      </c>
      <c r="G177">
        <f t="shared" si="5"/>
        <v>2023</v>
      </c>
    </row>
    <row r="178" spans="1:7" x14ac:dyDescent="0.25">
      <c r="A178">
        <v>1011300</v>
      </c>
      <c r="B178" s="1">
        <v>44958</v>
      </c>
      <c r="C178" t="s">
        <v>295</v>
      </c>
      <c r="D178" s="6">
        <v>4014.3</v>
      </c>
      <c r="E178" s="9">
        <v>3991.62</v>
      </c>
      <c r="F178" t="str">
        <f t="shared" si="4"/>
        <v>fevereiro</v>
      </c>
      <c r="G178">
        <f t="shared" si="5"/>
        <v>2023</v>
      </c>
    </row>
    <row r="179" spans="1:7" x14ac:dyDescent="0.25">
      <c r="A179">
        <v>1011400</v>
      </c>
      <c r="B179" s="1">
        <v>44958</v>
      </c>
      <c r="C179" t="s">
        <v>25</v>
      </c>
      <c r="D179" s="6">
        <v>69.099999999999994</v>
      </c>
      <c r="E179" s="9">
        <v>13.14</v>
      </c>
      <c r="F179" t="str">
        <f t="shared" si="4"/>
        <v>fevereiro</v>
      </c>
      <c r="G179">
        <f t="shared" si="5"/>
        <v>2023</v>
      </c>
    </row>
    <row r="180" spans="1:7" x14ac:dyDescent="0.25">
      <c r="A180">
        <v>1011500</v>
      </c>
      <c r="B180" s="1">
        <v>44958</v>
      </c>
      <c r="C180" t="s">
        <v>27</v>
      </c>
      <c r="D180" s="6">
        <v>2960</v>
      </c>
      <c r="E180" s="9">
        <v>2374</v>
      </c>
      <c r="F180" t="str">
        <f t="shared" si="4"/>
        <v>fevereiro</v>
      </c>
      <c r="G180">
        <f t="shared" si="5"/>
        <v>2023</v>
      </c>
    </row>
    <row r="181" spans="1:7" x14ac:dyDescent="0.25">
      <c r="A181">
        <v>1011604</v>
      </c>
      <c r="B181" s="1">
        <v>44958</v>
      </c>
      <c r="C181" t="s">
        <v>29</v>
      </c>
      <c r="D181" s="6">
        <v>26200</v>
      </c>
      <c r="E181" s="9">
        <v>1868</v>
      </c>
      <c r="F181" t="str">
        <f t="shared" si="4"/>
        <v>fevereiro</v>
      </c>
      <c r="G181">
        <f t="shared" si="5"/>
        <v>2023</v>
      </c>
    </row>
    <row r="182" spans="1:7" x14ac:dyDescent="0.25">
      <c r="A182">
        <v>1011700</v>
      </c>
      <c r="B182" s="1">
        <v>44958</v>
      </c>
      <c r="C182" t="s">
        <v>31</v>
      </c>
      <c r="D182" s="6">
        <v>258</v>
      </c>
      <c r="E182" s="9">
        <v>425</v>
      </c>
      <c r="F182" t="str">
        <f t="shared" si="4"/>
        <v>fevereiro</v>
      </c>
      <c r="G182">
        <f t="shared" si="5"/>
        <v>2023</v>
      </c>
    </row>
    <row r="183" spans="1:7" x14ac:dyDescent="0.25">
      <c r="A183">
        <v>1011800</v>
      </c>
      <c r="B183" s="1">
        <v>44958</v>
      </c>
      <c r="C183" t="s">
        <v>33</v>
      </c>
      <c r="D183" s="6">
        <v>5776.09</v>
      </c>
      <c r="E183" s="9">
        <v>12117</v>
      </c>
      <c r="F183" t="str">
        <f t="shared" si="4"/>
        <v>fevereiro</v>
      </c>
      <c r="G183">
        <f t="shared" si="5"/>
        <v>2023</v>
      </c>
    </row>
    <row r="184" spans="1:7" x14ac:dyDescent="0.25">
      <c r="A184">
        <v>1011900</v>
      </c>
      <c r="B184" s="1">
        <v>44958</v>
      </c>
      <c r="C184" t="s">
        <v>345</v>
      </c>
      <c r="D184" s="6">
        <v>146.6</v>
      </c>
      <c r="E184" s="9">
        <v>73.3</v>
      </c>
      <c r="F184" t="str">
        <f t="shared" si="4"/>
        <v>fevereiro</v>
      </c>
      <c r="G184">
        <f t="shared" si="5"/>
        <v>2023</v>
      </c>
    </row>
    <row r="185" spans="1:7" x14ac:dyDescent="0.25">
      <c r="A185">
        <v>1012100</v>
      </c>
      <c r="B185" s="1">
        <v>44958</v>
      </c>
      <c r="C185" t="s">
        <v>302</v>
      </c>
      <c r="D185" s="6">
        <v>348.6</v>
      </c>
      <c r="E185" s="9">
        <v>976.08</v>
      </c>
      <c r="F185" t="str">
        <f t="shared" si="4"/>
        <v>fevereiro</v>
      </c>
      <c r="G185">
        <f t="shared" si="5"/>
        <v>2023</v>
      </c>
    </row>
    <row r="186" spans="1:7" x14ac:dyDescent="0.25">
      <c r="A186">
        <v>1012200</v>
      </c>
      <c r="B186" s="1">
        <v>44958</v>
      </c>
      <c r="C186" t="s">
        <v>39</v>
      </c>
      <c r="D186" s="6">
        <v>1411</v>
      </c>
      <c r="E186" s="9">
        <v>2370.52</v>
      </c>
      <c r="F186" t="str">
        <f t="shared" si="4"/>
        <v>fevereiro</v>
      </c>
      <c r="G186">
        <f t="shared" si="5"/>
        <v>2023</v>
      </c>
    </row>
    <row r="187" spans="1:7" x14ac:dyDescent="0.25">
      <c r="A187">
        <v>1012201</v>
      </c>
      <c r="B187" s="1">
        <v>44958</v>
      </c>
      <c r="C187" t="s">
        <v>41</v>
      </c>
      <c r="D187" s="6">
        <v>304</v>
      </c>
      <c r="E187" s="9">
        <v>648</v>
      </c>
      <c r="F187" t="str">
        <f t="shared" si="4"/>
        <v>fevereiro</v>
      </c>
      <c r="G187">
        <f t="shared" si="5"/>
        <v>2023</v>
      </c>
    </row>
    <row r="188" spans="1:7" x14ac:dyDescent="0.25">
      <c r="A188">
        <v>1012203</v>
      </c>
      <c r="B188" s="1">
        <v>44958</v>
      </c>
      <c r="C188" t="s">
        <v>43</v>
      </c>
      <c r="D188" s="6">
        <v>749.7</v>
      </c>
      <c r="E188" s="9">
        <v>1299</v>
      </c>
      <c r="F188" t="str">
        <f t="shared" si="4"/>
        <v>fevereiro</v>
      </c>
      <c r="G188">
        <f t="shared" si="5"/>
        <v>2023</v>
      </c>
    </row>
    <row r="189" spans="1:7" x14ac:dyDescent="0.25">
      <c r="A189">
        <v>1012300</v>
      </c>
      <c r="B189" s="1">
        <v>44958</v>
      </c>
      <c r="C189" t="s">
        <v>45</v>
      </c>
      <c r="D189" s="6">
        <v>339.9</v>
      </c>
      <c r="E189" s="9">
        <v>490.11</v>
      </c>
      <c r="F189" t="str">
        <f t="shared" si="4"/>
        <v>fevereiro</v>
      </c>
      <c r="G189">
        <f t="shared" si="5"/>
        <v>2023</v>
      </c>
    </row>
    <row r="190" spans="1:7" x14ac:dyDescent="0.25">
      <c r="A190">
        <v>1012301</v>
      </c>
      <c r="B190" s="1">
        <v>44958</v>
      </c>
      <c r="C190" t="s">
        <v>47</v>
      </c>
      <c r="D190" s="6">
        <v>150</v>
      </c>
      <c r="E190" s="9">
        <v>225</v>
      </c>
      <c r="F190" t="str">
        <f t="shared" si="4"/>
        <v>fevereiro</v>
      </c>
      <c r="G190">
        <f t="shared" si="5"/>
        <v>2023</v>
      </c>
    </row>
    <row r="191" spans="1:7" x14ac:dyDescent="0.25">
      <c r="A191">
        <v>1012400</v>
      </c>
      <c r="B191" s="1">
        <v>44958</v>
      </c>
      <c r="C191" t="s">
        <v>49</v>
      </c>
      <c r="D191" s="6">
        <v>740</v>
      </c>
      <c r="E191" s="9">
        <v>1233</v>
      </c>
      <c r="F191" t="str">
        <f t="shared" si="4"/>
        <v>fevereiro</v>
      </c>
      <c r="G191">
        <f t="shared" si="5"/>
        <v>2023</v>
      </c>
    </row>
    <row r="192" spans="1:7" x14ac:dyDescent="0.25">
      <c r="A192">
        <v>1012401</v>
      </c>
      <c r="B192" s="1">
        <v>44958</v>
      </c>
      <c r="C192" t="s">
        <v>51</v>
      </c>
      <c r="D192" s="6">
        <v>270</v>
      </c>
      <c r="E192" s="9">
        <v>322</v>
      </c>
      <c r="F192" t="str">
        <f t="shared" si="4"/>
        <v>fevereiro</v>
      </c>
      <c r="G192">
        <f t="shared" si="5"/>
        <v>2023</v>
      </c>
    </row>
    <row r="193" spans="1:7" x14ac:dyDescent="0.25">
      <c r="A193">
        <v>1012500</v>
      </c>
      <c r="B193" s="1">
        <v>44958</v>
      </c>
      <c r="C193" t="s">
        <v>53</v>
      </c>
      <c r="D193" s="6">
        <v>1277</v>
      </c>
      <c r="E193" s="9">
        <v>510.88</v>
      </c>
      <c r="F193" t="str">
        <f t="shared" si="4"/>
        <v>fevereiro</v>
      </c>
      <c r="G193">
        <f t="shared" si="5"/>
        <v>2023</v>
      </c>
    </row>
    <row r="194" spans="1:7" x14ac:dyDescent="0.25">
      <c r="A194">
        <v>1012601</v>
      </c>
      <c r="B194" s="1">
        <v>44958</v>
      </c>
      <c r="C194" t="s">
        <v>55</v>
      </c>
      <c r="D194" s="6">
        <v>271</v>
      </c>
      <c r="E194" s="9">
        <v>271</v>
      </c>
      <c r="F194" t="str">
        <f t="shared" si="4"/>
        <v>fevereiro</v>
      </c>
      <c r="G194">
        <f t="shared" si="5"/>
        <v>2023</v>
      </c>
    </row>
    <row r="195" spans="1:7" x14ac:dyDescent="0.25">
      <c r="A195">
        <v>1013100</v>
      </c>
      <c r="B195" s="1">
        <v>44958</v>
      </c>
      <c r="C195" t="s">
        <v>57</v>
      </c>
      <c r="D195" s="6">
        <v>482.1</v>
      </c>
      <c r="E195" s="9">
        <v>743.63</v>
      </c>
      <c r="F195" t="str">
        <f t="shared" ref="F195:F258" si="6">TEXT(B195,"mmmm")</f>
        <v>fevereiro</v>
      </c>
      <c r="G195">
        <f t="shared" ref="G195:G258" si="7">YEAR(B195)</f>
        <v>2023</v>
      </c>
    </row>
    <row r="196" spans="1:7" x14ac:dyDescent="0.25">
      <c r="A196">
        <v>1013101</v>
      </c>
      <c r="B196" s="1">
        <v>44958</v>
      </c>
      <c r="C196" t="s">
        <v>346</v>
      </c>
      <c r="D196" s="6">
        <v>3836</v>
      </c>
      <c r="E196" s="9">
        <v>8055.6</v>
      </c>
      <c r="F196" t="str">
        <f t="shared" si="6"/>
        <v>fevereiro</v>
      </c>
      <c r="G196">
        <f t="shared" si="7"/>
        <v>2023</v>
      </c>
    </row>
    <row r="197" spans="1:7" x14ac:dyDescent="0.25">
      <c r="A197">
        <v>1013200</v>
      </c>
      <c r="B197" s="1">
        <v>44958</v>
      </c>
      <c r="C197" t="s">
        <v>59</v>
      </c>
      <c r="D197" s="6">
        <v>1916.4</v>
      </c>
      <c r="E197" s="9">
        <v>1954.09</v>
      </c>
      <c r="F197" t="str">
        <f t="shared" si="6"/>
        <v>fevereiro</v>
      </c>
      <c r="G197">
        <f t="shared" si="7"/>
        <v>2023</v>
      </c>
    </row>
    <row r="198" spans="1:7" x14ac:dyDescent="0.25">
      <c r="A198">
        <v>1013201</v>
      </c>
      <c r="B198" s="1">
        <v>44958</v>
      </c>
      <c r="C198" t="s">
        <v>347</v>
      </c>
      <c r="D198" s="6">
        <v>1696</v>
      </c>
      <c r="E198" s="9">
        <v>2544</v>
      </c>
      <c r="F198" t="str">
        <f t="shared" si="6"/>
        <v>fevereiro</v>
      </c>
      <c r="G198">
        <f t="shared" si="7"/>
        <v>2023</v>
      </c>
    </row>
    <row r="199" spans="1:7" x14ac:dyDescent="0.25">
      <c r="A199">
        <v>1013300</v>
      </c>
      <c r="B199" s="1">
        <v>44958</v>
      </c>
      <c r="C199" t="s">
        <v>348</v>
      </c>
      <c r="D199" s="6">
        <v>947.6</v>
      </c>
      <c r="E199" s="9">
        <v>284.27999999999997</v>
      </c>
      <c r="F199" t="str">
        <f t="shared" si="6"/>
        <v>fevereiro</v>
      </c>
      <c r="G199">
        <f t="shared" si="7"/>
        <v>2023</v>
      </c>
    </row>
    <row r="200" spans="1:7" x14ac:dyDescent="0.25">
      <c r="A200">
        <v>1013500</v>
      </c>
      <c r="B200" s="1">
        <v>44958</v>
      </c>
      <c r="C200" t="s">
        <v>61</v>
      </c>
      <c r="D200" s="6">
        <v>67.400000000000006</v>
      </c>
      <c r="E200" s="9">
        <v>33.700000000000003</v>
      </c>
      <c r="F200" t="str">
        <f t="shared" si="6"/>
        <v>fevereiro</v>
      </c>
      <c r="G200">
        <f t="shared" si="7"/>
        <v>2023</v>
      </c>
    </row>
    <row r="201" spans="1:7" x14ac:dyDescent="0.25">
      <c r="A201">
        <v>1100100</v>
      </c>
      <c r="B201" s="1">
        <v>44958</v>
      </c>
      <c r="C201" t="s">
        <v>63</v>
      </c>
      <c r="D201" s="6">
        <v>50386</v>
      </c>
      <c r="E201" s="9">
        <v>135008</v>
      </c>
      <c r="F201" t="str">
        <f t="shared" si="6"/>
        <v>fevereiro</v>
      </c>
      <c r="G201">
        <f t="shared" si="7"/>
        <v>2023</v>
      </c>
    </row>
    <row r="202" spans="1:7" x14ac:dyDescent="0.25">
      <c r="A202">
        <v>1100101</v>
      </c>
      <c r="B202" s="1">
        <v>44958</v>
      </c>
      <c r="C202" t="s">
        <v>65</v>
      </c>
      <c r="D202" s="6">
        <v>345.3</v>
      </c>
      <c r="E202" s="9">
        <v>980.9</v>
      </c>
      <c r="F202" t="str">
        <f t="shared" si="6"/>
        <v>fevereiro</v>
      </c>
      <c r="G202">
        <f t="shared" si="7"/>
        <v>2023</v>
      </c>
    </row>
    <row r="203" spans="1:7" x14ac:dyDescent="0.25">
      <c r="A203">
        <v>1100200</v>
      </c>
      <c r="B203" s="1">
        <v>44958</v>
      </c>
      <c r="C203" t="s">
        <v>67</v>
      </c>
      <c r="D203" s="6">
        <v>61604</v>
      </c>
      <c r="E203" s="9">
        <v>177393</v>
      </c>
      <c r="F203" t="str">
        <f t="shared" si="6"/>
        <v>fevereiro</v>
      </c>
      <c r="G203">
        <f t="shared" si="7"/>
        <v>2023</v>
      </c>
    </row>
    <row r="204" spans="1:7" x14ac:dyDescent="0.25">
      <c r="A204">
        <v>1100300</v>
      </c>
      <c r="B204" s="1">
        <v>44958</v>
      </c>
      <c r="C204" t="s">
        <v>69</v>
      </c>
      <c r="D204" s="6">
        <v>13383.37</v>
      </c>
      <c r="E204" s="9">
        <v>38649.629999999997</v>
      </c>
      <c r="F204" t="str">
        <f t="shared" si="6"/>
        <v>fevereiro</v>
      </c>
      <c r="G204">
        <f t="shared" si="7"/>
        <v>2023</v>
      </c>
    </row>
    <row r="205" spans="1:7" x14ac:dyDescent="0.25">
      <c r="A205">
        <v>1100301</v>
      </c>
      <c r="B205" s="1">
        <v>44958</v>
      </c>
      <c r="C205" t="s">
        <v>71</v>
      </c>
      <c r="D205" s="6">
        <v>2002.4</v>
      </c>
      <c r="E205" s="9">
        <v>6047.4</v>
      </c>
      <c r="F205" t="str">
        <f t="shared" si="6"/>
        <v>fevereiro</v>
      </c>
      <c r="G205">
        <f t="shared" si="7"/>
        <v>2023</v>
      </c>
    </row>
    <row r="206" spans="1:7" x14ac:dyDescent="0.25">
      <c r="A206">
        <v>1100400</v>
      </c>
      <c r="B206" s="1">
        <v>44958</v>
      </c>
      <c r="C206" t="s">
        <v>73</v>
      </c>
      <c r="D206" s="6">
        <v>3575.1</v>
      </c>
      <c r="E206" s="9">
        <v>10441</v>
      </c>
      <c r="F206" t="str">
        <f t="shared" si="6"/>
        <v>fevereiro</v>
      </c>
      <c r="G206">
        <f t="shared" si="7"/>
        <v>2023</v>
      </c>
    </row>
    <row r="207" spans="1:7" x14ac:dyDescent="0.25">
      <c r="A207">
        <v>1100500</v>
      </c>
      <c r="B207" s="1">
        <v>44958</v>
      </c>
      <c r="C207" t="s">
        <v>75</v>
      </c>
      <c r="D207" s="6">
        <v>654.22</v>
      </c>
      <c r="E207" s="9">
        <v>1890.8</v>
      </c>
      <c r="F207" t="str">
        <f t="shared" si="6"/>
        <v>fevereiro</v>
      </c>
      <c r="G207">
        <f t="shared" si="7"/>
        <v>2023</v>
      </c>
    </row>
    <row r="208" spans="1:7" x14ac:dyDescent="0.25">
      <c r="A208">
        <v>1100600</v>
      </c>
      <c r="B208" s="1">
        <v>44958</v>
      </c>
      <c r="C208" t="s">
        <v>77</v>
      </c>
      <c r="D208" s="6">
        <v>3615</v>
      </c>
      <c r="E208" s="9">
        <v>11399</v>
      </c>
      <c r="F208" t="str">
        <f t="shared" si="6"/>
        <v>fevereiro</v>
      </c>
      <c r="G208">
        <f t="shared" si="7"/>
        <v>2023</v>
      </c>
    </row>
    <row r="209" spans="1:7" x14ac:dyDescent="0.25">
      <c r="A209">
        <v>1100602</v>
      </c>
      <c r="B209" s="1">
        <v>44958</v>
      </c>
      <c r="C209" t="s">
        <v>79</v>
      </c>
      <c r="D209" s="6">
        <v>397.2</v>
      </c>
      <c r="E209" s="9">
        <v>1892.93</v>
      </c>
      <c r="F209" t="str">
        <f t="shared" si="6"/>
        <v>fevereiro</v>
      </c>
      <c r="G209">
        <f t="shared" si="7"/>
        <v>2023</v>
      </c>
    </row>
    <row r="210" spans="1:7" x14ac:dyDescent="0.25">
      <c r="A210">
        <v>1100603</v>
      </c>
      <c r="B210" s="1">
        <v>44958</v>
      </c>
      <c r="C210" t="s">
        <v>304</v>
      </c>
      <c r="D210" s="6">
        <v>90</v>
      </c>
      <c r="E210" s="9">
        <v>348.4</v>
      </c>
      <c r="F210" t="str">
        <f t="shared" si="6"/>
        <v>fevereiro</v>
      </c>
      <c r="G210">
        <f t="shared" si="7"/>
        <v>2023</v>
      </c>
    </row>
    <row r="211" spans="1:7" x14ac:dyDescent="0.25">
      <c r="A211">
        <v>1100608</v>
      </c>
      <c r="B211" s="1">
        <v>44958</v>
      </c>
      <c r="C211" t="s">
        <v>349</v>
      </c>
      <c r="D211" s="6">
        <v>934.97</v>
      </c>
      <c r="E211" s="9">
        <v>2739.46</v>
      </c>
      <c r="F211" t="str">
        <f t="shared" si="6"/>
        <v>fevereiro</v>
      </c>
      <c r="G211">
        <f t="shared" si="7"/>
        <v>2023</v>
      </c>
    </row>
    <row r="212" spans="1:7" x14ac:dyDescent="0.25">
      <c r="A212">
        <v>1100700</v>
      </c>
      <c r="B212" s="1">
        <v>44958</v>
      </c>
      <c r="C212" t="s">
        <v>83</v>
      </c>
      <c r="D212" s="6">
        <v>7725.95</v>
      </c>
      <c r="E212" s="9">
        <v>24221.23</v>
      </c>
      <c r="F212" t="str">
        <f t="shared" si="6"/>
        <v>fevereiro</v>
      </c>
      <c r="G212">
        <f t="shared" si="7"/>
        <v>2023</v>
      </c>
    </row>
    <row r="213" spans="1:7" x14ac:dyDescent="0.25">
      <c r="A213">
        <v>1100701</v>
      </c>
      <c r="B213" s="1">
        <v>44958</v>
      </c>
      <c r="C213" t="s">
        <v>84</v>
      </c>
      <c r="D213" s="6">
        <v>20.6</v>
      </c>
      <c r="E213" s="9">
        <v>100.67</v>
      </c>
      <c r="F213" t="str">
        <f t="shared" si="6"/>
        <v>fevereiro</v>
      </c>
      <c r="G213">
        <f t="shared" si="7"/>
        <v>2023</v>
      </c>
    </row>
    <row r="214" spans="1:7" x14ac:dyDescent="0.25">
      <c r="A214">
        <v>1100703</v>
      </c>
      <c r="B214" s="1">
        <v>44958</v>
      </c>
      <c r="C214" t="s">
        <v>86</v>
      </c>
      <c r="D214" s="6">
        <v>1859</v>
      </c>
      <c r="E214" s="9">
        <v>6931</v>
      </c>
      <c r="F214" t="str">
        <f t="shared" si="6"/>
        <v>fevereiro</v>
      </c>
      <c r="G214">
        <f t="shared" si="7"/>
        <v>2023</v>
      </c>
    </row>
    <row r="215" spans="1:7" x14ac:dyDescent="0.25">
      <c r="A215">
        <v>1100705</v>
      </c>
      <c r="B215" s="1">
        <v>44958</v>
      </c>
      <c r="C215" t="s">
        <v>88</v>
      </c>
      <c r="D215" s="6">
        <v>172</v>
      </c>
      <c r="E215" s="9">
        <v>238</v>
      </c>
      <c r="F215" t="str">
        <f t="shared" si="6"/>
        <v>fevereiro</v>
      </c>
      <c r="G215">
        <f t="shared" si="7"/>
        <v>2023</v>
      </c>
    </row>
    <row r="216" spans="1:7" x14ac:dyDescent="0.25">
      <c r="A216">
        <v>1100706</v>
      </c>
      <c r="B216" s="1">
        <v>44958</v>
      </c>
      <c r="C216" t="s">
        <v>305</v>
      </c>
      <c r="D216" s="6">
        <v>50</v>
      </c>
      <c r="E216" s="9">
        <v>77.099999999999994</v>
      </c>
      <c r="F216" t="str">
        <f t="shared" si="6"/>
        <v>fevereiro</v>
      </c>
      <c r="G216">
        <f t="shared" si="7"/>
        <v>2023</v>
      </c>
    </row>
    <row r="217" spans="1:7" x14ac:dyDescent="0.25">
      <c r="A217">
        <v>1100800</v>
      </c>
      <c r="B217" s="1">
        <v>44958</v>
      </c>
      <c r="C217" t="s">
        <v>90</v>
      </c>
      <c r="D217" s="6">
        <v>17214</v>
      </c>
      <c r="E217" s="9">
        <v>51033</v>
      </c>
      <c r="F217" t="str">
        <f t="shared" si="6"/>
        <v>fevereiro</v>
      </c>
      <c r="G217">
        <f t="shared" si="7"/>
        <v>2023</v>
      </c>
    </row>
    <row r="218" spans="1:7" x14ac:dyDescent="0.25">
      <c r="A218">
        <v>1100801</v>
      </c>
      <c r="B218" s="1">
        <v>44958</v>
      </c>
      <c r="C218" t="s">
        <v>92</v>
      </c>
      <c r="D218" s="6">
        <v>3387</v>
      </c>
      <c r="E218" s="9">
        <v>7790.1</v>
      </c>
      <c r="F218" t="str">
        <f t="shared" si="6"/>
        <v>fevereiro</v>
      </c>
      <c r="G218">
        <f t="shared" si="7"/>
        <v>2023</v>
      </c>
    </row>
    <row r="219" spans="1:7" x14ac:dyDescent="0.25">
      <c r="A219">
        <v>1100802</v>
      </c>
      <c r="B219" s="1">
        <v>44958</v>
      </c>
      <c r="C219" t="s">
        <v>306</v>
      </c>
      <c r="D219" s="6">
        <v>305.7</v>
      </c>
      <c r="E219" s="9">
        <v>921.79</v>
      </c>
      <c r="F219" t="str">
        <f t="shared" si="6"/>
        <v>fevereiro</v>
      </c>
      <c r="G219">
        <f t="shared" si="7"/>
        <v>2023</v>
      </c>
    </row>
    <row r="220" spans="1:7" x14ac:dyDescent="0.25">
      <c r="A220">
        <v>1100900</v>
      </c>
      <c r="B220" s="1">
        <v>44958</v>
      </c>
      <c r="C220" t="s">
        <v>94</v>
      </c>
      <c r="D220" s="6">
        <v>763.99</v>
      </c>
      <c r="E220" s="9">
        <v>4774.29</v>
      </c>
      <c r="F220" t="str">
        <f t="shared" si="6"/>
        <v>fevereiro</v>
      </c>
      <c r="G220">
        <f t="shared" si="7"/>
        <v>2023</v>
      </c>
    </row>
    <row r="221" spans="1:7" x14ac:dyDescent="0.25">
      <c r="A221">
        <v>1101000</v>
      </c>
      <c r="B221" s="1">
        <v>44958</v>
      </c>
      <c r="C221" t="s">
        <v>96</v>
      </c>
      <c r="D221" s="6">
        <v>8288</v>
      </c>
      <c r="E221" s="9">
        <v>29270</v>
      </c>
      <c r="F221" t="str">
        <f t="shared" si="6"/>
        <v>fevereiro</v>
      </c>
      <c r="G221">
        <f t="shared" si="7"/>
        <v>2023</v>
      </c>
    </row>
    <row r="222" spans="1:7" x14ac:dyDescent="0.25">
      <c r="A222">
        <v>1101001</v>
      </c>
      <c r="B222" s="1">
        <v>44958</v>
      </c>
      <c r="C222" t="s">
        <v>98</v>
      </c>
      <c r="D222" s="6">
        <v>731.8</v>
      </c>
      <c r="E222" s="9">
        <v>2881.36</v>
      </c>
      <c r="F222" t="str">
        <f t="shared" si="6"/>
        <v>fevereiro</v>
      </c>
      <c r="G222">
        <f t="shared" si="7"/>
        <v>2023</v>
      </c>
    </row>
    <row r="223" spans="1:7" x14ac:dyDescent="0.25">
      <c r="A223">
        <v>1101100</v>
      </c>
      <c r="B223" s="1">
        <v>44958</v>
      </c>
      <c r="C223" t="s">
        <v>100</v>
      </c>
      <c r="D223" s="6">
        <v>38807</v>
      </c>
      <c r="E223" s="9">
        <v>137670</v>
      </c>
      <c r="F223" t="str">
        <f t="shared" si="6"/>
        <v>fevereiro</v>
      </c>
      <c r="G223">
        <f t="shared" si="7"/>
        <v>2023</v>
      </c>
    </row>
    <row r="224" spans="1:7" x14ac:dyDescent="0.25">
      <c r="A224">
        <v>1101103</v>
      </c>
      <c r="B224" s="1">
        <v>44958</v>
      </c>
      <c r="C224" t="s">
        <v>350</v>
      </c>
      <c r="D224" s="6">
        <v>297.5</v>
      </c>
      <c r="E224" s="9">
        <v>1087.67</v>
      </c>
      <c r="F224" t="str">
        <f t="shared" si="6"/>
        <v>fevereiro</v>
      </c>
      <c r="G224">
        <f t="shared" si="7"/>
        <v>2023</v>
      </c>
    </row>
    <row r="225" spans="1:7" x14ac:dyDescent="0.25">
      <c r="A225">
        <v>1101300</v>
      </c>
      <c r="B225" s="1">
        <v>44958</v>
      </c>
      <c r="C225" t="s">
        <v>102</v>
      </c>
      <c r="D225" s="6">
        <v>104.2</v>
      </c>
      <c r="E225" s="9">
        <v>489.52</v>
      </c>
      <c r="F225" t="str">
        <f t="shared" si="6"/>
        <v>fevereiro</v>
      </c>
      <c r="G225">
        <f t="shared" si="7"/>
        <v>2023</v>
      </c>
    </row>
    <row r="226" spans="1:7" x14ac:dyDescent="0.25">
      <c r="A226">
        <v>1101400</v>
      </c>
      <c r="B226" s="1">
        <v>44958</v>
      </c>
      <c r="C226" t="s">
        <v>104</v>
      </c>
      <c r="D226" s="6">
        <v>11905</v>
      </c>
      <c r="E226" s="9">
        <v>30924</v>
      </c>
      <c r="F226" t="str">
        <f t="shared" si="6"/>
        <v>fevereiro</v>
      </c>
      <c r="G226">
        <f t="shared" si="7"/>
        <v>2023</v>
      </c>
    </row>
    <row r="227" spans="1:7" x14ac:dyDescent="0.25">
      <c r="A227">
        <v>1101500</v>
      </c>
      <c r="B227" s="1">
        <v>44958</v>
      </c>
      <c r="C227" t="s">
        <v>106</v>
      </c>
      <c r="D227" s="6">
        <v>262</v>
      </c>
      <c r="E227" s="9">
        <v>703.72</v>
      </c>
      <c r="F227" t="str">
        <f t="shared" si="6"/>
        <v>fevereiro</v>
      </c>
      <c r="G227">
        <f t="shared" si="7"/>
        <v>2023</v>
      </c>
    </row>
    <row r="228" spans="1:7" x14ac:dyDescent="0.25">
      <c r="A228">
        <v>1101600</v>
      </c>
      <c r="B228" s="1">
        <v>44958</v>
      </c>
      <c r="C228" t="s">
        <v>108</v>
      </c>
      <c r="D228" s="6">
        <v>263.89999999999998</v>
      </c>
      <c r="E228" s="9">
        <v>693.99</v>
      </c>
      <c r="F228" t="str">
        <f t="shared" si="6"/>
        <v>fevereiro</v>
      </c>
      <c r="G228">
        <f t="shared" si="7"/>
        <v>2023</v>
      </c>
    </row>
    <row r="229" spans="1:7" x14ac:dyDescent="0.25">
      <c r="A229">
        <v>1101700</v>
      </c>
      <c r="B229" s="1">
        <v>44958</v>
      </c>
      <c r="C229" t="s">
        <v>110</v>
      </c>
      <c r="D229" s="6">
        <v>8090</v>
      </c>
      <c r="E229" s="9">
        <v>20066</v>
      </c>
      <c r="F229" t="str">
        <f t="shared" si="6"/>
        <v>fevereiro</v>
      </c>
      <c r="G229">
        <f t="shared" si="7"/>
        <v>2023</v>
      </c>
    </row>
    <row r="230" spans="1:7" x14ac:dyDescent="0.25">
      <c r="A230">
        <v>1101801</v>
      </c>
      <c r="B230" s="1">
        <v>44958</v>
      </c>
      <c r="C230" t="s">
        <v>112</v>
      </c>
      <c r="D230" s="6">
        <v>3745.15</v>
      </c>
      <c r="E230" s="9">
        <v>9024.7800000000007</v>
      </c>
      <c r="F230" t="str">
        <f t="shared" si="6"/>
        <v>fevereiro</v>
      </c>
      <c r="G230">
        <f t="shared" si="7"/>
        <v>2023</v>
      </c>
    </row>
    <row r="231" spans="1:7" x14ac:dyDescent="0.25">
      <c r="A231">
        <v>1101900</v>
      </c>
      <c r="B231" s="1">
        <v>44958</v>
      </c>
      <c r="C231" t="s">
        <v>114</v>
      </c>
      <c r="D231" s="6">
        <v>3276</v>
      </c>
      <c r="E231" s="9">
        <v>10054</v>
      </c>
      <c r="F231" t="str">
        <f t="shared" si="6"/>
        <v>fevereiro</v>
      </c>
      <c r="G231">
        <f t="shared" si="7"/>
        <v>2023</v>
      </c>
    </row>
    <row r="232" spans="1:7" x14ac:dyDescent="0.25">
      <c r="A232">
        <v>1101902</v>
      </c>
      <c r="B232" s="1">
        <v>44958</v>
      </c>
      <c r="C232" t="s">
        <v>351</v>
      </c>
      <c r="D232" s="6">
        <v>903.4</v>
      </c>
      <c r="E232" s="9">
        <v>3261.28</v>
      </c>
      <c r="F232" t="str">
        <f t="shared" si="6"/>
        <v>fevereiro</v>
      </c>
      <c r="G232">
        <f t="shared" si="7"/>
        <v>2023</v>
      </c>
    </row>
    <row r="233" spans="1:7" x14ac:dyDescent="0.25">
      <c r="A233">
        <v>1101906</v>
      </c>
      <c r="B233" s="1">
        <v>44958</v>
      </c>
      <c r="C233" t="s">
        <v>352</v>
      </c>
      <c r="D233" s="6">
        <v>323.61</v>
      </c>
      <c r="E233" s="9">
        <v>1012.9</v>
      </c>
      <c r="F233" t="str">
        <f t="shared" si="6"/>
        <v>fevereiro</v>
      </c>
      <c r="G233">
        <f t="shared" si="7"/>
        <v>2023</v>
      </c>
    </row>
    <row r="234" spans="1:7" x14ac:dyDescent="0.25">
      <c r="A234">
        <v>1102200</v>
      </c>
      <c r="B234" s="1">
        <v>44958</v>
      </c>
      <c r="C234" t="s">
        <v>117</v>
      </c>
      <c r="D234" s="6">
        <v>211</v>
      </c>
      <c r="E234" s="9">
        <v>654.59</v>
      </c>
      <c r="F234" t="str">
        <f t="shared" si="6"/>
        <v>fevereiro</v>
      </c>
      <c r="G234">
        <f t="shared" si="7"/>
        <v>2023</v>
      </c>
    </row>
    <row r="235" spans="1:7" x14ac:dyDescent="0.25">
      <c r="A235">
        <v>1102300</v>
      </c>
      <c r="B235" s="1">
        <v>44958</v>
      </c>
      <c r="C235" t="s">
        <v>119</v>
      </c>
      <c r="D235" s="6">
        <v>3126.3</v>
      </c>
      <c r="E235" s="9">
        <v>9002.3799999999992</v>
      </c>
      <c r="F235" t="str">
        <f t="shared" si="6"/>
        <v>fevereiro</v>
      </c>
      <c r="G235">
        <f t="shared" si="7"/>
        <v>2023</v>
      </c>
    </row>
    <row r="236" spans="1:7" x14ac:dyDescent="0.25">
      <c r="A236">
        <v>1103000</v>
      </c>
      <c r="B236" s="1">
        <v>44958</v>
      </c>
      <c r="C236" t="s">
        <v>121</v>
      </c>
      <c r="D236" s="6">
        <v>298.10000000000002</v>
      </c>
      <c r="E236" s="9">
        <v>558.25</v>
      </c>
      <c r="F236" t="str">
        <f t="shared" si="6"/>
        <v>fevereiro</v>
      </c>
      <c r="G236">
        <f t="shared" si="7"/>
        <v>2023</v>
      </c>
    </row>
    <row r="237" spans="1:7" x14ac:dyDescent="0.25">
      <c r="A237">
        <v>2010900</v>
      </c>
      <c r="B237" s="1">
        <v>44958</v>
      </c>
      <c r="C237" t="s">
        <v>125</v>
      </c>
      <c r="D237" s="6">
        <v>640</v>
      </c>
      <c r="E237" s="9">
        <v>817</v>
      </c>
      <c r="F237" t="str">
        <f t="shared" si="6"/>
        <v>fevereiro</v>
      </c>
      <c r="G237">
        <f t="shared" si="7"/>
        <v>2023</v>
      </c>
    </row>
    <row r="238" spans="1:7" x14ac:dyDescent="0.25">
      <c r="A238">
        <v>2010902</v>
      </c>
      <c r="B238" s="1">
        <v>44958</v>
      </c>
      <c r="C238" t="s">
        <v>127</v>
      </c>
      <c r="D238" s="6">
        <v>1310</v>
      </c>
      <c r="E238" s="9">
        <v>1056</v>
      </c>
      <c r="F238" t="str">
        <f t="shared" si="6"/>
        <v>fevereiro</v>
      </c>
      <c r="G238">
        <f t="shared" si="7"/>
        <v>2023</v>
      </c>
    </row>
    <row r="239" spans="1:7" x14ac:dyDescent="0.25">
      <c r="A239">
        <v>2011700</v>
      </c>
      <c r="B239" s="1">
        <v>44958</v>
      </c>
      <c r="C239" t="s">
        <v>129</v>
      </c>
      <c r="D239" s="6">
        <v>188.3</v>
      </c>
      <c r="E239" s="9">
        <v>632.5</v>
      </c>
      <c r="F239" t="str">
        <f t="shared" si="6"/>
        <v>fevereiro</v>
      </c>
      <c r="G239">
        <f t="shared" si="7"/>
        <v>2023</v>
      </c>
    </row>
    <row r="240" spans="1:7" x14ac:dyDescent="0.25">
      <c r="A240">
        <v>3020103</v>
      </c>
      <c r="B240" s="1">
        <v>44958</v>
      </c>
      <c r="C240" t="s">
        <v>131</v>
      </c>
      <c r="D240" s="6">
        <v>6241.24</v>
      </c>
      <c r="E240" s="9">
        <v>19571</v>
      </c>
      <c r="F240" t="str">
        <f t="shared" si="6"/>
        <v>fevereiro</v>
      </c>
      <c r="G240">
        <f t="shared" si="7"/>
        <v>2023</v>
      </c>
    </row>
    <row r="241" spans="1:7" x14ac:dyDescent="0.25">
      <c r="A241">
        <v>3020212</v>
      </c>
      <c r="B241" s="1">
        <v>44958</v>
      </c>
      <c r="C241" t="s">
        <v>133</v>
      </c>
      <c r="D241" s="6">
        <v>1179.69</v>
      </c>
      <c r="E241" s="9">
        <v>4338.08</v>
      </c>
      <c r="F241" t="str">
        <f t="shared" si="6"/>
        <v>fevereiro</v>
      </c>
      <c r="G241">
        <f t="shared" si="7"/>
        <v>2023</v>
      </c>
    </row>
    <row r="242" spans="1:7" x14ac:dyDescent="0.25">
      <c r="A242">
        <v>3020214</v>
      </c>
      <c r="B242" s="1">
        <v>44958</v>
      </c>
      <c r="C242" t="s">
        <v>135</v>
      </c>
      <c r="D242" s="6">
        <v>393.1</v>
      </c>
      <c r="E242" s="9">
        <v>1395.39</v>
      </c>
      <c r="F242" t="str">
        <f t="shared" si="6"/>
        <v>fevereiro</v>
      </c>
      <c r="G242">
        <f t="shared" si="7"/>
        <v>2023</v>
      </c>
    </row>
    <row r="243" spans="1:7" x14ac:dyDescent="0.25">
      <c r="A243">
        <v>3020315</v>
      </c>
      <c r="B243" s="1">
        <v>44958</v>
      </c>
      <c r="C243" t="s">
        <v>137</v>
      </c>
      <c r="D243" s="6">
        <v>1921.97</v>
      </c>
      <c r="E243" s="9">
        <v>6753.56</v>
      </c>
      <c r="F243" t="str">
        <f t="shared" si="6"/>
        <v>fevereiro</v>
      </c>
      <c r="G243">
        <f t="shared" si="7"/>
        <v>2023</v>
      </c>
    </row>
    <row r="244" spans="1:7" x14ac:dyDescent="0.25">
      <c r="A244">
        <v>3020316</v>
      </c>
      <c r="B244" s="1">
        <v>44958</v>
      </c>
      <c r="C244" t="s">
        <v>139</v>
      </c>
      <c r="D244" s="6">
        <v>275.91000000000003</v>
      </c>
      <c r="E244" s="9">
        <v>924.3</v>
      </c>
      <c r="F244" t="str">
        <f t="shared" si="6"/>
        <v>fevereiro</v>
      </c>
      <c r="G244">
        <f t="shared" si="7"/>
        <v>2023</v>
      </c>
    </row>
    <row r="245" spans="1:7" x14ac:dyDescent="0.25">
      <c r="A245">
        <v>3020402</v>
      </c>
      <c r="B245" s="1">
        <v>44958</v>
      </c>
      <c r="C245" t="s">
        <v>141</v>
      </c>
      <c r="D245" s="6">
        <v>2011.49</v>
      </c>
      <c r="E245" s="9">
        <v>7055.15</v>
      </c>
      <c r="F245" t="str">
        <f t="shared" si="6"/>
        <v>fevereiro</v>
      </c>
      <c r="G245">
        <f t="shared" si="7"/>
        <v>2023</v>
      </c>
    </row>
    <row r="246" spans="1:7" x14ac:dyDescent="0.25">
      <c r="A246">
        <v>3020504</v>
      </c>
      <c r="B246" s="1">
        <v>44958</v>
      </c>
      <c r="C246" t="s">
        <v>143</v>
      </c>
      <c r="D246" s="6">
        <v>504.3</v>
      </c>
      <c r="E246" s="9">
        <v>1805.45</v>
      </c>
      <c r="F246" t="str">
        <f t="shared" si="6"/>
        <v>fevereiro</v>
      </c>
      <c r="G246">
        <f t="shared" si="7"/>
        <v>2023</v>
      </c>
    </row>
    <row r="247" spans="1:7" x14ac:dyDescent="0.25">
      <c r="A247">
        <v>3020622</v>
      </c>
      <c r="B247" s="1">
        <v>44958</v>
      </c>
      <c r="C247" t="s">
        <v>145</v>
      </c>
      <c r="D247" s="6">
        <v>7518.14</v>
      </c>
      <c r="E247" s="9">
        <v>25783.11</v>
      </c>
      <c r="F247" t="str">
        <f t="shared" si="6"/>
        <v>fevereiro</v>
      </c>
      <c r="G247">
        <f t="shared" si="7"/>
        <v>2023</v>
      </c>
    </row>
    <row r="248" spans="1:7" x14ac:dyDescent="0.25">
      <c r="A248">
        <v>3020623</v>
      </c>
      <c r="B248" s="1">
        <v>44958</v>
      </c>
      <c r="C248" t="s">
        <v>147</v>
      </c>
      <c r="D248" s="6">
        <v>1235.27</v>
      </c>
      <c r="E248" s="9">
        <v>4517.95</v>
      </c>
      <c r="F248" t="str">
        <f t="shared" si="6"/>
        <v>fevereiro</v>
      </c>
      <c r="G248">
        <f t="shared" si="7"/>
        <v>2023</v>
      </c>
    </row>
    <row r="249" spans="1:7" x14ac:dyDescent="0.25">
      <c r="A249">
        <v>3020725</v>
      </c>
      <c r="B249" s="1">
        <v>44958</v>
      </c>
      <c r="C249" t="s">
        <v>149</v>
      </c>
      <c r="D249" s="6">
        <v>345.3</v>
      </c>
      <c r="E249" s="9">
        <v>1225.06</v>
      </c>
      <c r="F249" t="str">
        <f t="shared" si="6"/>
        <v>fevereiro</v>
      </c>
      <c r="G249">
        <f t="shared" si="7"/>
        <v>2023</v>
      </c>
    </row>
    <row r="250" spans="1:7" x14ac:dyDescent="0.25">
      <c r="A250">
        <v>3020823</v>
      </c>
      <c r="B250" s="1">
        <v>44958</v>
      </c>
      <c r="C250" t="s">
        <v>151</v>
      </c>
      <c r="D250" s="6">
        <v>1258.7</v>
      </c>
      <c r="E250" s="9">
        <v>4705.3500000000004</v>
      </c>
      <c r="F250" t="str">
        <f t="shared" si="6"/>
        <v>fevereiro</v>
      </c>
      <c r="G250">
        <f t="shared" si="7"/>
        <v>2023</v>
      </c>
    </row>
    <row r="251" spans="1:7" x14ac:dyDescent="0.25">
      <c r="A251">
        <v>3020824</v>
      </c>
      <c r="B251" s="1">
        <v>44958</v>
      </c>
      <c r="C251" t="s">
        <v>153</v>
      </c>
      <c r="D251" s="6">
        <v>1362.66</v>
      </c>
      <c r="E251" s="9">
        <v>4905.2700000000004</v>
      </c>
      <c r="F251" t="str">
        <f t="shared" si="6"/>
        <v>fevereiro</v>
      </c>
      <c r="G251">
        <f t="shared" si="7"/>
        <v>2023</v>
      </c>
    </row>
    <row r="252" spans="1:7" x14ac:dyDescent="0.25">
      <c r="A252">
        <v>3020924</v>
      </c>
      <c r="B252" s="1">
        <v>44958</v>
      </c>
      <c r="C252" t="s">
        <v>155</v>
      </c>
      <c r="D252" s="6">
        <v>1409.5</v>
      </c>
      <c r="E252" s="9">
        <v>5185.9799999999996</v>
      </c>
      <c r="F252" t="str">
        <f t="shared" si="6"/>
        <v>fevereiro</v>
      </c>
      <c r="G252">
        <f t="shared" si="7"/>
        <v>2023</v>
      </c>
    </row>
    <row r="253" spans="1:7" x14ac:dyDescent="0.25">
      <c r="A253">
        <v>3020925</v>
      </c>
      <c r="B253" s="1">
        <v>44958</v>
      </c>
      <c r="C253" t="s">
        <v>157</v>
      </c>
      <c r="D253" s="6">
        <v>1271.8699999999999</v>
      </c>
      <c r="E253" s="9">
        <v>4623.71</v>
      </c>
      <c r="F253" t="str">
        <f t="shared" si="6"/>
        <v>fevereiro</v>
      </c>
      <c r="G253">
        <f t="shared" si="7"/>
        <v>2023</v>
      </c>
    </row>
    <row r="254" spans="1:7" x14ac:dyDescent="0.25">
      <c r="A254">
        <v>3021435</v>
      </c>
      <c r="B254" s="1">
        <v>44958</v>
      </c>
      <c r="C254" t="s">
        <v>159</v>
      </c>
      <c r="D254" s="6">
        <v>884.07</v>
      </c>
      <c r="E254" s="9">
        <v>2656.13</v>
      </c>
      <c r="F254" t="str">
        <f t="shared" si="6"/>
        <v>fevereiro</v>
      </c>
      <c r="G254">
        <f t="shared" si="7"/>
        <v>2023</v>
      </c>
    </row>
    <row r="255" spans="1:7" x14ac:dyDescent="0.25">
      <c r="A255">
        <v>3021537</v>
      </c>
      <c r="B255" s="1">
        <v>44958</v>
      </c>
      <c r="C255" t="s">
        <v>161</v>
      </c>
      <c r="D255" s="6">
        <v>37.5</v>
      </c>
      <c r="E255" s="9">
        <v>114.4</v>
      </c>
      <c r="F255" t="str">
        <f t="shared" si="6"/>
        <v>fevereiro</v>
      </c>
      <c r="G255">
        <f t="shared" si="7"/>
        <v>2023</v>
      </c>
    </row>
    <row r="256" spans="1:7" x14ac:dyDescent="0.25">
      <c r="A256">
        <v>3021638</v>
      </c>
      <c r="B256" s="1">
        <v>44958</v>
      </c>
      <c r="C256" t="s">
        <v>163</v>
      </c>
      <c r="D256" s="6">
        <v>65</v>
      </c>
      <c r="E256" s="9">
        <v>194.68</v>
      </c>
      <c r="F256" t="str">
        <f t="shared" si="6"/>
        <v>fevereiro</v>
      </c>
      <c r="G256">
        <f t="shared" si="7"/>
        <v>2023</v>
      </c>
    </row>
    <row r="257" spans="1:7" x14ac:dyDescent="0.25">
      <c r="A257">
        <v>3021739</v>
      </c>
      <c r="B257" s="1">
        <v>44958</v>
      </c>
      <c r="C257" t="s">
        <v>165</v>
      </c>
      <c r="D257" s="6">
        <v>642.16</v>
      </c>
      <c r="E257" s="9">
        <v>1803.65</v>
      </c>
      <c r="F257" t="str">
        <f t="shared" si="6"/>
        <v>fevereiro</v>
      </c>
      <c r="G257">
        <f t="shared" si="7"/>
        <v>2023</v>
      </c>
    </row>
    <row r="258" spans="1:7" x14ac:dyDescent="0.25">
      <c r="A258">
        <v>3021760</v>
      </c>
      <c r="B258" s="1">
        <v>44958</v>
      </c>
      <c r="C258" t="s">
        <v>167</v>
      </c>
      <c r="D258" s="6">
        <v>2301.11</v>
      </c>
      <c r="E258" s="9">
        <v>5353</v>
      </c>
      <c r="F258" t="str">
        <f t="shared" si="6"/>
        <v>fevereiro</v>
      </c>
      <c r="G258">
        <f t="shared" si="7"/>
        <v>2023</v>
      </c>
    </row>
    <row r="259" spans="1:7" x14ac:dyDescent="0.25">
      <c r="A259">
        <v>3021811</v>
      </c>
      <c r="B259" s="1">
        <v>44958</v>
      </c>
      <c r="C259" t="s">
        <v>169</v>
      </c>
      <c r="D259" s="6">
        <v>1308</v>
      </c>
      <c r="E259" s="9">
        <v>2900.93</v>
      </c>
      <c r="F259" t="str">
        <f t="shared" ref="F259:F322" si="8">TEXT(B259,"mmmm")</f>
        <v>fevereiro</v>
      </c>
      <c r="G259">
        <f t="shared" ref="G259:G322" si="9">YEAR(B259)</f>
        <v>2023</v>
      </c>
    </row>
    <row r="260" spans="1:7" x14ac:dyDescent="0.25">
      <c r="A260">
        <v>3021812</v>
      </c>
      <c r="B260" s="1">
        <v>44958</v>
      </c>
      <c r="C260" t="s">
        <v>171</v>
      </c>
      <c r="D260" s="6">
        <v>1053.5</v>
      </c>
      <c r="E260" s="9">
        <v>2199.65</v>
      </c>
      <c r="F260" t="str">
        <f t="shared" si="8"/>
        <v>fevereiro</v>
      </c>
      <c r="G260">
        <f t="shared" si="9"/>
        <v>2023</v>
      </c>
    </row>
    <row r="261" spans="1:7" x14ac:dyDescent="0.25">
      <c r="A261">
        <v>3022100</v>
      </c>
      <c r="B261" s="1">
        <v>44958</v>
      </c>
      <c r="C261" t="s">
        <v>173</v>
      </c>
      <c r="D261" s="6">
        <v>75.599999999999994</v>
      </c>
      <c r="E261" s="9">
        <v>276</v>
      </c>
      <c r="F261" t="str">
        <f t="shared" si="8"/>
        <v>fevereiro</v>
      </c>
      <c r="G261">
        <f t="shared" si="9"/>
        <v>2023</v>
      </c>
    </row>
    <row r="262" spans="1:7" x14ac:dyDescent="0.25">
      <c r="A262">
        <v>3022208</v>
      </c>
      <c r="B262" s="1">
        <v>44958</v>
      </c>
      <c r="C262" t="s">
        <v>307</v>
      </c>
      <c r="D262" s="6">
        <v>98</v>
      </c>
      <c r="E262" s="9">
        <v>347</v>
      </c>
      <c r="F262" t="str">
        <f t="shared" si="8"/>
        <v>fevereiro</v>
      </c>
      <c r="G262">
        <f t="shared" si="9"/>
        <v>2023</v>
      </c>
    </row>
    <row r="263" spans="1:7" x14ac:dyDescent="0.25">
      <c r="A263">
        <v>3022311</v>
      </c>
      <c r="B263" s="1">
        <v>44958</v>
      </c>
      <c r="C263" t="s">
        <v>176</v>
      </c>
      <c r="D263" s="6">
        <v>2045</v>
      </c>
      <c r="E263" s="9">
        <v>4547</v>
      </c>
      <c r="F263" t="str">
        <f t="shared" si="8"/>
        <v>fevereiro</v>
      </c>
      <c r="G263">
        <f t="shared" si="9"/>
        <v>2023</v>
      </c>
    </row>
    <row r="264" spans="1:7" x14ac:dyDescent="0.25">
      <c r="A264">
        <v>3022312</v>
      </c>
      <c r="B264" s="1">
        <v>44958</v>
      </c>
      <c r="C264" t="s">
        <v>308</v>
      </c>
      <c r="D264" s="6">
        <v>60</v>
      </c>
      <c r="E264" s="9">
        <v>152</v>
      </c>
      <c r="F264" t="str">
        <f t="shared" si="8"/>
        <v>fevereiro</v>
      </c>
      <c r="G264">
        <f t="shared" si="9"/>
        <v>2023</v>
      </c>
    </row>
    <row r="265" spans="1:7" x14ac:dyDescent="0.25">
      <c r="A265">
        <v>3022411</v>
      </c>
      <c r="B265" s="1">
        <v>44958</v>
      </c>
      <c r="C265" t="s">
        <v>178</v>
      </c>
      <c r="D265" s="6">
        <v>17</v>
      </c>
      <c r="E265" s="9">
        <v>43.58</v>
      </c>
      <c r="F265" t="str">
        <f t="shared" si="8"/>
        <v>fevereiro</v>
      </c>
      <c r="G265">
        <f t="shared" si="9"/>
        <v>2023</v>
      </c>
    </row>
    <row r="266" spans="1:7" x14ac:dyDescent="0.25">
      <c r="A266">
        <v>3022511</v>
      </c>
      <c r="B266" s="1">
        <v>44958</v>
      </c>
      <c r="C266" t="s">
        <v>180</v>
      </c>
      <c r="D266" s="6">
        <v>12.8</v>
      </c>
      <c r="E266" s="9">
        <v>32.479999999999997</v>
      </c>
      <c r="F266" t="str">
        <f t="shared" si="8"/>
        <v>fevereiro</v>
      </c>
      <c r="G266">
        <f t="shared" si="9"/>
        <v>2023</v>
      </c>
    </row>
    <row r="267" spans="1:7" x14ac:dyDescent="0.25">
      <c r="A267">
        <v>3022601</v>
      </c>
      <c r="B267" s="1">
        <v>44958</v>
      </c>
      <c r="C267" t="s">
        <v>182</v>
      </c>
      <c r="D267" s="6">
        <v>239</v>
      </c>
      <c r="E267" s="9">
        <v>1085</v>
      </c>
      <c r="F267" t="str">
        <f t="shared" si="8"/>
        <v>fevereiro</v>
      </c>
      <c r="G267">
        <f t="shared" si="9"/>
        <v>2023</v>
      </c>
    </row>
    <row r="268" spans="1:7" x14ac:dyDescent="0.25">
      <c r="A268">
        <v>3022703</v>
      </c>
      <c r="B268" s="1">
        <v>44958</v>
      </c>
      <c r="C268" t="s">
        <v>309</v>
      </c>
      <c r="D268" s="6">
        <v>636</v>
      </c>
      <c r="E268" s="9">
        <v>1469</v>
      </c>
      <c r="F268" t="str">
        <f t="shared" si="8"/>
        <v>fevereiro</v>
      </c>
      <c r="G268">
        <f t="shared" si="9"/>
        <v>2023</v>
      </c>
    </row>
    <row r="269" spans="1:7" x14ac:dyDescent="0.25">
      <c r="A269">
        <v>3022805</v>
      </c>
      <c r="B269" s="1">
        <v>44958</v>
      </c>
      <c r="C269" t="s">
        <v>186</v>
      </c>
      <c r="D269" s="6">
        <v>1220</v>
      </c>
      <c r="E269" s="9">
        <v>2395</v>
      </c>
      <c r="F269" t="str">
        <f t="shared" si="8"/>
        <v>fevereiro</v>
      </c>
      <c r="G269">
        <f t="shared" si="9"/>
        <v>2023</v>
      </c>
    </row>
    <row r="270" spans="1:7" x14ac:dyDescent="0.25">
      <c r="A270">
        <v>3022906</v>
      </c>
      <c r="B270" s="1">
        <v>44958</v>
      </c>
      <c r="C270" t="s">
        <v>188</v>
      </c>
      <c r="D270" s="6">
        <v>1800</v>
      </c>
      <c r="E270" s="9">
        <v>3512</v>
      </c>
      <c r="F270" t="str">
        <f t="shared" si="8"/>
        <v>fevereiro</v>
      </c>
      <c r="G270">
        <f t="shared" si="9"/>
        <v>2023</v>
      </c>
    </row>
    <row r="271" spans="1:7" x14ac:dyDescent="0.25">
      <c r="A271">
        <v>3023007</v>
      </c>
      <c r="B271" s="1">
        <v>44958</v>
      </c>
      <c r="C271" t="s">
        <v>190</v>
      </c>
      <c r="D271" s="6">
        <v>580</v>
      </c>
      <c r="E271" s="9">
        <v>1135</v>
      </c>
      <c r="F271" t="str">
        <f t="shared" si="8"/>
        <v>fevereiro</v>
      </c>
      <c r="G271">
        <f t="shared" si="9"/>
        <v>2023</v>
      </c>
    </row>
    <row r="272" spans="1:7" x14ac:dyDescent="0.25">
      <c r="A272">
        <v>3024001</v>
      </c>
      <c r="B272" s="1">
        <v>44958</v>
      </c>
      <c r="C272" t="s">
        <v>192</v>
      </c>
      <c r="D272" s="6">
        <v>1182</v>
      </c>
      <c r="E272" s="9">
        <v>4541</v>
      </c>
      <c r="F272" t="str">
        <f t="shared" si="8"/>
        <v>fevereiro</v>
      </c>
      <c r="G272">
        <f t="shared" si="9"/>
        <v>2023</v>
      </c>
    </row>
    <row r="273" spans="1:7" x14ac:dyDescent="0.25">
      <c r="A273">
        <v>3024003</v>
      </c>
      <c r="B273" s="1">
        <v>44958</v>
      </c>
      <c r="C273" t="s">
        <v>196</v>
      </c>
      <c r="D273" s="6">
        <v>327.39999999999998</v>
      </c>
      <c r="E273" s="9">
        <v>850.56</v>
      </c>
      <c r="F273" t="str">
        <f t="shared" si="8"/>
        <v>fevereiro</v>
      </c>
      <c r="G273">
        <f t="shared" si="9"/>
        <v>2023</v>
      </c>
    </row>
    <row r="274" spans="1:7" x14ac:dyDescent="0.25">
      <c r="A274">
        <v>3024004</v>
      </c>
      <c r="B274" s="1">
        <v>44958</v>
      </c>
      <c r="C274" t="s">
        <v>198</v>
      </c>
      <c r="D274" s="6">
        <v>1481</v>
      </c>
      <c r="E274" s="9">
        <v>1075.3399999999999</v>
      </c>
      <c r="F274" t="str">
        <f t="shared" si="8"/>
        <v>fevereiro</v>
      </c>
      <c r="G274">
        <f t="shared" si="9"/>
        <v>2023</v>
      </c>
    </row>
    <row r="275" spans="1:7" x14ac:dyDescent="0.25">
      <c r="A275">
        <v>4030100</v>
      </c>
      <c r="B275" s="1">
        <v>44958</v>
      </c>
      <c r="C275" t="s">
        <v>200</v>
      </c>
      <c r="D275" s="6">
        <v>416.1</v>
      </c>
      <c r="E275" s="9">
        <v>2488.59</v>
      </c>
      <c r="F275" t="str">
        <f t="shared" si="8"/>
        <v>fevereiro</v>
      </c>
      <c r="G275">
        <f t="shared" si="9"/>
        <v>2023</v>
      </c>
    </row>
    <row r="276" spans="1:7" x14ac:dyDescent="0.25">
      <c r="A276">
        <v>4030211</v>
      </c>
      <c r="B276" s="1">
        <v>44958</v>
      </c>
      <c r="C276" t="s">
        <v>202</v>
      </c>
      <c r="D276" s="6">
        <v>863.33</v>
      </c>
      <c r="E276" s="9">
        <v>5157.55</v>
      </c>
      <c r="F276" t="str">
        <f t="shared" si="8"/>
        <v>fevereiro</v>
      </c>
      <c r="G276">
        <f t="shared" si="9"/>
        <v>2023</v>
      </c>
    </row>
    <row r="277" spans="1:7" x14ac:dyDescent="0.25">
      <c r="A277">
        <v>4030300</v>
      </c>
      <c r="B277" s="1">
        <v>44958</v>
      </c>
      <c r="C277" t="s">
        <v>310</v>
      </c>
      <c r="D277" s="6">
        <v>6.7</v>
      </c>
      <c r="E277" s="9">
        <v>28.14</v>
      </c>
      <c r="F277" t="str">
        <f t="shared" si="8"/>
        <v>fevereiro</v>
      </c>
      <c r="G277">
        <f t="shared" si="9"/>
        <v>2023</v>
      </c>
    </row>
    <row r="278" spans="1:7" x14ac:dyDescent="0.25">
      <c r="A278">
        <v>4030311</v>
      </c>
      <c r="B278" s="1">
        <v>44958</v>
      </c>
      <c r="C278" t="s">
        <v>311</v>
      </c>
      <c r="D278" s="6">
        <v>344.65</v>
      </c>
      <c r="E278" s="9">
        <v>2298</v>
      </c>
      <c r="F278" t="str">
        <f t="shared" si="8"/>
        <v>fevereiro</v>
      </c>
      <c r="G278">
        <f t="shared" si="9"/>
        <v>2023</v>
      </c>
    </row>
    <row r="279" spans="1:7" x14ac:dyDescent="0.25">
      <c r="A279">
        <v>4030400</v>
      </c>
      <c r="B279" s="1">
        <v>44958</v>
      </c>
      <c r="C279" t="s">
        <v>312</v>
      </c>
      <c r="D279" s="6">
        <v>114.43</v>
      </c>
      <c r="E279" s="9">
        <v>629.41</v>
      </c>
      <c r="F279" t="str">
        <f t="shared" si="8"/>
        <v>fevereiro</v>
      </c>
      <c r="G279">
        <f t="shared" si="9"/>
        <v>2023</v>
      </c>
    </row>
    <row r="280" spans="1:7" x14ac:dyDescent="0.25">
      <c r="A280">
        <v>4030511</v>
      </c>
      <c r="B280" s="1">
        <v>44958</v>
      </c>
      <c r="C280" t="s">
        <v>208</v>
      </c>
      <c r="D280" s="6">
        <v>1135.9000000000001</v>
      </c>
      <c r="E280" s="9">
        <v>5444.47</v>
      </c>
      <c r="F280" t="str">
        <f t="shared" si="8"/>
        <v>fevereiro</v>
      </c>
      <c r="G280">
        <f t="shared" si="9"/>
        <v>2023</v>
      </c>
    </row>
    <row r="281" spans="1:7" x14ac:dyDescent="0.25">
      <c r="A281">
        <v>4030600</v>
      </c>
      <c r="B281" s="1">
        <v>44958</v>
      </c>
      <c r="C281" t="s">
        <v>212</v>
      </c>
      <c r="D281" s="6">
        <v>2534.4</v>
      </c>
      <c r="E281" s="9">
        <v>7704.71</v>
      </c>
      <c r="F281" t="str">
        <f t="shared" si="8"/>
        <v>fevereiro</v>
      </c>
      <c r="G281">
        <f t="shared" si="9"/>
        <v>2023</v>
      </c>
    </row>
    <row r="282" spans="1:7" x14ac:dyDescent="0.25">
      <c r="A282">
        <v>4030711</v>
      </c>
      <c r="B282" s="1">
        <v>44958</v>
      </c>
      <c r="C282" t="s">
        <v>214</v>
      </c>
      <c r="D282" s="6">
        <v>3411</v>
      </c>
      <c r="E282" s="9">
        <v>11199</v>
      </c>
      <c r="F282" t="str">
        <f t="shared" si="8"/>
        <v>fevereiro</v>
      </c>
      <c r="G282">
        <f t="shared" si="9"/>
        <v>2023</v>
      </c>
    </row>
    <row r="283" spans="1:7" x14ac:dyDescent="0.25">
      <c r="A283">
        <v>4030811</v>
      </c>
      <c r="B283" s="1">
        <v>44958</v>
      </c>
      <c r="C283" t="s">
        <v>216</v>
      </c>
      <c r="D283" s="6">
        <v>1752</v>
      </c>
      <c r="E283" s="9">
        <v>5089</v>
      </c>
      <c r="F283" t="str">
        <f t="shared" si="8"/>
        <v>fevereiro</v>
      </c>
      <c r="G283">
        <f t="shared" si="9"/>
        <v>2023</v>
      </c>
    </row>
    <row r="284" spans="1:7" x14ac:dyDescent="0.25">
      <c r="A284">
        <v>4030813</v>
      </c>
      <c r="B284" s="1">
        <v>44958</v>
      </c>
      <c r="C284" t="s">
        <v>218</v>
      </c>
      <c r="D284" s="6">
        <v>1522.01</v>
      </c>
      <c r="E284" s="9">
        <v>4338.87</v>
      </c>
      <c r="F284" t="str">
        <f t="shared" si="8"/>
        <v>fevereiro</v>
      </c>
      <c r="G284">
        <f t="shared" si="9"/>
        <v>2023</v>
      </c>
    </row>
    <row r="285" spans="1:7" x14ac:dyDescent="0.25">
      <c r="A285">
        <v>4030900</v>
      </c>
      <c r="B285" s="1">
        <v>44958</v>
      </c>
      <c r="C285" t="s">
        <v>220</v>
      </c>
      <c r="D285" s="6">
        <v>5885.5</v>
      </c>
      <c r="E285" s="9">
        <v>16848</v>
      </c>
      <c r="F285" t="str">
        <f t="shared" si="8"/>
        <v>fevereiro</v>
      </c>
      <c r="G285">
        <f t="shared" si="9"/>
        <v>2023</v>
      </c>
    </row>
    <row r="286" spans="1:7" x14ac:dyDescent="0.25">
      <c r="A286">
        <v>4030910</v>
      </c>
      <c r="B286" s="1">
        <v>44958</v>
      </c>
      <c r="C286" t="s">
        <v>222</v>
      </c>
      <c r="D286" s="6">
        <v>84.72</v>
      </c>
      <c r="E286" s="9">
        <v>264.79000000000002</v>
      </c>
      <c r="F286" t="str">
        <f t="shared" si="8"/>
        <v>fevereiro</v>
      </c>
      <c r="G286">
        <f t="shared" si="9"/>
        <v>2023</v>
      </c>
    </row>
    <row r="287" spans="1:7" x14ac:dyDescent="0.25">
      <c r="A287">
        <v>4031012</v>
      </c>
      <c r="B287" s="1">
        <v>44958</v>
      </c>
      <c r="C287" t="s">
        <v>224</v>
      </c>
      <c r="D287" s="6">
        <v>1270.31</v>
      </c>
      <c r="E287" s="9">
        <v>3665</v>
      </c>
      <c r="F287" t="str">
        <f t="shared" si="8"/>
        <v>fevereiro</v>
      </c>
      <c r="G287">
        <f t="shared" si="9"/>
        <v>2023</v>
      </c>
    </row>
    <row r="288" spans="1:7" x14ac:dyDescent="0.25">
      <c r="A288">
        <v>4031017</v>
      </c>
      <c r="B288" s="1">
        <v>44958</v>
      </c>
      <c r="C288" t="s">
        <v>226</v>
      </c>
      <c r="D288" s="6">
        <v>22395</v>
      </c>
      <c r="E288" s="9">
        <v>13066.9</v>
      </c>
      <c r="F288" t="str">
        <f t="shared" si="8"/>
        <v>fevereiro</v>
      </c>
      <c r="G288">
        <f t="shared" si="9"/>
        <v>2023</v>
      </c>
    </row>
    <row r="289" spans="1:7" x14ac:dyDescent="0.25">
      <c r="A289">
        <v>4031102</v>
      </c>
      <c r="B289" s="1">
        <v>44958</v>
      </c>
      <c r="C289" t="s">
        <v>228</v>
      </c>
      <c r="D289" s="6">
        <v>8355</v>
      </c>
      <c r="E289" s="9">
        <v>22514</v>
      </c>
      <c r="F289" t="str">
        <f t="shared" si="8"/>
        <v>fevereiro</v>
      </c>
      <c r="G289">
        <f t="shared" si="9"/>
        <v>2023</v>
      </c>
    </row>
    <row r="290" spans="1:7" x14ac:dyDescent="0.25">
      <c r="A290">
        <v>4031200</v>
      </c>
      <c r="B290" s="1">
        <v>44958</v>
      </c>
      <c r="C290" t="s">
        <v>230</v>
      </c>
      <c r="D290" s="6">
        <v>1291.8</v>
      </c>
      <c r="E290" s="9">
        <v>3538.94</v>
      </c>
      <c r="F290" t="str">
        <f t="shared" si="8"/>
        <v>fevereiro</v>
      </c>
      <c r="G290">
        <f t="shared" si="9"/>
        <v>2023</v>
      </c>
    </row>
    <row r="291" spans="1:7" x14ac:dyDescent="0.25">
      <c r="A291">
        <v>4031304</v>
      </c>
      <c r="B291" s="1">
        <v>44958</v>
      </c>
      <c r="C291" t="s">
        <v>232</v>
      </c>
      <c r="D291" s="6">
        <v>1877.73</v>
      </c>
      <c r="E291" s="9">
        <v>4958.83</v>
      </c>
      <c r="F291" t="str">
        <f t="shared" si="8"/>
        <v>fevereiro</v>
      </c>
      <c r="G291">
        <f t="shared" si="9"/>
        <v>2023</v>
      </c>
    </row>
    <row r="292" spans="1:7" x14ac:dyDescent="0.25">
      <c r="A292">
        <v>4031411</v>
      </c>
      <c r="B292" s="1">
        <v>44958</v>
      </c>
      <c r="C292" t="s">
        <v>234</v>
      </c>
      <c r="D292" s="6">
        <v>39.6</v>
      </c>
      <c r="E292" s="9">
        <v>125.11</v>
      </c>
      <c r="F292" t="str">
        <f t="shared" si="8"/>
        <v>fevereiro</v>
      </c>
      <c r="G292">
        <f t="shared" si="9"/>
        <v>2023</v>
      </c>
    </row>
    <row r="293" spans="1:7" x14ac:dyDescent="0.25">
      <c r="A293">
        <v>4031500</v>
      </c>
      <c r="B293" s="1">
        <v>44958</v>
      </c>
      <c r="C293" t="s">
        <v>236</v>
      </c>
      <c r="D293" s="6">
        <v>6970</v>
      </c>
      <c r="E293" s="9">
        <v>17707</v>
      </c>
      <c r="F293" t="str">
        <f t="shared" si="8"/>
        <v>fevereiro</v>
      </c>
      <c r="G293">
        <f t="shared" si="9"/>
        <v>2023</v>
      </c>
    </row>
    <row r="294" spans="1:7" x14ac:dyDescent="0.25">
      <c r="A294">
        <v>4031604</v>
      </c>
      <c r="B294" s="1">
        <v>44958</v>
      </c>
      <c r="C294" t="s">
        <v>238</v>
      </c>
      <c r="D294" s="6">
        <v>6663</v>
      </c>
      <c r="E294" s="9">
        <v>16451</v>
      </c>
      <c r="F294" t="str">
        <f t="shared" si="8"/>
        <v>fevereiro</v>
      </c>
      <c r="G294">
        <f t="shared" si="9"/>
        <v>2023</v>
      </c>
    </row>
    <row r="295" spans="1:7" x14ac:dyDescent="0.25">
      <c r="A295">
        <v>4031605</v>
      </c>
      <c r="B295" s="1">
        <v>44958</v>
      </c>
      <c r="C295" t="s">
        <v>240</v>
      </c>
      <c r="D295" s="6">
        <v>111.79</v>
      </c>
      <c r="E295" s="9">
        <v>329.45</v>
      </c>
      <c r="F295" t="str">
        <f t="shared" si="8"/>
        <v>fevereiro</v>
      </c>
      <c r="G295">
        <f t="shared" si="9"/>
        <v>2023</v>
      </c>
    </row>
    <row r="296" spans="1:7" x14ac:dyDescent="0.25">
      <c r="A296">
        <v>4031700</v>
      </c>
      <c r="B296" s="1">
        <v>44958</v>
      </c>
      <c r="C296" t="s">
        <v>242</v>
      </c>
      <c r="D296" s="6">
        <v>771.1</v>
      </c>
      <c r="E296" s="9">
        <v>2122.5700000000002</v>
      </c>
      <c r="F296" t="str">
        <f t="shared" si="8"/>
        <v>fevereiro</v>
      </c>
      <c r="G296">
        <f t="shared" si="9"/>
        <v>2023</v>
      </c>
    </row>
    <row r="297" spans="1:7" x14ac:dyDescent="0.25">
      <c r="A297">
        <v>4031812</v>
      </c>
      <c r="B297" s="1">
        <v>44958</v>
      </c>
      <c r="C297" t="s">
        <v>244</v>
      </c>
      <c r="D297" s="6">
        <v>430.39</v>
      </c>
      <c r="E297" s="9">
        <v>1263</v>
      </c>
      <c r="F297" t="str">
        <f t="shared" si="8"/>
        <v>fevereiro</v>
      </c>
      <c r="G297">
        <f t="shared" si="9"/>
        <v>2023</v>
      </c>
    </row>
    <row r="298" spans="1:7" x14ac:dyDescent="0.25">
      <c r="A298">
        <v>4031813</v>
      </c>
      <c r="B298" s="1">
        <v>44958</v>
      </c>
      <c r="C298" t="s">
        <v>313</v>
      </c>
      <c r="D298" s="6">
        <v>350</v>
      </c>
      <c r="E298" s="9">
        <v>217</v>
      </c>
      <c r="F298" t="str">
        <f t="shared" si="8"/>
        <v>fevereiro</v>
      </c>
      <c r="G298">
        <f t="shared" si="9"/>
        <v>2023</v>
      </c>
    </row>
    <row r="299" spans="1:7" x14ac:dyDescent="0.25">
      <c r="A299">
        <v>4031904</v>
      </c>
      <c r="B299" s="1">
        <v>44958</v>
      </c>
      <c r="C299" t="s">
        <v>246</v>
      </c>
      <c r="D299" s="6">
        <v>1062</v>
      </c>
      <c r="E299" s="9">
        <v>2823</v>
      </c>
      <c r="F299" t="str">
        <f t="shared" si="8"/>
        <v>fevereiro</v>
      </c>
      <c r="G299">
        <f t="shared" si="9"/>
        <v>2023</v>
      </c>
    </row>
    <row r="300" spans="1:7" x14ac:dyDescent="0.25">
      <c r="A300">
        <v>4032111</v>
      </c>
      <c r="B300" s="1">
        <v>44958</v>
      </c>
      <c r="C300" t="s">
        <v>314</v>
      </c>
      <c r="D300" s="6">
        <v>72</v>
      </c>
      <c r="E300" s="9">
        <v>357</v>
      </c>
      <c r="F300" t="str">
        <f t="shared" si="8"/>
        <v>fevereiro</v>
      </c>
      <c r="G300">
        <f t="shared" si="9"/>
        <v>2023</v>
      </c>
    </row>
    <row r="301" spans="1:7" x14ac:dyDescent="0.25">
      <c r="A301">
        <v>4032204</v>
      </c>
      <c r="B301" s="1">
        <v>44958</v>
      </c>
      <c r="C301" t="s">
        <v>315</v>
      </c>
      <c r="D301" s="6">
        <v>209.15</v>
      </c>
      <c r="E301" s="9">
        <v>1061.6099999999999</v>
      </c>
      <c r="F301" t="str">
        <f t="shared" si="8"/>
        <v>fevereiro</v>
      </c>
      <c r="G301">
        <f t="shared" si="9"/>
        <v>2023</v>
      </c>
    </row>
    <row r="302" spans="1:7" x14ac:dyDescent="0.25">
      <c r="A302">
        <v>4032312</v>
      </c>
      <c r="B302" s="1">
        <v>44958</v>
      </c>
      <c r="C302" t="s">
        <v>252</v>
      </c>
      <c r="D302" s="6">
        <v>467.7</v>
      </c>
      <c r="E302" s="9">
        <v>1901</v>
      </c>
      <c r="F302" t="str">
        <f t="shared" si="8"/>
        <v>fevereiro</v>
      </c>
      <c r="G302">
        <f t="shared" si="9"/>
        <v>2023</v>
      </c>
    </row>
    <row r="303" spans="1:7" x14ac:dyDescent="0.25">
      <c r="A303">
        <v>4032404</v>
      </c>
      <c r="B303" s="1">
        <v>44958</v>
      </c>
      <c r="C303" t="s">
        <v>254</v>
      </c>
      <c r="D303" s="6">
        <v>106.8</v>
      </c>
      <c r="E303" s="9">
        <v>443.54</v>
      </c>
      <c r="F303" t="str">
        <f t="shared" si="8"/>
        <v>fevereiro</v>
      </c>
      <c r="G303">
        <f t="shared" si="9"/>
        <v>2023</v>
      </c>
    </row>
    <row r="304" spans="1:7" x14ac:dyDescent="0.25">
      <c r="A304">
        <v>4032500</v>
      </c>
      <c r="B304" s="1">
        <v>44958</v>
      </c>
      <c r="C304" t="s">
        <v>256</v>
      </c>
      <c r="D304" s="6">
        <v>538.4</v>
      </c>
      <c r="E304" s="9">
        <v>1321.3</v>
      </c>
      <c r="F304" t="str">
        <f t="shared" si="8"/>
        <v>fevereiro</v>
      </c>
      <c r="G304">
        <f t="shared" si="9"/>
        <v>2023</v>
      </c>
    </row>
    <row r="305" spans="1:7" x14ac:dyDescent="0.25">
      <c r="A305">
        <v>4032611</v>
      </c>
      <c r="B305" s="1">
        <v>44958</v>
      </c>
      <c r="C305" t="s">
        <v>258</v>
      </c>
      <c r="D305" s="6">
        <v>100.61</v>
      </c>
      <c r="E305" s="9">
        <v>296.52</v>
      </c>
      <c r="F305" t="str">
        <f t="shared" si="8"/>
        <v>fevereiro</v>
      </c>
      <c r="G305">
        <f t="shared" si="9"/>
        <v>2023</v>
      </c>
    </row>
    <row r="306" spans="1:7" x14ac:dyDescent="0.25">
      <c r="A306">
        <v>4032704</v>
      </c>
      <c r="B306" s="1">
        <v>44958</v>
      </c>
      <c r="C306" t="s">
        <v>260</v>
      </c>
      <c r="D306" s="6">
        <v>318</v>
      </c>
      <c r="E306" s="9">
        <v>870.87</v>
      </c>
      <c r="F306" t="str">
        <f t="shared" si="8"/>
        <v>fevereiro</v>
      </c>
      <c r="G306">
        <f t="shared" si="9"/>
        <v>2023</v>
      </c>
    </row>
    <row r="307" spans="1:7" x14ac:dyDescent="0.25">
      <c r="A307">
        <v>4032800</v>
      </c>
      <c r="B307" s="1">
        <v>44958</v>
      </c>
      <c r="C307" t="s">
        <v>262</v>
      </c>
      <c r="D307" s="6">
        <v>470.45</v>
      </c>
      <c r="E307" s="9">
        <v>2465.5500000000002</v>
      </c>
      <c r="F307" t="str">
        <f t="shared" si="8"/>
        <v>fevereiro</v>
      </c>
      <c r="G307">
        <f t="shared" si="9"/>
        <v>2023</v>
      </c>
    </row>
    <row r="308" spans="1:7" x14ac:dyDescent="0.25">
      <c r="A308">
        <v>4032902</v>
      </c>
      <c r="B308" s="1">
        <v>44958</v>
      </c>
      <c r="C308" t="s">
        <v>264</v>
      </c>
      <c r="D308" s="6">
        <v>780</v>
      </c>
      <c r="E308" s="9">
        <v>3975</v>
      </c>
      <c r="F308" t="str">
        <f t="shared" si="8"/>
        <v>fevereiro</v>
      </c>
      <c r="G308">
        <f t="shared" si="9"/>
        <v>2023</v>
      </c>
    </row>
    <row r="309" spans="1:7" x14ac:dyDescent="0.25">
      <c r="A309">
        <v>4033011</v>
      </c>
      <c r="B309" s="1">
        <v>44958</v>
      </c>
      <c r="C309" t="s">
        <v>266</v>
      </c>
      <c r="D309" s="6">
        <v>62.4</v>
      </c>
      <c r="E309" s="9">
        <v>314.20999999999998</v>
      </c>
      <c r="F309" t="str">
        <f t="shared" si="8"/>
        <v>fevereiro</v>
      </c>
      <c r="G309">
        <f t="shared" si="9"/>
        <v>2023</v>
      </c>
    </row>
    <row r="310" spans="1:7" x14ac:dyDescent="0.25">
      <c r="A310">
        <v>4033111</v>
      </c>
      <c r="B310" s="1">
        <v>44958</v>
      </c>
      <c r="C310" t="s">
        <v>268</v>
      </c>
      <c r="D310" s="6">
        <v>64.3</v>
      </c>
      <c r="E310" s="9">
        <v>300.39</v>
      </c>
      <c r="F310" t="str">
        <f t="shared" si="8"/>
        <v>fevereiro</v>
      </c>
      <c r="G310">
        <f t="shared" si="9"/>
        <v>2023</v>
      </c>
    </row>
    <row r="311" spans="1:7" x14ac:dyDescent="0.25">
      <c r="A311">
        <v>4033211</v>
      </c>
      <c r="B311" s="1">
        <v>44958</v>
      </c>
      <c r="C311" t="s">
        <v>270</v>
      </c>
      <c r="D311" s="6">
        <v>84.12</v>
      </c>
      <c r="E311" s="9">
        <v>375.44</v>
      </c>
      <c r="F311" t="str">
        <f t="shared" si="8"/>
        <v>fevereiro</v>
      </c>
      <c r="G311">
        <f t="shared" si="9"/>
        <v>2023</v>
      </c>
    </row>
    <row r="312" spans="1:7" x14ac:dyDescent="0.25">
      <c r="A312">
        <v>4033311</v>
      </c>
      <c r="B312" s="1">
        <v>44958</v>
      </c>
      <c r="C312" t="s">
        <v>272</v>
      </c>
      <c r="D312" s="6">
        <v>5.7</v>
      </c>
      <c r="E312" s="9">
        <v>32.08</v>
      </c>
      <c r="F312" t="str">
        <f t="shared" si="8"/>
        <v>fevereiro</v>
      </c>
      <c r="G312">
        <f t="shared" si="9"/>
        <v>2023</v>
      </c>
    </row>
    <row r="313" spans="1:7" x14ac:dyDescent="0.25">
      <c r="A313">
        <v>4033400</v>
      </c>
      <c r="B313" s="1">
        <v>44958</v>
      </c>
      <c r="C313" t="s">
        <v>274</v>
      </c>
      <c r="D313" s="6">
        <v>2101</v>
      </c>
      <c r="E313" s="9">
        <v>6320</v>
      </c>
      <c r="F313" t="str">
        <f t="shared" si="8"/>
        <v>fevereiro</v>
      </c>
      <c r="G313">
        <f t="shared" si="9"/>
        <v>2023</v>
      </c>
    </row>
    <row r="314" spans="1:7" x14ac:dyDescent="0.25">
      <c r="A314">
        <v>4033511</v>
      </c>
      <c r="B314" s="1">
        <v>44958</v>
      </c>
      <c r="C314" t="s">
        <v>276</v>
      </c>
      <c r="D314" s="6">
        <v>2910</v>
      </c>
      <c r="E314" s="9">
        <v>9127</v>
      </c>
      <c r="F314" t="str">
        <f t="shared" si="8"/>
        <v>fevereiro</v>
      </c>
      <c r="G314">
        <f t="shared" si="9"/>
        <v>2023</v>
      </c>
    </row>
    <row r="315" spans="1:7" x14ac:dyDescent="0.25">
      <c r="A315">
        <v>4033900</v>
      </c>
      <c r="B315" s="1">
        <v>44958</v>
      </c>
      <c r="C315" t="s">
        <v>278</v>
      </c>
      <c r="D315" s="6">
        <v>166</v>
      </c>
      <c r="E315" s="9">
        <v>800</v>
      </c>
      <c r="F315" t="str">
        <f t="shared" si="8"/>
        <v>fevereiro</v>
      </c>
      <c r="G315">
        <f t="shared" si="9"/>
        <v>2023</v>
      </c>
    </row>
    <row r="316" spans="1:7" x14ac:dyDescent="0.25">
      <c r="A316">
        <v>4034011</v>
      </c>
      <c r="B316" s="1">
        <v>44958</v>
      </c>
      <c r="C316" t="s">
        <v>280</v>
      </c>
      <c r="D316" s="6">
        <v>1096</v>
      </c>
      <c r="E316" s="9">
        <v>5362</v>
      </c>
      <c r="F316" t="str">
        <f t="shared" si="8"/>
        <v>fevereiro</v>
      </c>
      <c r="G316">
        <f t="shared" si="9"/>
        <v>2023</v>
      </c>
    </row>
    <row r="317" spans="1:7" x14ac:dyDescent="0.25">
      <c r="A317">
        <v>4034211</v>
      </c>
      <c r="B317" s="1">
        <v>44958</v>
      </c>
      <c r="C317" t="s">
        <v>282</v>
      </c>
      <c r="D317" s="6">
        <v>112.69</v>
      </c>
      <c r="E317" s="9">
        <v>469</v>
      </c>
      <c r="F317" t="str">
        <f t="shared" si="8"/>
        <v>fevereiro</v>
      </c>
      <c r="G317">
        <f t="shared" si="9"/>
        <v>2023</v>
      </c>
    </row>
    <row r="318" spans="1:7" x14ac:dyDescent="0.25">
      <c r="A318">
        <v>4034400</v>
      </c>
      <c r="B318" s="1">
        <v>44958</v>
      </c>
      <c r="C318" t="s">
        <v>284</v>
      </c>
      <c r="D318" s="6">
        <v>385.1</v>
      </c>
      <c r="E318" s="9">
        <v>1051.04</v>
      </c>
      <c r="F318" t="str">
        <f t="shared" si="8"/>
        <v>fevereiro</v>
      </c>
      <c r="G318">
        <f t="shared" si="9"/>
        <v>2023</v>
      </c>
    </row>
    <row r="319" spans="1:7" x14ac:dyDescent="0.25">
      <c r="A319">
        <v>4034502</v>
      </c>
      <c r="B319" s="1">
        <v>44958</v>
      </c>
      <c r="C319" t="s">
        <v>286</v>
      </c>
      <c r="D319" s="6">
        <v>516</v>
      </c>
      <c r="E319" s="9">
        <v>1389</v>
      </c>
      <c r="F319" t="str">
        <f t="shared" si="8"/>
        <v>fevereiro</v>
      </c>
      <c r="G319">
        <f t="shared" si="9"/>
        <v>2023</v>
      </c>
    </row>
    <row r="320" spans="1:7" x14ac:dyDescent="0.25">
      <c r="A320">
        <v>8040016</v>
      </c>
      <c r="B320" s="1">
        <v>44958</v>
      </c>
      <c r="C320" t="s">
        <v>353</v>
      </c>
      <c r="D320" s="6">
        <v>1320</v>
      </c>
      <c r="E320" s="9">
        <v>3762</v>
      </c>
      <c r="F320" t="str">
        <f t="shared" si="8"/>
        <v>fevereiro</v>
      </c>
      <c r="G320">
        <f t="shared" si="9"/>
        <v>2023</v>
      </c>
    </row>
    <row r="321" spans="1:7" x14ac:dyDescent="0.25">
      <c r="A321">
        <v>8040017</v>
      </c>
      <c r="B321" s="1">
        <v>44958</v>
      </c>
      <c r="C321" t="s">
        <v>354</v>
      </c>
      <c r="D321" s="6">
        <v>4888</v>
      </c>
      <c r="E321" s="9">
        <v>37051.040000000001</v>
      </c>
      <c r="F321" t="str">
        <f t="shared" si="8"/>
        <v>fevereiro</v>
      </c>
      <c r="G321">
        <f t="shared" si="9"/>
        <v>2023</v>
      </c>
    </row>
    <row r="322" spans="1:7" x14ac:dyDescent="0.25">
      <c r="A322">
        <v>8040018</v>
      </c>
      <c r="B322" s="1">
        <v>44958</v>
      </c>
      <c r="C322" t="s">
        <v>355</v>
      </c>
      <c r="D322" s="6">
        <v>2621</v>
      </c>
      <c r="E322" s="9">
        <v>22750.28</v>
      </c>
      <c r="F322" t="str">
        <f t="shared" si="8"/>
        <v>fevereiro</v>
      </c>
      <c r="G322">
        <f t="shared" si="9"/>
        <v>2023</v>
      </c>
    </row>
    <row r="323" spans="1:7" x14ac:dyDescent="0.25">
      <c r="A323">
        <v>8040019</v>
      </c>
      <c r="B323" s="1">
        <v>44958</v>
      </c>
      <c r="C323" t="s">
        <v>356</v>
      </c>
      <c r="D323" s="6">
        <v>3653</v>
      </c>
      <c r="E323" s="9">
        <v>31708.04</v>
      </c>
      <c r="F323" t="str">
        <f t="shared" ref="F323:F386" si="10">TEXT(B323,"mmmm")</f>
        <v>fevereiro</v>
      </c>
      <c r="G323">
        <f t="shared" ref="G323:G386" si="11">YEAR(B323)</f>
        <v>2023</v>
      </c>
    </row>
    <row r="324" spans="1:7" x14ac:dyDescent="0.25">
      <c r="A324">
        <v>8040020</v>
      </c>
      <c r="B324" s="1">
        <v>44958</v>
      </c>
      <c r="C324" t="s">
        <v>357</v>
      </c>
      <c r="D324" s="6">
        <v>1521</v>
      </c>
      <c r="E324" s="9">
        <v>15696.72</v>
      </c>
      <c r="F324" t="str">
        <f t="shared" si="10"/>
        <v>fevereiro</v>
      </c>
      <c r="G324">
        <f t="shared" si="11"/>
        <v>2023</v>
      </c>
    </row>
    <row r="325" spans="1:7" x14ac:dyDescent="0.25">
      <c r="A325">
        <v>8040021</v>
      </c>
      <c r="B325" s="1">
        <v>44958</v>
      </c>
      <c r="C325" t="s">
        <v>358</v>
      </c>
      <c r="D325" s="6">
        <v>3409</v>
      </c>
      <c r="E325" s="9">
        <v>32283.23</v>
      </c>
      <c r="F325" t="str">
        <f t="shared" si="10"/>
        <v>fevereiro</v>
      </c>
      <c r="G325">
        <f t="shared" si="11"/>
        <v>2023</v>
      </c>
    </row>
    <row r="326" spans="1:7" x14ac:dyDescent="0.25">
      <c r="A326">
        <v>8040022</v>
      </c>
      <c r="B326" s="1">
        <v>44958</v>
      </c>
      <c r="C326" t="s">
        <v>359</v>
      </c>
      <c r="D326" s="6">
        <v>177</v>
      </c>
      <c r="E326" s="9">
        <v>1207.1400000000001</v>
      </c>
      <c r="F326" t="str">
        <f t="shared" si="10"/>
        <v>fevereiro</v>
      </c>
      <c r="G326">
        <f t="shared" si="11"/>
        <v>2023</v>
      </c>
    </row>
    <row r="327" spans="1:7" x14ac:dyDescent="0.25">
      <c r="A327">
        <v>8040023</v>
      </c>
      <c r="B327" s="1">
        <v>44958</v>
      </c>
      <c r="C327" t="s">
        <v>360</v>
      </c>
      <c r="D327" s="6">
        <v>104</v>
      </c>
      <c r="E327" s="9">
        <v>812.24</v>
      </c>
      <c r="F327" t="str">
        <f t="shared" si="10"/>
        <v>fevereiro</v>
      </c>
      <c r="G327">
        <f t="shared" si="11"/>
        <v>2023</v>
      </c>
    </row>
    <row r="328" spans="1:7" x14ac:dyDescent="0.25">
      <c r="A328">
        <v>8040024</v>
      </c>
      <c r="B328" s="1">
        <v>44958</v>
      </c>
      <c r="C328" t="s">
        <v>361</v>
      </c>
      <c r="D328" s="6">
        <v>286</v>
      </c>
      <c r="E328" s="9">
        <v>2236.52</v>
      </c>
      <c r="F328" t="str">
        <f t="shared" si="10"/>
        <v>fevereiro</v>
      </c>
      <c r="G328">
        <f t="shared" si="11"/>
        <v>2023</v>
      </c>
    </row>
    <row r="329" spans="1:7" x14ac:dyDescent="0.25">
      <c r="A329">
        <v>8040025</v>
      </c>
      <c r="B329" s="1">
        <v>44958</v>
      </c>
      <c r="C329" t="s">
        <v>362</v>
      </c>
      <c r="D329" s="6">
        <v>3078</v>
      </c>
      <c r="E329" s="9">
        <v>28563.84</v>
      </c>
      <c r="F329" t="str">
        <f t="shared" si="10"/>
        <v>fevereiro</v>
      </c>
      <c r="G329">
        <f t="shared" si="11"/>
        <v>2023</v>
      </c>
    </row>
    <row r="330" spans="1:7" x14ac:dyDescent="0.25">
      <c r="A330">
        <v>8040026</v>
      </c>
      <c r="B330" s="1">
        <v>44958</v>
      </c>
      <c r="C330" t="s">
        <v>363</v>
      </c>
      <c r="D330" s="6">
        <v>2167</v>
      </c>
      <c r="E330" s="9">
        <v>18484.509999999998</v>
      </c>
      <c r="F330" t="str">
        <f t="shared" si="10"/>
        <v>fevereiro</v>
      </c>
      <c r="G330">
        <f t="shared" si="11"/>
        <v>2023</v>
      </c>
    </row>
    <row r="331" spans="1:7" x14ac:dyDescent="0.25">
      <c r="A331">
        <v>8050001</v>
      </c>
      <c r="B331" s="1">
        <v>44958</v>
      </c>
      <c r="C331" t="s">
        <v>321</v>
      </c>
      <c r="D331" s="6">
        <v>480</v>
      </c>
      <c r="E331" s="9">
        <v>720</v>
      </c>
      <c r="F331" t="str">
        <f t="shared" si="10"/>
        <v>fevereiro</v>
      </c>
      <c r="G331">
        <f t="shared" si="11"/>
        <v>2023</v>
      </c>
    </row>
    <row r="332" spans="1:7" x14ac:dyDescent="0.25">
      <c r="A332">
        <v>8060002</v>
      </c>
      <c r="B332" s="1">
        <v>44958</v>
      </c>
      <c r="C332" t="s">
        <v>364</v>
      </c>
      <c r="D332" s="6">
        <v>1014</v>
      </c>
      <c r="E332" s="9">
        <v>4664.3999999999996</v>
      </c>
      <c r="F332" t="str">
        <f t="shared" si="10"/>
        <v>fevereiro</v>
      </c>
      <c r="G332">
        <f t="shared" si="11"/>
        <v>2023</v>
      </c>
    </row>
    <row r="333" spans="1:7" x14ac:dyDescent="0.25">
      <c r="A333">
        <v>8070003</v>
      </c>
      <c r="B333" s="1">
        <v>44958</v>
      </c>
      <c r="C333" t="s">
        <v>328</v>
      </c>
      <c r="D333" s="6">
        <v>2400</v>
      </c>
      <c r="E333" s="9">
        <v>16320</v>
      </c>
      <c r="F333" t="str">
        <f t="shared" si="10"/>
        <v>fevereiro</v>
      </c>
      <c r="G333">
        <f t="shared" si="11"/>
        <v>2023</v>
      </c>
    </row>
    <row r="334" spans="1:7" x14ac:dyDescent="0.25">
      <c r="A334">
        <v>8070005</v>
      </c>
      <c r="B334" s="1">
        <v>44958</v>
      </c>
      <c r="C334" t="s">
        <v>365</v>
      </c>
      <c r="D334" s="6">
        <v>134.4</v>
      </c>
      <c r="E334" s="9">
        <v>547.01</v>
      </c>
      <c r="F334" t="str">
        <f t="shared" si="10"/>
        <v>fevereiro</v>
      </c>
      <c r="G334">
        <f t="shared" si="11"/>
        <v>2023</v>
      </c>
    </row>
    <row r="335" spans="1:7" x14ac:dyDescent="0.25">
      <c r="A335">
        <v>8070006</v>
      </c>
      <c r="B335" s="1">
        <v>44958</v>
      </c>
      <c r="C335" t="s">
        <v>366</v>
      </c>
      <c r="D335" s="6">
        <v>336</v>
      </c>
      <c r="E335" s="9">
        <v>608.16</v>
      </c>
      <c r="F335" t="str">
        <f t="shared" si="10"/>
        <v>fevereiro</v>
      </c>
      <c r="G335">
        <f t="shared" si="11"/>
        <v>2023</v>
      </c>
    </row>
    <row r="336" spans="1:7" x14ac:dyDescent="0.25">
      <c r="A336">
        <v>8070007</v>
      </c>
      <c r="B336" s="1">
        <v>44958</v>
      </c>
      <c r="C336" t="s">
        <v>367</v>
      </c>
      <c r="D336" s="6">
        <v>1220</v>
      </c>
      <c r="E336" s="9">
        <v>10236</v>
      </c>
      <c r="F336" t="str">
        <f t="shared" si="10"/>
        <v>fevereiro</v>
      </c>
      <c r="G336">
        <f t="shared" si="11"/>
        <v>2023</v>
      </c>
    </row>
    <row r="337" spans="1:7" x14ac:dyDescent="0.25">
      <c r="A337">
        <v>8070008</v>
      </c>
      <c r="B337" s="1">
        <v>44958</v>
      </c>
      <c r="C337" t="s">
        <v>368</v>
      </c>
      <c r="D337" s="6">
        <v>1510</v>
      </c>
      <c r="E337" s="9">
        <v>14994</v>
      </c>
      <c r="F337" t="str">
        <f t="shared" si="10"/>
        <v>fevereiro</v>
      </c>
      <c r="G337">
        <f t="shared" si="11"/>
        <v>2023</v>
      </c>
    </row>
    <row r="338" spans="1:7" x14ac:dyDescent="0.25">
      <c r="A338">
        <v>8070009</v>
      </c>
      <c r="B338" s="1">
        <v>44958</v>
      </c>
      <c r="C338" t="s">
        <v>369</v>
      </c>
      <c r="D338" s="6">
        <v>1260</v>
      </c>
      <c r="E338" s="9">
        <v>3906</v>
      </c>
      <c r="F338" t="str">
        <f t="shared" si="10"/>
        <v>fevereiro</v>
      </c>
      <c r="G338">
        <f t="shared" si="11"/>
        <v>2023</v>
      </c>
    </row>
    <row r="339" spans="1:7" x14ac:dyDescent="0.25">
      <c r="A339">
        <v>8070010</v>
      </c>
      <c r="B339" s="1">
        <v>44958</v>
      </c>
      <c r="C339" t="s">
        <v>370</v>
      </c>
      <c r="D339" s="6">
        <v>1260</v>
      </c>
      <c r="E339" s="9">
        <v>4536</v>
      </c>
      <c r="F339" t="str">
        <f t="shared" si="10"/>
        <v>fevereiro</v>
      </c>
      <c r="G339">
        <f t="shared" si="11"/>
        <v>2023</v>
      </c>
    </row>
    <row r="340" spans="1:7" x14ac:dyDescent="0.25">
      <c r="A340">
        <v>8070011</v>
      </c>
      <c r="B340" s="1">
        <v>44958</v>
      </c>
      <c r="C340" t="s">
        <v>371</v>
      </c>
      <c r="D340" s="6">
        <v>600</v>
      </c>
      <c r="E340" s="9">
        <v>1830</v>
      </c>
      <c r="F340" t="str">
        <f t="shared" si="10"/>
        <v>fevereiro</v>
      </c>
      <c r="G340">
        <f t="shared" si="11"/>
        <v>2023</v>
      </c>
    </row>
    <row r="341" spans="1:7" x14ac:dyDescent="0.25">
      <c r="A341">
        <v>8070012</v>
      </c>
      <c r="B341" s="1">
        <v>44958</v>
      </c>
      <c r="C341" t="s">
        <v>372</v>
      </c>
      <c r="D341" s="6">
        <v>693</v>
      </c>
      <c r="E341" s="9">
        <v>1940</v>
      </c>
      <c r="F341" t="str">
        <f t="shared" si="10"/>
        <v>fevereiro</v>
      </c>
      <c r="G341">
        <f t="shared" si="11"/>
        <v>2023</v>
      </c>
    </row>
    <row r="342" spans="1:7" x14ac:dyDescent="0.25">
      <c r="A342">
        <v>8070015</v>
      </c>
      <c r="B342" s="1">
        <v>44958</v>
      </c>
      <c r="C342" t="s">
        <v>373</v>
      </c>
      <c r="D342" s="6">
        <v>3600</v>
      </c>
      <c r="E342" s="9">
        <v>3888</v>
      </c>
      <c r="F342" t="str">
        <f t="shared" si="10"/>
        <v>fevereiro</v>
      </c>
      <c r="G342">
        <f t="shared" si="11"/>
        <v>2023</v>
      </c>
    </row>
    <row r="343" spans="1:7" ht="13.9" customHeight="1" x14ac:dyDescent="0.25">
      <c r="A343">
        <v>8120001</v>
      </c>
      <c r="B343" s="1">
        <v>44958</v>
      </c>
      <c r="C343" t="s">
        <v>374</v>
      </c>
      <c r="D343" s="6">
        <v>1296</v>
      </c>
      <c r="E343" s="9">
        <v>8683.2000000000007</v>
      </c>
      <c r="F343" t="str">
        <f t="shared" si="10"/>
        <v>fevereiro</v>
      </c>
      <c r="G343">
        <f t="shared" si="11"/>
        <v>2023</v>
      </c>
    </row>
    <row r="344" spans="1:7" ht="13.9" customHeight="1" x14ac:dyDescent="0.25">
      <c r="A344">
        <v>8120002</v>
      </c>
      <c r="B344" s="1">
        <v>44958</v>
      </c>
      <c r="C344" t="s">
        <v>375</v>
      </c>
      <c r="D344" s="6">
        <v>1036.8</v>
      </c>
      <c r="E344" s="9">
        <v>4593.0200000000004</v>
      </c>
      <c r="F344" t="str">
        <f t="shared" si="10"/>
        <v>fevereiro</v>
      </c>
      <c r="G344">
        <f t="shared" si="11"/>
        <v>2023</v>
      </c>
    </row>
    <row r="345" spans="1:7" ht="13.9" customHeight="1" x14ac:dyDescent="0.25">
      <c r="A345">
        <v>8120003</v>
      </c>
      <c r="B345" s="1">
        <v>44958</v>
      </c>
      <c r="C345" t="s">
        <v>376</v>
      </c>
      <c r="D345" s="6">
        <v>504</v>
      </c>
      <c r="E345" s="9">
        <v>1562</v>
      </c>
      <c r="F345" t="str">
        <f t="shared" si="10"/>
        <v>fevereiro</v>
      </c>
      <c r="G345">
        <f t="shared" si="11"/>
        <v>2023</v>
      </c>
    </row>
    <row r="346" spans="1:7" ht="13.9" customHeight="1" x14ac:dyDescent="0.25">
      <c r="A346">
        <v>8120007</v>
      </c>
      <c r="B346" s="1">
        <v>44958</v>
      </c>
      <c r="C346" t="s">
        <v>377</v>
      </c>
      <c r="D346" s="6">
        <v>668.23500000000001</v>
      </c>
      <c r="E346" s="9">
        <v>4878.12</v>
      </c>
      <c r="F346" t="str">
        <f t="shared" si="10"/>
        <v>fevereiro</v>
      </c>
      <c r="G346">
        <f t="shared" si="11"/>
        <v>2023</v>
      </c>
    </row>
    <row r="347" spans="1:7" ht="13.9" customHeight="1" x14ac:dyDescent="0.25">
      <c r="A347">
        <v>8120010</v>
      </c>
      <c r="B347" s="1">
        <v>44958</v>
      </c>
      <c r="C347" t="s">
        <v>378</v>
      </c>
      <c r="D347" s="6">
        <v>2607.25</v>
      </c>
      <c r="E347" s="9">
        <v>30248.74</v>
      </c>
      <c r="F347" t="str">
        <f t="shared" si="10"/>
        <v>fevereiro</v>
      </c>
      <c r="G347">
        <f t="shared" si="11"/>
        <v>2023</v>
      </c>
    </row>
    <row r="348" spans="1:7" ht="13.9" customHeight="1" x14ac:dyDescent="0.25">
      <c r="A348">
        <v>8120011</v>
      </c>
      <c r="B348" s="1">
        <v>44958</v>
      </c>
      <c r="C348" t="s">
        <v>379</v>
      </c>
      <c r="D348" s="6">
        <v>950.34</v>
      </c>
      <c r="E348" s="9">
        <v>11309.05</v>
      </c>
      <c r="F348" t="str">
        <f t="shared" si="10"/>
        <v>fevereiro</v>
      </c>
      <c r="G348">
        <f t="shared" si="11"/>
        <v>2023</v>
      </c>
    </row>
    <row r="349" spans="1:7" x14ac:dyDescent="0.25">
      <c r="A349">
        <v>8130001</v>
      </c>
      <c r="B349" s="1">
        <v>44958</v>
      </c>
      <c r="C349" t="s">
        <v>380</v>
      </c>
      <c r="D349" s="6">
        <v>2640</v>
      </c>
      <c r="E349" s="9">
        <v>6776</v>
      </c>
      <c r="F349" t="str">
        <f t="shared" si="10"/>
        <v>fevereiro</v>
      </c>
      <c r="G349">
        <f t="shared" si="11"/>
        <v>2023</v>
      </c>
    </row>
    <row r="350" spans="1:7" x14ac:dyDescent="0.25">
      <c r="A350">
        <v>8140001</v>
      </c>
      <c r="B350" s="1">
        <v>44958</v>
      </c>
      <c r="C350" t="s">
        <v>381</v>
      </c>
      <c r="D350" s="6">
        <v>1716</v>
      </c>
      <c r="E350" s="9">
        <v>7464.6</v>
      </c>
      <c r="F350" t="str">
        <f t="shared" si="10"/>
        <v>fevereiro</v>
      </c>
      <c r="G350">
        <f t="shared" si="11"/>
        <v>2023</v>
      </c>
    </row>
    <row r="351" spans="1:7" x14ac:dyDescent="0.25">
      <c r="A351">
        <v>8150001</v>
      </c>
      <c r="B351" s="1">
        <v>44958</v>
      </c>
      <c r="C351" t="s">
        <v>382</v>
      </c>
      <c r="D351" s="6">
        <v>450</v>
      </c>
      <c r="E351" s="9">
        <v>5512.5</v>
      </c>
      <c r="F351" t="str">
        <f t="shared" si="10"/>
        <v>fevereiro</v>
      </c>
      <c r="G351">
        <f t="shared" si="11"/>
        <v>2023</v>
      </c>
    </row>
    <row r="352" spans="1:7" x14ac:dyDescent="0.25">
      <c r="A352">
        <v>8150002</v>
      </c>
      <c r="B352" s="1">
        <v>44958</v>
      </c>
      <c r="C352" t="s">
        <v>383</v>
      </c>
      <c r="D352" s="6">
        <v>1260</v>
      </c>
      <c r="E352" s="9">
        <v>11088</v>
      </c>
      <c r="F352" t="str">
        <f t="shared" si="10"/>
        <v>fevereiro</v>
      </c>
      <c r="G352">
        <f t="shared" si="11"/>
        <v>2023</v>
      </c>
    </row>
    <row r="353" spans="1:7" x14ac:dyDescent="0.25">
      <c r="A353">
        <v>8150003</v>
      </c>
      <c r="B353" s="1">
        <v>44958</v>
      </c>
      <c r="C353" t="s">
        <v>384</v>
      </c>
      <c r="D353" s="6">
        <v>1260</v>
      </c>
      <c r="E353" s="9">
        <v>9513</v>
      </c>
      <c r="F353" t="str">
        <f t="shared" si="10"/>
        <v>fevereiro</v>
      </c>
      <c r="G353">
        <f t="shared" si="11"/>
        <v>2023</v>
      </c>
    </row>
    <row r="354" spans="1:7" x14ac:dyDescent="0.25">
      <c r="A354">
        <v>8150004</v>
      </c>
      <c r="B354" s="1">
        <v>44958</v>
      </c>
      <c r="C354" t="s">
        <v>385</v>
      </c>
      <c r="D354" s="6">
        <v>2520</v>
      </c>
      <c r="E354" s="9">
        <v>15876</v>
      </c>
      <c r="F354" t="str">
        <f t="shared" si="10"/>
        <v>fevereiro</v>
      </c>
      <c r="G354">
        <f t="shared" si="11"/>
        <v>2023</v>
      </c>
    </row>
    <row r="355" spans="1:7" x14ac:dyDescent="0.25">
      <c r="A355">
        <v>8150005</v>
      </c>
      <c r="B355" s="1">
        <v>44958</v>
      </c>
      <c r="C355" t="s">
        <v>386</v>
      </c>
      <c r="D355" s="6">
        <v>1260</v>
      </c>
      <c r="E355" s="9">
        <v>6804</v>
      </c>
      <c r="F355" t="str">
        <f t="shared" si="10"/>
        <v>fevereiro</v>
      </c>
      <c r="G355">
        <f t="shared" si="11"/>
        <v>2023</v>
      </c>
    </row>
    <row r="356" spans="1:7" x14ac:dyDescent="0.25">
      <c r="A356">
        <v>8150006</v>
      </c>
      <c r="B356" s="1">
        <v>44958</v>
      </c>
      <c r="C356" t="s">
        <v>387</v>
      </c>
      <c r="D356" s="6">
        <v>450</v>
      </c>
      <c r="E356" s="9">
        <v>2250</v>
      </c>
      <c r="F356" t="str">
        <f t="shared" si="10"/>
        <v>fevereiro</v>
      </c>
      <c r="G356">
        <f t="shared" si="11"/>
        <v>2023</v>
      </c>
    </row>
    <row r="357" spans="1:7" x14ac:dyDescent="0.25">
      <c r="A357" t="s">
        <v>330</v>
      </c>
      <c r="B357" s="1">
        <v>44986</v>
      </c>
      <c r="C357" t="s">
        <v>331</v>
      </c>
      <c r="D357" s="6">
        <v>793.2</v>
      </c>
      <c r="E357" s="9">
        <v>237.96</v>
      </c>
      <c r="F357" t="str">
        <f t="shared" si="10"/>
        <v>março</v>
      </c>
      <c r="G357">
        <f t="shared" si="11"/>
        <v>2023</v>
      </c>
    </row>
    <row r="358" spans="1:7" x14ac:dyDescent="0.25">
      <c r="A358" t="s">
        <v>332</v>
      </c>
      <c r="B358" s="1">
        <v>44986</v>
      </c>
      <c r="C358" t="s">
        <v>333</v>
      </c>
      <c r="D358" s="6">
        <v>996.1</v>
      </c>
      <c r="E358" s="9">
        <v>298.83</v>
      </c>
      <c r="F358" t="str">
        <f t="shared" si="10"/>
        <v>março</v>
      </c>
      <c r="G358">
        <f t="shared" si="11"/>
        <v>2023</v>
      </c>
    </row>
    <row r="359" spans="1:7" x14ac:dyDescent="0.25">
      <c r="A359">
        <v>1010500</v>
      </c>
      <c r="B359" s="1">
        <v>44986</v>
      </c>
      <c r="C359" t="s">
        <v>6</v>
      </c>
      <c r="D359" s="6">
        <v>1752.72</v>
      </c>
      <c r="E359" s="9">
        <v>946.13</v>
      </c>
      <c r="F359" t="str">
        <f t="shared" si="10"/>
        <v>março</v>
      </c>
      <c r="G359">
        <f t="shared" si="11"/>
        <v>2023</v>
      </c>
    </row>
    <row r="360" spans="1:7" x14ac:dyDescent="0.25">
      <c r="A360">
        <v>1010600</v>
      </c>
      <c r="B360" s="1">
        <v>44986</v>
      </c>
      <c r="C360" t="s">
        <v>334</v>
      </c>
      <c r="D360" s="6">
        <v>3203.93</v>
      </c>
      <c r="E360" s="9">
        <v>2945.37</v>
      </c>
      <c r="F360" t="str">
        <f t="shared" si="10"/>
        <v>março</v>
      </c>
      <c r="G360">
        <f t="shared" si="11"/>
        <v>2023</v>
      </c>
    </row>
    <row r="361" spans="1:7" x14ac:dyDescent="0.25">
      <c r="A361">
        <v>1010700</v>
      </c>
      <c r="B361" s="1">
        <v>44986</v>
      </c>
      <c r="C361" t="s">
        <v>335</v>
      </c>
      <c r="D361" s="6">
        <v>477.6</v>
      </c>
      <c r="E361" s="9">
        <v>979.42</v>
      </c>
      <c r="F361" t="str">
        <f t="shared" si="10"/>
        <v>março</v>
      </c>
      <c r="G361">
        <f t="shared" si="11"/>
        <v>2023</v>
      </c>
    </row>
    <row r="362" spans="1:7" x14ac:dyDescent="0.25">
      <c r="A362">
        <v>1010701</v>
      </c>
      <c r="B362" s="1">
        <v>44986</v>
      </c>
      <c r="C362" t="s">
        <v>12</v>
      </c>
      <c r="D362" s="6">
        <v>61.86</v>
      </c>
      <c r="E362" s="9">
        <v>458.63</v>
      </c>
      <c r="F362" t="str">
        <f t="shared" si="10"/>
        <v>março</v>
      </c>
      <c r="G362">
        <f t="shared" si="11"/>
        <v>2023</v>
      </c>
    </row>
    <row r="363" spans="1:7" x14ac:dyDescent="0.25">
      <c r="A363">
        <v>1010732</v>
      </c>
      <c r="B363" s="1">
        <v>44986</v>
      </c>
      <c r="C363" t="s">
        <v>14</v>
      </c>
      <c r="D363" s="6">
        <v>36</v>
      </c>
      <c r="E363" s="9">
        <v>280.8</v>
      </c>
      <c r="F363" t="str">
        <f t="shared" si="10"/>
        <v>março</v>
      </c>
      <c r="G363">
        <f t="shared" si="11"/>
        <v>2023</v>
      </c>
    </row>
    <row r="364" spans="1:7" x14ac:dyDescent="0.25">
      <c r="A364">
        <v>1010900</v>
      </c>
      <c r="B364" s="1">
        <v>44986</v>
      </c>
      <c r="C364" t="s">
        <v>336</v>
      </c>
      <c r="D364" s="6">
        <v>453.02</v>
      </c>
      <c r="E364" s="9">
        <v>701.91</v>
      </c>
      <c r="F364" t="str">
        <f t="shared" si="10"/>
        <v>março</v>
      </c>
      <c r="G364">
        <f t="shared" si="11"/>
        <v>2023</v>
      </c>
    </row>
    <row r="365" spans="1:7" x14ac:dyDescent="0.25">
      <c r="A365">
        <v>1010901</v>
      </c>
      <c r="B365" s="1">
        <v>44986</v>
      </c>
      <c r="C365" t="s">
        <v>337</v>
      </c>
      <c r="D365" s="6">
        <v>40.799999999999997</v>
      </c>
      <c r="E365" s="9">
        <v>45.88</v>
      </c>
      <c r="F365" t="str">
        <f t="shared" si="10"/>
        <v>março</v>
      </c>
      <c r="G365">
        <f t="shared" si="11"/>
        <v>2023</v>
      </c>
    </row>
    <row r="366" spans="1:7" x14ac:dyDescent="0.25">
      <c r="A366">
        <v>1011000</v>
      </c>
      <c r="B366" s="1">
        <v>44986</v>
      </c>
      <c r="C366" t="s">
        <v>20</v>
      </c>
      <c r="D366" s="6">
        <v>1866.6</v>
      </c>
      <c r="E366" s="9">
        <v>1016.75</v>
      </c>
      <c r="F366" t="str">
        <f t="shared" si="10"/>
        <v>março</v>
      </c>
      <c r="G366">
        <f t="shared" si="11"/>
        <v>2023</v>
      </c>
    </row>
    <row r="367" spans="1:7" x14ac:dyDescent="0.25">
      <c r="A367">
        <v>1011100</v>
      </c>
      <c r="B367" s="1">
        <v>44986</v>
      </c>
      <c r="C367" t="s">
        <v>293</v>
      </c>
      <c r="D367" s="6">
        <v>121.3</v>
      </c>
      <c r="E367" s="9">
        <v>63.4</v>
      </c>
      <c r="F367" t="str">
        <f t="shared" si="10"/>
        <v>março</v>
      </c>
      <c r="G367">
        <f t="shared" si="11"/>
        <v>2023</v>
      </c>
    </row>
    <row r="368" spans="1:7" x14ac:dyDescent="0.25">
      <c r="A368">
        <v>1011200</v>
      </c>
      <c r="B368" s="1">
        <v>44986</v>
      </c>
      <c r="C368" t="s">
        <v>24</v>
      </c>
      <c r="D368" s="6">
        <v>47.66</v>
      </c>
      <c r="E368" s="9">
        <v>65.88</v>
      </c>
      <c r="F368" t="str">
        <f t="shared" si="10"/>
        <v>março</v>
      </c>
      <c r="G368">
        <f t="shared" si="11"/>
        <v>2023</v>
      </c>
    </row>
    <row r="369" spans="1:7" x14ac:dyDescent="0.25">
      <c r="A369">
        <v>1011201</v>
      </c>
      <c r="B369" s="1">
        <v>44986</v>
      </c>
      <c r="C369" t="s">
        <v>338</v>
      </c>
      <c r="D369" s="6">
        <v>119.3</v>
      </c>
      <c r="E369" s="9">
        <v>322.11</v>
      </c>
      <c r="F369" t="str">
        <f t="shared" si="10"/>
        <v>março</v>
      </c>
      <c r="G369">
        <f t="shared" si="11"/>
        <v>2023</v>
      </c>
    </row>
    <row r="370" spans="1:7" x14ac:dyDescent="0.25">
      <c r="A370" t="s">
        <v>339</v>
      </c>
      <c r="B370" s="1">
        <v>44986</v>
      </c>
      <c r="C370" t="s">
        <v>340</v>
      </c>
      <c r="D370" s="6">
        <v>424.7</v>
      </c>
      <c r="E370" s="9">
        <v>169.88</v>
      </c>
      <c r="F370" t="str">
        <f t="shared" si="10"/>
        <v>março</v>
      </c>
      <c r="G370">
        <f t="shared" si="11"/>
        <v>2023</v>
      </c>
    </row>
    <row r="371" spans="1:7" x14ac:dyDescent="0.25">
      <c r="A371" t="s">
        <v>341</v>
      </c>
      <c r="B371" s="1">
        <v>44986</v>
      </c>
      <c r="C371" t="s">
        <v>342</v>
      </c>
      <c r="D371" s="6">
        <v>131.1</v>
      </c>
      <c r="E371" s="9">
        <v>78.66</v>
      </c>
      <c r="F371" t="str">
        <f t="shared" si="10"/>
        <v>março</v>
      </c>
      <c r="G371">
        <f t="shared" si="11"/>
        <v>2023</v>
      </c>
    </row>
    <row r="372" spans="1:7" x14ac:dyDescent="0.25">
      <c r="A372" t="s">
        <v>343</v>
      </c>
      <c r="B372" s="1">
        <v>44986</v>
      </c>
      <c r="C372" t="s">
        <v>344</v>
      </c>
      <c r="D372" s="6">
        <v>96</v>
      </c>
      <c r="E372" s="9">
        <v>163.19999999999999</v>
      </c>
      <c r="F372" t="str">
        <f t="shared" si="10"/>
        <v>março</v>
      </c>
      <c r="G372">
        <f t="shared" si="11"/>
        <v>2023</v>
      </c>
    </row>
    <row r="373" spans="1:7" x14ac:dyDescent="0.25">
      <c r="A373">
        <v>1011300</v>
      </c>
      <c r="B373" s="1">
        <v>44986</v>
      </c>
      <c r="C373" t="s">
        <v>295</v>
      </c>
      <c r="D373" s="6">
        <v>5682.1</v>
      </c>
      <c r="E373" s="9">
        <v>6129.67</v>
      </c>
      <c r="F373" t="str">
        <f t="shared" si="10"/>
        <v>março</v>
      </c>
      <c r="G373">
        <f t="shared" si="11"/>
        <v>2023</v>
      </c>
    </row>
    <row r="374" spans="1:7" x14ac:dyDescent="0.25">
      <c r="A374">
        <v>1011500</v>
      </c>
      <c r="B374" s="1">
        <v>44986</v>
      </c>
      <c r="C374" t="s">
        <v>27</v>
      </c>
      <c r="D374" s="6">
        <v>2401.9699999999998</v>
      </c>
      <c r="E374" s="9">
        <v>1934.44</v>
      </c>
      <c r="F374" t="str">
        <f t="shared" si="10"/>
        <v>março</v>
      </c>
      <c r="G374">
        <f t="shared" si="11"/>
        <v>2023</v>
      </c>
    </row>
    <row r="375" spans="1:7" x14ac:dyDescent="0.25">
      <c r="A375">
        <v>1011501</v>
      </c>
      <c r="B375" s="1">
        <v>44986</v>
      </c>
      <c r="C375" t="s">
        <v>297</v>
      </c>
      <c r="D375" s="6">
        <v>932</v>
      </c>
      <c r="E375" s="9">
        <v>466</v>
      </c>
      <c r="F375" t="str">
        <f t="shared" si="10"/>
        <v>março</v>
      </c>
      <c r="G375">
        <f t="shared" si="11"/>
        <v>2023</v>
      </c>
    </row>
    <row r="376" spans="1:7" x14ac:dyDescent="0.25">
      <c r="A376">
        <v>1011604</v>
      </c>
      <c r="B376" s="1">
        <v>44986</v>
      </c>
      <c r="C376" t="s">
        <v>29</v>
      </c>
      <c r="D376" s="6">
        <v>29450</v>
      </c>
      <c r="E376" s="9">
        <v>2356</v>
      </c>
      <c r="F376" t="str">
        <f t="shared" si="10"/>
        <v>março</v>
      </c>
      <c r="G376">
        <f t="shared" si="11"/>
        <v>2023</v>
      </c>
    </row>
    <row r="377" spans="1:7" x14ac:dyDescent="0.25">
      <c r="A377">
        <v>1011700</v>
      </c>
      <c r="B377" s="1">
        <v>44986</v>
      </c>
      <c r="C377" t="s">
        <v>31</v>
      </c>
      <c r="D377" s="6">
        <v>327.58</v>
      </c>
      <c r="E377" s="9">
        <v>532.34</v>
      </c>
      <c r="F377" t="str">
        <f t="shared" si="10"/>
        <v>março</v>
      </c>
      <c r="G377">
        <f t="shared" si="11"/>
        <v>2023</v>
      </c>
    </row>
    <row r="378" spans="1:7" x14ac:dyDescent="0.25">
      <c r="A378">
        <v>1011800</v>
      </c>
      <c r="B378" s="1">
        <v>44986</v>
      </c>
      <c r="C378" t="s">
        <v>33</v>
      </c>
      <c r="D378" s="6">
        <v>4194.79</v>
      </c>
      <c r="E378" s="9">
        <v>8664.69</v>
      </c>
      <c r="F378" t="str">
        <f t="shared" si="10"/>
        <v>março</v>
      </c>
      <c r="G378">
        <f t="shared" si="11"/>
        <v>2023</v>
      </c>
    </row>
    <row r="379" spans="1:7" x14ac:dyDescent="0.25">
      <c r="A379">
        <v>1011801</v>
      </c>
      <c r="B379" s="1">
        <v>44986</v>
      </c>
      <c r="C379" t="s">
        <v>35</v>
      </c>
      <c r="D379" s="6">
        <v>174.2</v>
      </c>
      <c r="E379" s="9">
        <v>278.72000000000003</v>
      </c>
      <c r="F379" t="str">
        <f t="shared" si="10"/>
        <v>março</v>
      </c>
      <c r="G379">
        <f t="shared" si="11"/>
        <v>2023</v>
      </c>
    </row>
    <row r="380" spans="1:7" x14ac:dyDescent="0.25">
      <c r="A380">
        <v>1011900</v>
      </c>
      <c r="B380" s="1">
        <v>44986</v>
      </c>
      <c r="C380" t="s">
        <v>345</v>
      </c>
      <c r="D380" s="6">
        <v>140.44</v>
      </c>
      <c r="E380" s="9">
        <v>65</v>
      </c>
      <c r="F380" t="str">
        <f t="shared" si="10"/>
        <v>março</v>
      </c>
      <c r="G380">
        <f t="shared" si="11"/>
        <v>2023</v>
      </c>
    </row>
    <row r="381" spans="1:7" x14ac:dyDescent="0.25">
      <c r="A381">
        <v>1012100</v>
      </c>
      <c r="B381" s="1">
        <v>44986</v>
      </c>
      <c r="C381" t="s">
        <v>302</v>
      </c>
      <c r="D381" s="6">
        <v>474</v>
      </c>
      <c r="E381" s="9">
        <v>1327.2</v>
      </c>
      <c r="F381" t="str">
        <f t="shared" si="10"/>
        <v>março</v>
      </c>
      <c r="G381">
        <f t="shared" si="11"/>
        <v>2023</v>
      </c>
    </row>
    <row r="382" spans="1:7" x14ac:dyDescent="0.25">
      <c r="A382">
        <v>1012200</v>
      </c>
      <c r="B382" s="1">
        <v>44986</v>
      </c>
      <c r="C382" t="s">
        <v>39</v>
      </c>
      <c r="D382" s="6">
        <v>765</v>
      </c>
      <c r="E382" s="9">
        <v>1230.01</v>
      </c>
      <c r="F382" t="str">
        <f t="shared" si="10"/>
        <v>março</v>
      </c>
      <c r="G382">
        <f t="shared" si="11"/>
        <v>2023</v>
      </c>
    </row>
    <row r="383" spans="1:7" x14ac:dyDescent="0.25">
      <c r="A383">
        <v>1012201</v>
      </c>
      <c r="B383" s="1">
        <v>44986</v>
      </c>
      <c r="C383" t="s">
        <v>41</v>
      </c>
      <c r="D383" s="6">
        <v>410.2</v>
      </c>
      <c r="E383" s="9">
        <v>859.33</v>
      </c>
      <c r="F383" t="str">
        <f t="shared" si="10"/>
        <v>março</v>
      </c>
      <c r="G383">
        <f t="shared" si="11"/>
        <v>2023</v>
      </c>
    </row>
    <row r="384" spans="1:7" x14ac:dyDescent="0.25">
      <c r="A384">
        <v>1012203</v>
      </c>
      <c r="B384" s="1">
        <v>44986</v>
      </c>
      <c r="C384" t="s">
        <v>43</v>
      </c>
      <c r="D384" s="6">
        <v>1219.1199999999999</v>
      </c>
      <c r="E384" s="9">
        <v>2126.17</v>
      </c>
      <c r="F384" t="str">
        <f t="shared" si="10"/>
        <v>março</v>
      </c>
      <c r="G384">
        <f t="shared" si="11"/>
        <v>2023</v>
      </c>
    </row>
    <row r="385" spans="1:7" x14ac:dyDescent="0.25">
      <c r="A385">
        <v>1012300</v>
      </c>
      <c r="B385" s="1">
        <v>44986</v>
      </c>
      <c r="C385" t="s">
        <v>45</v>
      </c>
      <c r="D385" s="6">
        <v>413</v>
      </c>
      <c r="E385" s="9">
        <v>577.01</v>
      </c>
      <c r="F385" t="str">
        <f t="shared" si="10"/>
        <v>março</v>
      </c>
      <c r="G385">
        <f t="shared" si="11"/>
        <v>2023</v>
      </c>
    </row>
    <row r="386" spans="1:7" x14ac:dyDescent="0.25">
      <c r="A386">
        <v>1012301</v>
      </c>
      <c r="B386" s="1">
        <v>44986</v>
      </c>
      <c r="C386" t="s">
        <v>47</v>
      </c>
      <c r="D386" s="6">
        <v>110</v>
      </c>
      <c r="E386" s="9">
        <v>152.5</v>
      </c>
      <c r="F386" t="str">
        <f t="shared" si="10"/>
        <v>março</v>
      </c>
      <c r="G386">
        <f t="shared" si="11"/>
        <v>2023</v>
      </c>
    </row>
    <row r="387" spans="1:7" x14ac:dyDescent="0.25">
      <c r="A387">
        <v>1012400</v>
      </c>
      <c r="B387" s="1">
        <v>44986</v>
      </c>
      <c r="C387" t="s">
        <v>49</v>
      </c>
      <c r="D387" s="6">
        <v>949.03</v>
      </c>
      <c r="E387" s="9">
        <v>1542.36</v>
      </c>
      <c r="F387" t="str">
        <f t="shared" ref="F387:F450" si="12">TEXT(B387,"mmmm")</f>
        <v>março</v>
      </c>
      <c r="G387">
        <f t="shared" ref="G387:G450" si="13">YEAR(B387)</f>
        <v>2023</v>
      </c>
    </row>
    <row r="388" spans="1:7" x14ac:dyDescent="0.25">
      <c r="A388">
        <v>1012401</v>
      </c>
      <c r="B388" s="1">
        <v>44986</v>
      </c>
      <c r="C388" t="s">
        <v>51</v>
      </c>
      <c r="D388" s="6">
        <v>100</v>
      </c>
      <c r="E388" s="9">
        <v>173.5</v>
      </c>
      <c r="F388" t="str">
        <f t="shared" si="12"/>
        <v>março</v>
      </c>
      <c r="G388">
        <f t="shared" si="13"/>
        <v>2023</v>
      </c>
    </row>
    <row r="389" spans="1:7" x14ac:dyDescent="0.25">
      <c r="A389">
        <v>1012500</v>
      </c>
      <c r="B389" s="1">
        <v>44986</v>
      </c>
      <c r="C389" t="s">
        <v>53</v>
      </c>
      <c r="D389" s="6">
        <v>1301.4000000000001</v>
      </c>
      <c r="E389" s="9">
        <v>518.79</v>
      </c>
      <c r="F389" t="str">
        <f t="shared" si="12"/>
        <v>março</v>
      </c>
      <c r="G389">
        <f t="shared" si="13"/>
        <v>2023</v>
      </c>
    </row>
    <row r="390" spans="1:7" x14ac:dyDescent="0.25">
      <c r="A390">
        <v>1012501</v>
      </c>
      <c r="B390" s="1">
        <v>44986</v>
      </c>
      <c r="C390" t="s">
        <v>388</v>
      </c>
      <c r="D390" s="6">
        <v>564</v>
      </c>
      <c r="E390" s="9">
        <v>253.8</v>
      </c>
      <c r="F390" t="str">
        <f t="shared" si="12"/>
        <v>março</v>
      </c>
      <c r="G390">
        <f t="shared" si="13"/>
        <v>2023</v>
      </c>
    </row>
    <row r="391" spans="1:7" x14ac:dyDescent="0.25">
      <c r="A391">
        <v>1012601</v>
      </c>
      <c r="B391" s="1">
        <v>44986</v>
      </c>
      <c r="C391" t="s">
        <v>55</v>
      </c>
      <c r="D391" s="6">
        <v>186</v>
      </c>
      <c r="E391" s="9">
        <v>186</v>
      </c>
      <c r="F391" t="str">
        <f t="shared" si="12"/>
        <v>março</v>
      </c>
      <c r="G391">
        <f t="shared" si="13"/>
        <v>2023</v>
      </c>
    </row>
    <row r="392" spans="1:7" x14ac:dyDescent="0.25">
      <c r="A392">
        <v>1012800</v>
      </c>
      <c r="B392" s="1">
        <v>44986</v>
      </c>
      <c r="C392" t="s">
        <v>389</v>
      </c>
      <c r="D392" s="6">
        <v>36</v>
      </c>
      <c r="E392" s="9">
        <v>54</v>
      </c>
      <c r="F392" t="str">
        <f t="shared" si="12"/>
        <v>março</v>
      </c>
      <c r="G392">
        <f t="shared" si="13"/>
        <v>2023</v>
      </c>
    </row>
    <row r="393" spans="1:7" x14ac:dyDescent="0.25">
      <c r="A393">
        <v>1012801</v>
      </c>
      <c r="B393" s="1">
        <v>44986</v>
      </c>
      <c r="C393" t="s">
        <v>390</v>
      </c>
      <c r="D393" s="6">
        <v>2489</v>
      </c>
      <c r="E393" s="9">
        <v>2489</v>
      </c>
      <c r="F393" t="str">
        <f t="shared" si="12"/>
        <v>março</v>
      </c>
      <c r="G393">
        <f t="shared" si="13"/>
        <v>2023</v>
      </c>
    </row>
    <row r="394" spans="1:7" x14ac:dyDescent="0.25">
      <c r="A394">
        <v>1013100</v>
      </c>
      <c r="B394" s="1">
        <v>44986</v>
      </c>
      <c r="C394" t="s">
        <v>57</v>
      </c>
      <c r="D394" s="6">
        <v>416.8</v>
      </c>
      <c r="E394" s="9">
        <v>461.75</v>
      </c>
      <c r="F394" t="str">
        <f t="shared" si="12"/>
        <v>março</v>
      </c>
      <c r="G394">
        <f t="shared" si="13"/>
        <v>2023</v>
      </c>
    </row>
    <row r="395" spans="1:7" x14ac:dyDescent="0.25">
      <c r="A395">
        <v>1013101</v>
      </c>
      <c r="B395" s="1">
        <v>44986</v>
      </c>
      <c r="C395" t="s">
        <v>346</v>
      </c>
      <c r="D395" s="6">
        <v>4072</v>
      </c>
      <c r="E395" s="9">
        <v>8744.7000000000007</v>
      </c>
      <c r="F395" t="str">
        <f t="shared" si="12"/>
        <v>março</v>
      </c>
      <c r="G395">
        <f t="shared" si="13"/>
        <v>2023</v>
      </c>
    </row>
    <row r="396" spans="1:7" x14ac:dyDescent="0.25">
      <c r="A396">
        <v>1013200</v>
      </c>
      <c r="B396" s="1">
        <v>44986</v>
      </c>
      <c r="C396" t="s">
        <v>59</v>
      </c>
      <c r="D396" s="6">
        <v>2175.6</v>
      </c>
      <c r="E396" s="9">
        <v>2202.31</v>
      </c>
      <c r="F396" t="str">
        <f t="shared" si="12"/>
        <v>março</v>
      </c>
      <c r="G396">
        <f t="shared" si="13"/>
        <v>2023</v>
      </c>
    </row>
    <row r="397" spans="1:7" x14ac:dyDescent="0.25">
      <c r="A397">
        <v>1013300</v>
      </c>
      <c r="B397" s="1">
        <v>44986</v>
      </c>
      <c r="C397" t="s">
        <v>348</v>
      </c>
      <c r="D397" s="6">
        <v>980.9</v>
      </c>
      <c r="E397" s="9">
        <v>294.27</v>
      </c>
      <c r="F397" t="str">
        <f t="shared" si="12"/>
        <v>março</v>
      </c>
      <c r="G397">
        <f t="shared" si="13"/>
        <v>2023</v>
      </c>
    </row>
    <row r="398" spans="1:7" x14ac:dyDescent="0.25">
      <c r="A398">
        <v>1013500</v>
      </c>
      <c r="B398" s="1">
        <v>44986</v>
      </c>
      <c r="C398" t="s">
        <v>61</v>
      </c>
      <c r="D398" s="6">
        <v>13.7</v>
      </c>
      <c r="E398" s="9">
        <v>6.85</v>
      </c>
      <c r="F398" t="str">
        <f t="shared" si="12"/>
        <v>março</v>
      </c>
      <c r="G398">
        <f t="shared" si="13"/>
        <v>2023</v>
      </c>
    </row>
    <row r="399" spans="1:7" x14ac:dyDescent="0.25">
      <c r="A399">
        <v>1100100</v>
      </c>
      <c r="B399" s="1">
        <v>44986</v>
      </c>
      <c r="C399" t="s">
        <v>63</v>
      </c>
      <c r="D399" s="6">
        <v>56942.05</v>
      </c>
      <c r="E399" s="9">
        <v>166791.72</v>
      </c>
      <c r="F399" t="str">
        <f t="shared" si="12"/>
        <v>março</v>
      </c>
      <c r="G399">
        <f t="shared" si="13"/>
        <v>2023</v>
      </c>
    </row>
    <row r="400" spans="1:7" x14ac:dyDescent="0.25">
      <c r="A400">
        <v>1100101</v>
      </c>
      <c r="B400" s="1">
        <v>44986</v>
      </c>
      <c r="C400" t="s">
        <v>65</v>
      </c>
      <c r="D400" s="6">
        <v>452</v>
      </c>
      <c r="E400" s="9">
        <v>1371.54</v>
      </c>
      <c r="F400" t="str">
        <f t="shared" si="12"/>
        <v>março</v>
      </c>
      <c r="G400">
        <f t="shared" si="13"/>
        <v>2023</v>
      </c>
    </row>
    <row r="401" spans="1:7" x14ac:dyDescent="0.25">
      <c r="A401">
        <v>1100200</v>
      </c>
      <c r="B401" s="1">
        <v>44986</v>
      </c>
      <c r="C401" t="s">
        <v>67</v>
      </c>
      <c r="D401" s="6">
        <v>63319.64</v>
      </c>
      <c r="E401" s="9">
        <v>202994.69</v>
      </c>
      <c r="F401" t="str">
        <f t="shared" si="12"/>
        <v>março</v>
      </c>
      <c r="G401">
        <f t="shared" si="13"/>
        <v>2023</v>
      </c>
    </row>
    <row r="402" spans="1:7" x14ac:dyDescent="0.25">
      <c r="A402">
        <v>1100300</v>
      </c>
      <c r="B402" s="1">
        <v>44986</v>
      </c>
      <c r="C402" t="s">
        <v>69</v>
      </c>
      <c r="D402" s="6">
        <v>14560.8</v>
      </c>
      <c r="E402" s="9">
        <v>46582.720000000001</v>
      </c>
      <c r="F402" t="str">
        <f t="shared" si="12"/>
        <v>março</v>
      </c>
      <c r="G402">
        <f t="shared" si="13"/>
        <v>2023</v>
      </c>
    </row>
    <row r="403" spans="1:7" x14ac:dyDescent="0.25">
      <c r="A403">
        <v>1100301</v>
      </c>
      <c r="B403" s="1">
        <v>44986</v>
      </c>
      <c r="C403" t="s">
        <v>71</v>
      </c>
      <c r="D403" s="6">
        <v>2850</v>
      </c>
      <c r="E403" s="9">
        <v>9506.01</v>
      </c>
      <c r="F403" t="str">
        <f t="shared" si="12"/>
        <v>março</v>
      </c>
      <c r="G403">
        <f t="shared" si="13"/>
        <v>2023</v>
      </c>
    </row>
    <row r="404" spans="1:7" x14ac:dyDescent="0.25">
      <c r="A404">
        <v>1100400</v>
      </c>
      <c r="B404" s="1">
        <v>44986</v>
      </c>
      <c r="C404" t="s">
        <v>73</v>
      </c>
      <c r="D404" s="6">
        <v>5194.72</v>
      </c>
      <c r="E404" s="9">
        <v>16325.74</v>
      </c>
      <c r="F404" t="str">
        <f t="shared" si="12"/>
        <v>março</v>
      </c>
      <c r="G404">
        <f t="shared" si="13"/>
        <v>2023</v>
      </c>
    </row>
    <row r="405" spans="1:7" x14ac:dyDescent="0.25">
      <c r="A405">
        <v>1100500</v>
      </c>
      <c r="B405" s="1">
        <v>44986</v>
      </c>
      <c r="C405" t="s">
        <v>75</v>
      </c>
      <c r="D405" s="6">
        <v>124.9</v>
      </c>
      <c r="E405" s="9">
        <v>428.96</v>
      </c>
      <c r="F405" t="str">
        <f t="shared" si="12"/>
        <v>março</v>
      </c>
      <c r="G405">
        <f t="shared" si="13"/>
        <v>2023</v>
      </c>
    </row>
    <row r="406" spans="1:7" x14ac:dyDescent="0.25">
      <c r="A406">
        <v>1100600</v>
      </c>
      <c r="B406" s="1">
        <v>44986</v>
      </c>
      <c r="C406" t="s">
        <v>77</v>
      </c>
      <c r="D406" s="6">
        <v>5312.99</v>
      </c>
      <c r="E406" s="9">
        <v>19287.490000000002</v>
      </c>
      <c r="F406" t="str">
        <f t="shared" si="12"/>
        <v>março</v>
      </c>
      <c r="G406">
        <f t="shared" si="13"/>
        <v>2023</v>
      </c>
    </row>
    <row r="407" spans="1:7" x14ac:dyDescent="0.25">
      <c r="A407">
        <v>1100602</v>
      </c>
      <c r="B407" s="1">
        <v>44986</v>
      </c>
      <c r="C407" t="s">
        <v>79</v>
      </c>
      <c r="D407" s="6">
        <v>403.8</v>
      </c>
      <c r="E407" s="9">
        <v>1929.95</v>
      </c>
      <c r="F407" t="str">
        <f t="shared" si="12"/>
        <v>março</v>
      </c>
      <c r="G407">
        <f t="shared" si="13"/>
        <v>2023</v>
      </c>
    </row>
    <row r="408" spans="1:7" x14ac:dyDescent="0.25">
      <c r="A408">
        <v>1100603</v>
      </c>
      <c r="B408" s="1">
        <v>44986</v>
      </c>
      <c r="C408" t="s">
        <v>304</v>
      </c>
      <c r="D408" s="6">
        <v>170</v>
      </c>
      <c r="E408" s="9">
        <v>831.2</v>
      </c>
      <c r="F408" t="str">
        <f t="shared" si="12"/>
        <v>março</v>
      </c>
      <c r="G408">
        <f t="shared" si="13"/>
        <v>2023</v>
      </c>
    </row>
    <row r="409" spans="1:7" x14ac:dyDescent="0.25">
      <c r="A409">
        <v>1100608</v>
      </c>
      <c r="B409" s="1">
        <v>44986</v>
      </c>
      <c r="C409" t="s">
        <v>349</v>
      </c>
      <c r="D409" s="6">
        <v>3130.77</v>
      </c>
      <c r="E409" s="9">
        <v>10891.81</v>
      </c>
      <c r="F409" t="str">
        <f t="shared" si="12"/>
        <v>março</v>
      </c>
      <c r="G409">
        <f t="shared" si="13"/>
        <v>2023</v>
      </c>
    </row>
    <row r="410" spans="1:7" x14ac:dyDescent="0.25">
      <c r="A410">
        <v>1100700</v>
      </c>
      <c r="B410" s="1">
        <v>44986</v>
      </c>
      <c r="C410" t="s">
        <v>83</v>
      </c>
      <c r="D410" s="6">
        <v>7454.15</v>
      </c>
      <c r="E410" s="9">
        <v>25741.39</v>
      </c>
      <c r="F410" t="str">
        <f t="shared" si="12"/>
        <v>março</v>
      </c>
      <c r="G410">
        <f t="shared" si="13"/>
        <v>2023</v>
      </c>
    </row>
    <row r="411" spans="1:7" x14ac:dyDescent="0.25">
      <c r="A411">
        <v>1100701</v>
      </c>
      <c r="B411" s="1">
        <v>44986</v>
      </c>
      <c r="C411" t="s">
        <v>84</v>
      </c>
      <c r="D411" s="6">
        <v>8</v>
      </c>
      <c r="E411" s="9">
        <v>42.96</v>
      </c>
      <c r="F411" t="str">
        <f t="shared" si="12"/>
        <v>março</v>
      </c>
      <c r="G411">
        <f t="shared" si="13"/>
        <v>2023</v>
      </c>
    </row>
    <row r="412" spans="1:7" x14ac:dyDescent="0.25">
      <c r="A412">
        <v>1100703</v>
      </c>
      <c r="B412" s="1">
        <v>44986</v>
      </c>
      <c r="C412" t="s">
        <v>86</v>
      </c>
      <c r="D412" s="6">
        <v>2302.54</v>
      </c>
      <c r="E412" s="9">
        <v>9237.6299999999992</v>
      </c>
      <c r="F412" t="str">
        <f t="shared" si="12"/>
        <v>março</v>
      </c>
      <c r="G412">
        <f t="shared" si="13"/>
        <v>2023</v>
      </c>
    </row>
    <row r="413" spans="1:7" x14ac:dyDescent="0.25">
      <c r="A413">
        <v>1100705</v>
      </c>
      <c r="B413" s="1">
        <v>44986</v>
      </c>
      <c r="C413" t="s">
        <v>88</v>
      </c>
      <c r="D413" s="6">
        <v>201.2</v>
      </c>
      <c r="E413" s="9">
        <v>302.95</v>
      </c>
      <c r="F413" t="str">
        <f t="shared" si="12"/>
        <v>março</v>
      </c>
      <c r="G413">
        <f t="shared" si="13"/>
        <v>2023</v>
      </c>
    </row>
    <row r="414" spans="1:7" x14ac:dyDescent="0.25">
      <c r="A414">
        <v>1100800</v>
      </c>
      <c r="B414" s="1">
        <v>44986</v>
      </c>
      <c r="C414" t="s">
        <v>90</v>
      </c>
      <c r="D414" s="6">
        <v>19661.04</v>
      </c>
      <c r="E414" s="9">
        <v>65017.65</v>
      </c>
      <c r="F414" t="str">
        <f t="shared" si="12"/>
        <v>março</v>
      </c>
      <c r="G414">
        <f t="shared" si="13"/>
        <v>2023</v>
      </c>
    </row>
    <row r="415" spans="1:7" x14ac:dyDescent="0.25">
      <c r="A415">
        <v>1100802</v>
      </c>
      <c r="B415" s="1">
        <v>44986</v>
      </c>
      <c r="C415" t="s">
        <v>306</v>
      </c>
      <c r="D415" s="6">
        <v>242.67</v>
      </c>
      <c r="E415" s="9">
        <v>837.17</v>
      </c>
      <c r="F415" t="str">
        <f t="shared" si="12"/>
        <v>março</v>
      </c>
      <c r="G415">
        <f t="shared" si="13"/>
        <v>2023</v>
      </c>
    </row>
    <row r="416" spans="1:7" x14ac:dyDescent="0.25">
      <c r="A416">
        <v>1100900</v>
      </c>
      <c r="B416" s="1">
        <v>44986</v>
      </c>
      <c r="C416" t="s">
        <v>94</v>
      </c>
      <c r="D416" s="6">
        <v>694.82</v>
      </c>
      <c r="E416" s="9">
        <v>4557.04</v>
      </c>
      <c r="F416" t="str">
        <f t="shared" si="12"/>
        <v>março</v>
      </c>
      <c r="G416">
        <f t="shared" si="13"/>
        <v>2023</v>
      </c>
    </row>
    <row r="417" spans="1:7" x14ac:dyDescent="0.25">
      <c r="A417">
        <v>1101000</v>
      </c>
      <c r="B417" s="1">
        <v>44986</v>
      </c>
      <c r="C417" t="s">
        <v>96</v>
      </c>
      <c r="D417" s="6">
        <v>10875</v>
      </c>
      <c r="E417" s="9">
        <v>41225.67</v>
      </c>
      <c r="F417" t="str">
        <f t="shared" si="12"/>
        <v>março</v>
      </c>
      <c r="G417">
        <f t="shared" si="13"/>
        <v>2023</v>
      </c>
    </row>
    <row r="418" spans="1:7" x14ac:dyDescent="0.25">
      <c r="A418">
        <v>1101001</v>
      </c>
      <c r="B418" s="1">
        <v>44986</v>
      </c>
      <c r="C418" t="s">
        <v>98</v>
      </c>
      <c r="D418" s="6">
        <v>590.23</v>
      </c>
      <c r="E418" s="9">
        <v>2402.2399999999998</v>
      </c>
      <c r="F418" t="str">
        <f t="shared" si="12"/>
        <v>março</v>
      </c>
      <c r="G418">
        <f t="shared" si="13"/>
        <v>2023</v>
      </c>
    </row>
    <row r="419" spans="1:7" x14ac:dyDescent="0.25">
      <c r="A419">
        <v>1101100</v>
      </c>
      <c r="B419" s="1">
        <v>44986</v>
      </c>
      <c r="C419" t="s">
        <v>100</v>
      </c>
      <c r="D419" s="6">
        <v>33484.75</v>
      </c>
      <c r="E419" s="9">
        <v>126307.02</v>
      </c>
      <c r="F419" t="str">
        <f t="shared" si="12"/>
        <v>março</v>
      </c>
      <c r="G419">
        <f t="shared" si="13"/>
        <v>2023</v>
      </c>
    </row>
    <row r="420" spans="1:7" x14ac:dyDescent="0.25">
      <c r="A420">
        <v>1101300</v>
      </c>
      <c r="B420" s="1">
        <v>44986</v>
      </c>
      <c r="C420" t="s">
        <v>102</v>
      </c>
      <c r="D420" s="6">
        <v>98.8</v>
      </c>
      <c r="E420" s="9">
        <v>536.04</v>
      </c>
      <c r="F420" t="str">
        <f t="shared" si="12"/>
        <v>março</v>
      </c>
      <c r="G420">
        <f t="shared" si="13"/>
        <v>2023</v>
      </c>
    </row>
    <row r="421" spans="1:7" x14ac:dyDescent="0.25">
      <c r="A421">
        <v>1101400</v>
      </c>
      <c r="B421" s="1">
        <v>44986</v>
      </c>
      <c r="C421" t="s">
        <v>104</v>
      </c>
      <c r="D421" s="6">
        <v>19785.77</v>
      </c>
      <c r="E421" s="9">
        <v>58204.83</v>
      </c>
      <c r="F421" t="str">
        <f t="shared" si="12"/>
        <v>março</v>
      </c>
      <c r="G421">
        <f t="shared" si="13"/>
        <v>2023</v>
      </c>
    </row>
    <row r="422" spans="1:7" x14ac:dyDescent="0.25">
      <c r="A422">
        <v>1101500</v>
      </c>
      <c r="B422" s="1">
        <v>44986</v>
      </c>
      <c r="C422" t="s">
        <v>106</v>
      </c>
      <c r="D422" s="6">
        <v>534.66</v>
      </c>
      <c r="E422" s="9">
        <v>1608.66</v>
      </c>
      <c r="F422" t="str">
        <f t="shared" si="12"/>
        <v>março</v>
      </c>
      <c r="G422">
        <f t="shared" si="13"/>
        <v>2023</v>
      </c>
    </row>
    <row r="423" spans="1:7" x14ac:dyDescent="0.25">
      <c r="A423">
        <v>1101600</v>
      </c>
      <c r="B423" s="1">
        <v>44986</v>
      </c>
      <c r="C423" t="s">
        <v>108</v>
      </c>
      <c r="D423" s="6">
        <v>120.2</v>
      </c>
      <c r="E423" s="9">
        <v>359.2</v>
      </c>
      <c r="F423" t="str">
        <f t="shared" si="12"/>
        <v>março</v>
      </c>
      <c r="G423">
        <f t="shared" si="13"/>
        <v>2023</v>
      </c>
    </row>
    <row r="424" spans="1:7" x14ac:dyDescent="0.25">
      <c r="A424">
        <v>1101700</v>
      </c>
      <c r="B424" s="1">
        <v>44986</v>
      </c>
      <c r="C424" t="s">
        <v>110</v>
      </c>
      <c r="D424" s="6">
        <v>8250.5</v>
      </c>
      <c r="E424" s="9">
        <v>23897.279999999999</v>
      </c>
      <c r="F424" t="str">
        <f t="shared" si="12"/>
        <v>março</v>
      </c>
      <c r="G424">
        <f t="shared" si="13"/>
        <v>2023</v>
      </c>
    </row>
    <row r="425" spans="1:7" x14ac:dyDescent="0.25">
      <c r="A425">
        <v>1101801</v>
      </c>
      <c r="B425" s="1">
        <v>44986</v>
      </c>
      <c r="C425" t="s">
        <v>112</v>
      </c>
      <c r="D425" s="6">
        <v>5930.21</v>
      </c>
      <c r="E425" s="9">
        <v>16368.96</v>
      </c>
      <c r="F425" t="str">
        <f t="shared" si="12"/>
        <v>março</v>
      </c>
      <c r="G425">
        <f t="shared" si="13"/>
        <v>2023</v>
      </c>
    </row>
    <row r="426" spans="1:7" x14ac:dyDescent="0.25">
      <c r="A426">
        <v>1101900</v>
      </c>
      <c r="B426" s="1">
        <v>44986</v>
      </c>
      <c r="C426" t="s">
        <v>114</v>
      </c>
      <c r="D426" s="6">
        <v>3531.24</v>
      </c>
      <c r="E426" s="9">
        <v>12807.94</v>
      </c>
      <c r="F426" t="str">
        <f t="shared" si="12"/>
        <v>março</v>
      </c>
      <c r="G426">
        <f t="shared" si="13"/>
        <v>2023</v>
      </c>
    </row>
    <row r="427" spans="1:7" x14ac:dyDescent="0.25">
      <c r="A427">
        <v>1101902</v>
      </c>
      <c r="B427" s="1">
        <v>44986</v>
      </c>
      <c r="C427" t="s">
        <v>351</v>
      </c>
      <c r="D427" s="6">
        <v>1841.17</v>
      </c>
      <c r="E427" s="9">
        <v>7340.62</v>
      </c>
      <c r="F427" t="str">
        <f t="shared" si="12"/>
        <v>março</v>
      </c>
      <c r="G427">
        <f t="shared" si="13"/>
        <v>2023</v>
      </c>
    </row>
    <row r="428" spans="1:7" x14ac:dyDescent="0.25">
      <c r="A428">
        <v>1102000</v>
      </c>
      <c r="B428" s="1">
        <v>44986</v>
      </c>
      <c r="C428" t="s">
        <v>115</v>
      </c>
      <c r="D428" s="6">
        <v>43.1</v>
      </c>
      <c r="E428" s="9">
        <v>185.33</v>
      </c>
      <c r="F428" t="str">
        <f t="shared" si="12"/>
        <v>março</v>
      </c>
      <c r="G428">
        <f t="shared" si="13"/>
        <v>2023</v>
      </c>
    </row>
    <row r="429" spans="1:7" x14ac:dyDescent="0.25">
      <c r="A429">
        <v>1102200</v>
      </c>
      <c r="B429" s="1">
        <v>44986</v>
      </c>
      <c r="C429" t="s">
        <v>117</v>
      </c>
      <c r="D429" s="6">
        <v>204.2</v>
      </c>
      <c r="E429" s="9">
        <v>728.19</v>
      </c>
      <c r="F429" t="str">
        <f t="shared" si="12"/>
        <v>março</v>
      </c>
      <c r="G429">
        <f t="shared" si="13"/>
        <v>2023</v>
      </c>
    </row>
    <row r="430" spans="1:7" x14ac:dyDescent="0.25">
      <c r="A430">
        <v>1102300</v>
      </c>
      <c r="B430" s="1">
        <v>44986</v>
      </c>
      <c r="C430" t="s">
        <v>119</v>
      </c>
      <c r="D430" s="6">
        <v>5439.1</v>
      </c>
      <c r="E430" s="9">
        <v>16924.28</v>
      </c>
      <c r="F430" t="str">
        <f t="shared" si="12"/>
        <v>março</v>
      </c>
      <c r="G430">
        <f t="shared" si="13"/>
        <v>2023</v>
      </c>
    </row>
    <row r="431" spans="1:7" x14ac:dyDescent="0.25">
      <c r="A431">
        <v>1103000</v>
      </c>
      <c r="B431" s="1">
        <v>44986</v>
      </c>
      <c r="C431" t="s">
        <v>121</v>
      </c>
      <c r="D431" s="6">
        <v>1442.58</v>
      </c>
      <c r="E431" s="9">
        <v>2737.34</v>
      </c>
      <c r="F431" t="str">
        <f t="shared" si="12"/>
        <v>março</v>
      </c>
      <c r="G431">
        <f t="shared" si="13"/>
        <v>2023</v>
      </c>
    </row>
    <row r="432" spans="1:7" x14ac:dyDescent="0.25">
      <c r="A432">
        <v>2010900</v>
      </c>
      <c r="B432" s="1">
        <v>44986</v>
      </c>
      <c r="C432" t="s">
        <v>125</v>
      </c>
      <c r="D432" s="6">
        <v>150</v>
      </c>
      <c r="E432" s="9">
        <v>210</v>
      </c>
      <c r="F432" t="str">
        <f t="shared" si="12"/>
        <v>março</v>
      </c>
      <c r="G432">
        <f t="shared" si="13"/>
        <v>2023</v>
      </c>
    </row>
    <row r="433" spans="1:7" x14ac:dyDescent="0.25">
      <c r="A433">
        <v>2010902</v>
      </c>
      <c r="B433" s="1">
        <v>44986</v>
      </c>
      <c r="C433" t="s">
        <v>127</v>
      </c>
      <c r="D433" s="6">
        <v>240</v>
      </c>
      <c r="E433" s="9">
        <v>169</v>
      </c>
      <c r="F433" t="str">
        <f t="shared" si="12"/>
        <v>março</v>
      </c>
      <c r="G433">
        <f t="shared" si="13"/>
        <v>2023</v>
      </c>
    </row>
    <row r="434" spans="1:7" x14ac:dyDescent="0.25">
      <c r="A434">
        <v>2011700</v>
      </c>
      <c r="B434" s="1">
        <v>44986</v>
      </c>
      <c r="C434" t="s">
        <v>129</v>
      </c>
      <c r="D434" s="6">
        <v>31.1</v>
      </c>
      <c r="E434" s="9">
        <v>91.65</v>
      </c>
      <c r="F434" t="str">
        <f t="shared" si="12"/>
        <v>março</v>
      </c>
      <c r="G434">
        <f t="shared" si="13"/>
        <v>2023</v>
      </c>
    </row>
    <row r="435" spans="1:7" x14ac:dyDescent="0.25">
      <c r="A435">
        <v>3020103</v>
      </c>
      <c r="B435" s="1">
        <v>44986</v>
      </c>
      <c r="C435" t="s">
        <v>131</v>
      </c>
      <c r="D435" s="6">
        <v>6138.86</v>
      </c>
      <c r="E435" s="9">
        <v>19775.28</v>
      </c>
      <c r="F435" t="str">
        <f t="shared" si="12"/>
        <v>março</v>
      </c>
      <c r="G435">
        <f t="shared" si="13"/>
        <v>2023</v>
      </c>
    </row>
    <row r="436" spans="1:7" x14ac:dyDescent="0.25">
      <c r="A436">
        <v>3020212</v>
      </c>
      <c r="B436" s="1">
        <v>44986</v>
      </c>
      <c r="C436" t="s">
        <v>133</v>
      </c>
      <c r="D436" s="6">
        <v>1299.75</v>
      </c>
      <c r="E436" s="9">
        <v>5001.03</v>
      </c>
      <c r="F436" t="str">
        <f t="shared" si="12"/>
        <v>março</v>
      </c>
      <c r="G436">
        <f t="shared" si="13"/>
        <v>2023</v>
      </c>
    </row>
    <row r="437" spans="1:7" x14ac:dyDescent="0.25">
      <c r="A437">
        <v>3020214</v>
      </c>
      <c r="B437" s="1">
        <v>44986</v>
      </c>
      <c r="C437" t="s">
        <v>135</v>
      </c>
      <c r="D437" s="6">
        <v>532.5</v>
      </c>
      <c r="E437" s="9">
        <v>1968.81</v>
      </c>
      <c r="F437" t="str">
        <f t="shared" si="12"/>
        <v>março</v>
      </c>
      <c r="G437">
        <f t="shared" si="13"/>
        <v>2023</v>
      </c>
    </row>
    <row r="438" spans="1:7" x14ac:dyDescent="0.25">
      <c r="A438">
        <v>3020315</v>
      </c>
      <c r="B438" s="1">
        <v>44986</v>
      </c>
      <c r="C438" t="s">
        <v>137</v>
      </c>
      <c r="D438" s="6">
        <v>2210.92</v>
      </c>
      <c r="E438" s="9">
        <v>8235.92</v>
      </c>
      <c r="F438" t="str">
        <f t="shared" si="12"/>
        <v>março</v>
      </c>
      <c r="G438">
        <f t="shared" si="13"/>
        <v>2023</v>
      </c>
    </row>
    <row r="439" spans="1:7" x14ac:dyDescent="0.25">
      <c r="A439">
        <v>3020316</v>
      </c>
      <c r="B439" s="1">
        <v>44986</v>
      </c>
      <c r="C439" t="s">
        <v>139</v>
      </c>
      <c r="D439" s="6">
        <v>416.28</v>
      </c>
      <c r="E439" s="9">
        <v>1430.23</v>
      </c>
      <c r="F439" t="str">
        <f t="shared" si="12"/>
        <v>março</v>
      </c>
      <c r="G439">
        <f t="shared" si="13"/>
        <v>2023</v>
      </c>
    </row>
    <row r="440" spans="1:7" x14ac:dyDescent="0.25">
      <c r="A440">
        <v>3020402</v>
      </c>
      <c r="B440" s="1">
        <v>44986</v>
      </c>
      <c r="C440" t="s">
        <v>141</v>
      </c>
      <c r="D440" s="6">
        <v>1684.31</v>
      </c>
      <c r="E440" s="9">
        <v>5953.19</v>
      </c>
      <c r="F440" t="str">
        <f t="shared" si="12"/>
        <v>março</v>
      </c>
      <c r="G440">
        <f t="shared" si="13"/>
        <v>2023</v>
      </c>
    </row>
    <row r="441" spans="1:7" x14ac:dyDescent="0.25">
      <c r="A441">
        <v>3020504</v>
      </c>
      <c r="B441" s="1">
        <v>44986</v>
      </c>
      <c r="C441" t="s">
        <v>143</v>
      </c>
      <c r="D441" s="6">
        <v>536.61</v>
      </c>
      <c r="E441" s="9">
        <v>2045.31</v>
      </c>
      <c r="F441" t="str">
        <f t="shared" si="12"/>
        <v>março</v>
      </c>
      <c r="G441">
        <f t="shared" si="13"/>
        <v>2023</v>
      </c>
    </row>
    <row r="442" spans="1:7" x14ac:dyDescent="0.25">
      <c r="A442">
        <v>3020622</v>
      </c>
      <c r="B442" s="1">
        <v>44986</v>
      </c>
      <c r="C442" t="s">
        <v>145</v>
      </c>
      <c r="D442" s="6">
        <v>4986.49</v>
      </c>
      <c r="E442" s="9">
        <v>18249.66</v>
      </c>
      <c r="F442" t="str">
        <f t="shared" si="12"/>
        <v>março</v>
      </c>
      <c r="G442">
        <f t="shared" si="13"/>
        <v>2023</v>
      </c>
    </row>
    <row r="443" spans="1:7" x14ac:dyDescent="0.25">
      <c r="A443">
        <v>3020623</v>
      </c>
      <c r="B443" s="1">
        <v>44986</v>
      </c>
      <c r="C443" t="s">
        <v>147</v>
      </c>
      <c r="D443" s="6">
        <v>1093.93</v>
      </c>
      <c r="E443" s="9">
        <v>4215.99</v>
      </c>
      <c r="F443" t="str">
        <f t="shared" si="12"/>
        <v>março</v>
      </c>
      <c r="G443">
        <f t="shared" si="13"/>
        <v>2023</v>
      </c>
    </row>
    <row r="444" spans="1:7" x14ac:dyDescent="0.25">
      <c r="A444">
        <v>3020725</v>
      </c>
      <c r="B444" s="1">
        <v>44986</v>
      </c>
      <c r="C444" t="s">
        <v>149</v>
      </c>
      <c r="D444" s="6">
        <v>459.51</v>
      </c>
      <c r="E444" s="9">
        <v>1814.07</v>
      </c>
      <c r="F444" t="str">
        <f t="shared" si="12"/>
        <v>março</v>
      </c>
      <c r="G444">
        <f t="shared" si="13"/>
        <v>2023</v>
      </c>
    </row>
    <row r="445" spans="1:7" x14ac:dyDescent="0.25">
      <c r="A445">
        <v>3020823</v>
      </c>
      <c r="B445" s="1">
        <v>44986</v>
      </c>
      <c r="C445" t="s">
        <v>151</v>
      </c>
      <c r="D445" s="6">
        <v>1726.59</v>
      </c>
      <c r="E445" s="9">
        <v>6596.66</v>
      </c>
      <c r="F445" t="str">
        <f t="shared" si="12"/>
        <v>março</v>
      </c>
      <c r="G445">
        <f t="shared" si="13"/>
        <v>2023</v>
      </c>
    </row>
    <row r="446" spans="1:7" x14ac:dyDescent="0.25">
      <c r="A446">
        <v>3020824</v>
      </c>
      <c r="B446" s="1">
        <v>44986</v>
      </c>
      <c r="C446" t="s">
        <v>153</v>
      </c>
      <c r="D446" s="6">
        <v>2435.4899999999998</v>
      </c>
      <c r="E446" s="9">
        <v>8843.66</v>
      </c>
      <c r="F446" t="str">
        <f t="shared" si="12"/>
        <v>março</v>
      </c>
      <c r="G446">
        <f t="shared" si="13"/>
        <v>2023</v>
      </c>
    </row>
    <row r="447" spans="1:7" x14ac:dyDescent="0.25">
      <c r="A447">
        <v>3020924</v>
      </c>
      <c r="B447" s="1">
        <v>44986</v>
      </c>
      <c r="C447" t="s">
        <v>155</v>
      </c>
      <c r="D447" s="6">
        <v>1284.72</v>
      </c>
      <c r="E447" s="9">
        <v>5008.8599999999997</v>
      </c>
      <c r="F447" t="str">
        <f t="shared" si="12"/>
        <v>março</v>
      </c>
      <c r="G447">
        <f t="shared" si="13"/>
        <v>2023</v>
      </c>
    </row>
    <row r="448" spans="1:7" x14ac:dyDescent="0.25">
      <c r="A448">
        <v>3020925</v>
      </c>
      <c r="B448" s="1">
        <v>44986</v>
      </c>
      <c r="C448" t="s">
        <v>157</v>
      </c>
      <c r="D448" s="6">
        <v>1915.96</v>
      </c>
      <c r="E448" s="9">
        <v>7255.87</v>
      </c>
      <c r="F448" t="str">
        <f t="shared" si="12"/>
        <v>março</v>
      </c>
      <c r="G448">
        <f t="shared" si="13"/>
        <v>2023</v>
      </c>
    </row>
    <row r="449" spans="1:7" x14ac:dyDescent="0.25">
      <c r="A449">
        <v>3021435</v>
      </c>
      <c r="B449" s="1">
        <v>44986</v>
      </c>
      <c r="C449" t="s">
        <v>159</v>
      </c>
      <c r="D449" s="6">
        <v>485.47</v>
      </c>
      <c r="E449" s="9">
        <v>1567.03</v>
      </c>
      <c r="F449" t="str">
        <f t="shared" si="12"/>
        <v>março</v>
      </c>
      <c r="G449">
        <f t="shared" si="13"/>
        <v>2023</v>
      </c>
    </row>
    <row r="450" spans="1:7" x14ac:dyDescent="0.25">
      <c r="A450">
        <v>3021537</v>
      </c>
      <c r="B450" s="1">
        <v>44986</v>
      </c>
      <c r="C450" t="s">
        <v>161</v>
      </c>
      <c r="D450" s="6">
        <v>60.45</v>
      </c>
      <c r="E450" s="9">
        <v>197.22</v>
      </c>
      <c r="F450" t="str">
        <f t="shared" si="12"/>
        <v>março</v>
      </c>
      <c r="G450">
        <f t="shared" si="13"/>
        <v>2023</v>
      </c>
    </row>
    <row r="451" spans="1:7" x14ac:dyDescent="0.25">
      <c r="A451">
        <v>3021638</v>
      </c>
      <c r="B451" s="1">
        <v>44986</v>
      </c>
      <c r="C451" t="s">
        <v>163</v>
      </c>
      <c r="D451" s="6">
        <v>53.77</v>
      </c>
      <c r="E451" s="9">
        <v>184.12</v>
      </c>
      <c r="F451" t="str">
        <f t="shared" ref="F451:F514" si="14">TEXT(B451,"mmmm")</f>
        <v>março</v>
      </c>
      <c r="G451">
        <f t="shared" ref="G451:G514" si="15">YEAR(B451)</f>
        <v>2023</v>
      </c>
    </row>
    <row r="452" spans="1:7" x14ac:dyDescent="0.25">
      <c r="A452">
        <v>3021739</v>
      </c>
      <c r="B452" s="1">
        <v>44986</v>
      </c>
      <c r="C452" t="s">
        <v>165</v>
      </c>
      <c r="D452" s="6">
        <v>304.73</v>
      </c>
      <c r="E452" s="9">
        <v>915.47</v>
      </c>
      <c r="F452" t="str">
        <f t="shared" si="14"/>
        <v>março</v>
      </c>
      <c r="G452">
        <f t="shared" si="15"/>
        <v>2023</v>
      </c>
    </row>
    <row r="453" spans="1:7" x14ac:dyDescent="0.25">
      <c r="A453">
        <v>3021760</v>
      </c>
      <c r="B453" s="1">
        <v>44986</v>
      </c>
      <c r="C453" t="s">
        <v>167</v>
      </c>
      <c r="D453" s="6">
        <v>1746.9</v>
      </c>
      <c r="E453" s="9">
        <v>4296.8900000000003</v>
      </c>
      <c r="F453" t="str">
        <f t="shared" si="14"/>
        <v>março</v>
      </c>
      <c r="G453">
        <f t="shared" si="15"/>
        <v>2023</v>
      </c>
    </row>
    <row r="454" spans="1:7" x14ac:dyDescent="0.25">
      <c r="A454">
        <v>3021811</v>
      </c>
      <c r="B454" s="1">
        <v>44986</v>
      </c>
      <c r="C454" t="s">
        <v>169</v>
      </c>
      <c r="D454" s="6">
        <v>489.5</v>
      </c>
      <c r="E454" s="9">
        <v>1231.67</v>
      </c>
      <c r="F454" t="str">
        <f t="shared" si="14"/>
        <v>março</v>
      </c>
      <c r="G454">
        <f t="shared" si="15"/>
        <v>2023</v>
      </c>
    </row>
    <row r="455" spans="1:7" x14ac:dyDescent="0.25">
      <c r="A455">
        <v>3021812</v>
      </c>
      <c r="B455" s="1">
        <v>44986</v>
      </c>
      <c r="C455" t="s">
        <v>171</v>
      </c>
      <c r="D455" s="6">
        <v>823.5</v>
      </c>
      <c r="E455" s="9">
        <v>1940.21</v>
      </c>
      <c r="F455" t="str">
        <f t="shared" si="14"/>
        <v>março</v>
      </c>
      <c r="G455">
        <f t="shared" si="15"/>
        <v>2023</v>
      </c>
    </row>
    <row r="456" spans="1:7" x14ac:dyDescent="0.25">
      <c r="A456">
        <v>3022100</v>
      </c>
      <c r="B456" s="1">
        <v>44986</v>
      </c>
      <c r="C456" t="s">
        <v>173</v>
      </c>
      <c r="D456" s="6">
        <v>69.2</v>
      </c>
      <c r="E456" s="9">
        <v>271.41000000000003</v>
      </c>
      <c r="F456" t="str">
        <f t="shared" si="14"/>
        <v>março</v>
      </c>
      <c r="G456">
        <f t="shared" si="15"/>
        <v>2023</v>
      </c>
    </row>
    <row r="457" spans="1:7" x14ac:dyDescent="0.25">
      <c r="A457">
        <v>3022208</v>
      </c>
      <c r="B457" s="1">
        <v>44986</v>
      </c>
      <c r="C457" t="s">
        <v>307</v>
      </c>
      <c r="D457" s="6">
        <v>179.95</v>
      </c>
      <c r="E457" s="9">
        <v>693.76</v>
      </c>
      <c r="F457" t="str">
        <f t="shared" si="14"/>
        <v>março</v>
      </c>
      <c r="G457">
        <f t="shared" si="15"/>
        <v>2023</v>
      </c>
    </row>
    <row r="458" spans="1:7" x14ac:dyDescent="0.25">
      <c r="A458">
        <v>3022311</v>
      </c>
      <c r="B458" s="1">
        <v>44986</v>
      </c>
      <c r="C458" t="s">
        <v>176</v>
      </c>
      <c r="D458" s="6">
        <v>2246.75</v>
      </c>
      <c r="E458" s="9">
        <v>5363.9</v>
      </c>
      <c r="F458" t="str">
        <f t="shared" si="14"/>
        <v>março</v>
      </c>
      <c r="G458">
        <f t="shared" si="15"/>
        <v>2023</v>
      </c>
    </row>
    <row r="459" spans="1:7" x14ac:dyDescent="0.25">
      <c r="A459">
        <v>3022312</v>
      </c>
      <c r="B459" s="1">
        <v>44986</v>
      </c>
      <c r="C459" t="s">
        <v>308</v>
      </c>
      <c r="D459" s="6">
        <v>117.43</v>
      </c>
      <c r="E459" s="9">
        <v>328.82</v>
      </c>
      <c r="F459" t="str">
        <f t="shared" si="14"/>
        <v>março</v>
      </c>
      <c r="G459">
        <f t="shared" si="15"/>
        <v>2023</v>
      </c>
    </row>
    <row r="460" spans="1:7" x14ac:dyDescent="0.25">
      <c r="A460">
        <v>3022411</v>
      </c>
      <c r="B460" s="1">
        <v>44986</v>
      </c>
      <c r="C460" t="s">
        <v>178</v>
      </c>
      <c r="D460" s="6">
        <v>117.96</v>
      </c>
      <c r="E460" s="9">
        <v>301.69</v>
      </c>
      <c r="F460" t="str">
        <f t="shared" si="14"/>
        <v>março</v>
      </c>
      <c r="G460">
        <f t="shared" si="15"/>
        <v>2023</v>
      </c>
    </row>
    <row r="461" spans="1:7" x14ac:dyDescent="0.25">
      <c r="A461">
        <v>3022511</v>
      </c>
      <c r="B461" s="1">
        <v>44986</v>
      </c>
      <c r="C461" t="s">
        <v>180</v>
      </c>
      <c r="D461" s="6">
        <v>25.87</v>
      </c>
      <c r="E461" s="9">
        <v>66.12</v>
      </c>
      <c r="F461" t="str">
        <f t="shared" si="14"/>
        <v>março</v>
      </c>
      <c r="G461">
        <f t="shared" si="15"/>
        <v>2023</v>
      </c>
    </row>
    <row r="462" spans="1:7" x14ac:dyDescent="0.25">
      <c r="A462">
        <v>3022601</v>
      </c>
      <c r="B462" s="1">
        <v>44986</v>
      </c>
      <c r="C462" t="s">
        <v>182</v>
      </c>
      <c r="D462" s="6">
        <v>332</v>
      </c>
      <c r="E462" s="9">
        <v>1484.55</v>
      </c>
      <c r="F462" t="str">
        <f t="shared" si="14"/>
        <v>março</v>
      </c>
      <c r="G462">
        <f t="shared" si="15"/>
        <v>2023</v>
      </c>
    </row>
    <row r="463" spans="1:7" x14ac:dyDescent="0.25">
      <c r="A463">
        <v>3022703</v>
      </c>
      <c r="B463" s="1">
        <v>44986</v>
      </c>
      <c r="C463" t="s">
        <v>309</v>
      </c>
      <c r="D463" s="6">
        <v>757</v>
      </c>
      <c r="E463" s="9">
        <v>1745.95</v>
      </c>
      <c r="F463" t="str">
        <f t="shared" si="14"/>
        <v>março</v>
      </c>
      <c r="G463">
        <f t="shared" si="15"/>
        <v>2023</v>
      </c>
    </row>
    <row r="464" spans="1:7" x14ac:dyDescent="0.25">
      <c r="A464">
        <v>3022805</v>
      </c>
      <c r="B464" s="1">
        <v>44986</v>
      </c>
      <c r="C464" t="s">
        <v>186</v>
      </c>
      <c r="D464" s="6">
        <v>1560</v>
      </c>
      <c r="E464" s="9">
        <v>3062.5</v>
      </c>
      <c r="F464" t="str">
        <f t="shared" si="14"/>
        <v>março</v>
      </c>
      <c r="G464">
        <f t="shared" si="15"/>
        <v>2023</v>
      </c>
    </row>
    <row r="465" spans="1:7" x14ac:dyDescent="0.25">
      <c r="A465">
        <v>3022906</v>
      </c>
      <c r="B465" s="1">
        <v>44986</v>
      </c>
      <c r="C465" t="s">
        <v>188</v>
      </c>
      <c r="D465" s="6">
        <v>4390</v>
      </c>
      <c r="E465" s="9">
        <v>8671.5</v>
      </c>
      <c r="F465" t="str">
        <f t="shared" si="14"/>
        <v>março</v>
      </c>
      <c r="G465">
        <f t="shared" si="15"/>
        <v>2023</v>
      </c>
    </row>
    <row r="466" spans="1:7" x14ac:dyDescent="0.25">
      <c r="A466">
        <v>3023007</v>
      </c>
      <c r="B466" s="1">
        <v>44986</v>
      </c>
      <c r="C466" t="s">
        <v>190</v>
      </c>
      <c r="D466" s="6">
        <v>1600</v>
      </c>
      <c r="E466" s="9">
        <v>3212.2</v>
      </c>
      <c r="F466" t="str">
        <f t="shared" si="14"/>
        <v>março</v>
      </c>
      <c r="G466">
        <f t="shared" si="15"/>
        <v>2023</v>
      </c>
    </row>
    <row r="467" spans="1:7" x14ac:dyDescent="0.25">
      <c r="A467">
        <v>3024001</v>
      </c>
      <c r="B467" s="1">
        <v>44986</v>
      </c>
      <c r="C467" t="s">
        <v>192</v>
      </c>
      <c r="D467" s="6">
        <v>1489.94</v>
      </c>
      <c r="E467" s="9">
        <v>5678.24</v>
      </c>
      <c r="F467" t="str">
        <f t="shared" si="14"/>
        <v>março</v>
      </c>
      <c r="G467">
        <f t="shared" si="15"/>
        <v>2023</v>
      </c>
    </row>
    <row r="468" spans="1:7" x14ac:dyDescent="0.25">
      <c r="A468">
        <v>3024003</v>
      </c>
      <c r="B468" s="1">
        <v>44986</v>
      </c>
      <c r="C468" t="s">
        <v>196</v>
      </c>
      <c r="D468" s="6">
        <v>450.74</v>
      </c>
      <c r="E468" s="9">
        <v>1168.55</v>
      </c>
      <c r="F468" t="str">
        <f t="shared" si="14"/>
        <v>março</v>
      </c>
      <c r="G468">
        <f t="shared" si="15"/>
        <v>2023</v>
      </c>
    </row>
    <row r="469" spans="1:7" x14ac:dyDescent="0.25">
      <c r="A469">
        <v>3024004</v>
      </c>
      <c r="B469" s="1">
        <v>44986</v>
      </c>
      <c r="C469" t="s">
        <v>198</v>
      </c>
      <c r="D469" s="6">
        <v>1705.02</v>
      </c>
      <c r="E469" s="9">
        <v>1260.05</v>
      </c>
      <c r="F469" t="str">
        <f t="shared" si="14"/>
        <v>março</v>
      </c>
      <c r="G469">
        <f t="shared" si="15"/>
        <v>2023</v>
      </c>
    </row>
    <row r="470" spans="1:7" x14ac:dyDescent="0.25">
      <c r="A470">
        <v>4030100</v>
      </c>
      <c r="B470" s="1">
        <v>44986</v>
      </c>
      <c r="C470" t="s">
        <v>200</v>
      </c>
      <c r="D470" s="6">
        <v>394.5</v>
      </c>
      <c r="E470" s="9">
        <v>2439.4</v>
      </c>
      <c r="F470" t="str">
        <f t="shared" si="14"/>
        <v>março</v>
      </c>
      <c r="G470">
        <f t="shared" si="15"/>
        <v>2023</v>
      </c>
    </row>
    <row r="471" spans="1:7" x14ac:dyDescent="0.25">
      <c r="A471">
        <v>4030211</v>
      </c>
      <c r="B471" s="1">
        <v>44986</v>
      </c>
      <c r="C471" t="s">
        <v>202</v>
      </c>
      <c r="D471" s="6">
        <v>879</v>
      </c>
      <c r="E471" s="9">
        <v>5341.6</v>
      </c>
      <c r="F471" t="str">
        <f t="shared" si="14"/>
        <v>março</v>
      </c>
      <c r="G471">
        <f t="shared" si="15"/>
        <v>2023</v>
      </c>
    </row>
    <row r="472" spans="1:7" x14ac:dyDescent="0.25">
      <c r="A472">
        <v>4030311</v>
      </c>
      <c r="B472" s="1">
        <v>44986</v>
      </c>
      <c r="C472" t="s">
        <v>311</v>
      </c>
      <c r="D472" s="6">
        <v>341.51</v>
      </c>
      <c r="E472" s="9">
        <v>2368.5500000000002</v>
      </c>
      <c r="F472" t="str">
        <f t="shared" si="14"/>
        <v>março</v>
      </c>
      <c r="G472">
        <f t="shared" si="15"/>
        <v>2023</v>
      </c>
    </row>
    <row r="473" spans="1:7" x14ac:dyDescent="0.25">
      <c r="A473">
        <v>4030400</v>
      </c>
      <c r="B473" s="1">
        <v>44986</v>
      </c>
      <c r="C473" t="s">
        <v>312</v>
      </c>
      <c r="D473" s="6">
        <v>199.18</v>
      </c>
      <c r="E473" s="9">
        <v>1036.6099999999999</v>
      </c>
      <c r="F473" t="str">
        <f t="shared" si="14"/>
        <v>março</v>
      </c>
      <c r="G473">
        <f t="shared" si="15"/>
        <v>2023</v>
      </c>
    </row>
    <row r="474" spans="1:7" x14ac:dyDescent="0.25">
      <c r="A474">
        <v>4030511</v>
      </c>
      <c r="B474" s="1">
        <v>44986</v>
      </c>
      <c r="C474" t="s">
        <v>208</v>
      </c>
      <c r="D474" s="6">
        <v>996</v>
      </c>
      <c r="E474" s="9">
        <v>4712.68</v>
      </c>
      <c r="F474" t="str">
        <f t="shared" si="14"/>
        <v>março</v>
      </c>
      <c r="G474">
        <f t="shared" si="15"/>
        <v>2023</v>
      </c>
    </row>
    <row r="475" spans="1:7" x14ac:dyDescent="0.25">
      <c r="A475">
        <v>4030600</v>
      </c>
      <c r="B475" s="1">
        <v>44986</v>
      </c>
      <c r="C475" t="s">
        <v>212</v>
      </c>
      <c r="D475" s="6">
        <v>1140.21</v>
      </c>
      <c r="E475" s="9">
        <v>3374.27</v>
      </c>
      <c r="F475" t="str">
        <f t="shared" si="14"/>
        <v>março</v>
      </c>
      <c r="G475">
        <f t="shared" si="15"/>
        <v>2023</v>
      </c>
    </row>
    <row r="476" spans="1:7" x14ac:dyDescent="0.25">
      <c r="A476">
        <v>4030711</v>
      </c>
      <c r="B476" s="1">
        <v>44986</v>
      </c>
      <c r="C476" t="s">
        <v>214</v>
      </c>
      <c r="D476" s="6">
        <v>1543.37</v>
      </c>
      <c r="E476" s="9">
        <v>5078.3599999999997</v>
      </c>
      <c r="F476" t="str">
        <f t="shared" si="14"/>
        <v>março</v>
      </c>
      <c r="G476">
        <f t="shared" si="15"/>
        <v>2023</v>
      </c>
    </row>
    <row r="477" spans="1:7" x14ac:dyDescent="0.25">
      <c r="A477">
        <v>4030811</v>
      </c>
      <c r="B477" s="1">
        <v>44986</v>
      </c>
      <c r="C477" t="s">
        <v>216</v>
      </c>
      <c r="D477" s="6">
        <v>2253.56</v>
      </c>
      <c r="E477" s="9">
        <v>7022.99</v>
      </c>
      <c r="F477" t="str">
        <f t="shared" si="14"/>
        <v>março</v>
      </c>
      <c r="G477">
        <f t="shared" si="15"/>
        <v>2023</v>
      </c>
    </row>
    <row r="478" spans="1:7" x14ac:dyDescent="0.25">
      <c r="A478">
        <v>4030813</v>
      </c>
      <c r="B478" s="1">
        <v>44986</v>
      </c>
      <c r="C478" t="s">
        <v>218</v>
      </c>
      <c r="D478" s="6">
        <v>2891.8</v>
      </c>
      <c r="E478" s="9">
        <v>8515.15</v>
      </c>
      <c r="F478" t="str">
        <f t="shared" si="14"/>
        <v>março</v>
      </c>
      <c r="G478">
        <f t="shared" si="15"/>
        <v>2023</v>
      </c>
    </row>
    <row r="479" spans="1:7" x14ac:dyDescent="0.25">
      <c r="A479">
        <v>4030900</v>
      </c>
      <c r="B479" s="1">
        <v>44986</v>
      </c>
      <c r="C479" t="s">
        <v>220</v>
      </c>
      <c r="D479" s="6">
        <v>4552.7</v>
      </c>
      <c r="E479" s="9">
        <v>14162.03</v>
      </c>
      <c r="F479" t="str">
        <f t="shared" si="14"/>
        <v>março</v>
      </c>
      <c r="G479">
        <f t="shared" si="15"/>
        <v>2023</v>
      </c>
    </row>
    <row r="480" spans="1:7" x14ac:dyDescent="0.25">
      <c r="A480">
        <v>4030910</v>
      </c>
      <c r="B480" s="1">
        <v>44986</v>
      </c>
      <c r="C480" t="s">
        <v>222</v>
      </c>
      <c r="D480" s="6">
        <v>177.07</v>
      </c>
      <c r="E480" s="9">
        <v>586.01</v>
      </c>
      <c r="F480" t="str">
        <f t="shared" si="14"/>
        <v>março</v>
      </c>
      <c r="G480">
        <f t="shared" si="15"/>
        <v>2023</v>
      </c>
    </row>
    <row r="481" spans="1:7" x14ac:dyDescent="0.25">
      <c r="A481">
        <v>4031012</v>
      </c>
      <c r="B481" s="1">
        <v>44986</v>
      </c>
      <c r="C481" t="s">
        <v>224</v>
      </c>
      <c r="D481" s="6">
        <v>1400.94</v>
      </c>
      <c r="E481" s="9">
        <v>4251.75</v>
      </c>
      <c r="F481" t="str">
        <f t="shared" si="14"/>
        <v>março</v>
      </c>
      <c r="G481">
        <f t="shared" si="15"/>
        <v>2023</v>
      </c>
    </row>
    <row r="482" spans="1:7" x14ac:dyDescent="0.25">
      <c r="A482">
        <v>4031017</v>
      </c>
      <c r="B482" s="1">
        <v>44986</v>
      </c>
      <c r="C482" t="s">
        <v>226</v>
      </c>
      <c r="D482" s="6">
        <v>2968</v>
      </c>
      <c r="E482" s="9">
        <v>1826.59</v>
      </c>
      <c r="F482" t="str">
        <f t="shared" si="14"/>
        <v>março</v>
      </c>
      <c r="G482">
        <f t="shared" si="15"/>
        <v>2023</v>
      </c>
    </row>
    <row r="483" spans="1:7" x14ac:dyDescent="0.25">
      <c r="A483">
        <v>4031102</v>
      </c>
      <c r="B483" s="1">
        <v>44986</v>
      </c>
      <c r="C483" t="s">
        <v>228</v>
      </c>
      <c r="D483" s="6">
        <v>9483.11</v>
      </c>
      <c r="E483" s="9">
        <v>27126.44</v>
      </c>
      <c r="F483" t="str">
        <f t="shared" si="14"/>
        <v>março</v>
      </c>
      <c r="G483">
        <f t="shared" si="15"/>
        <v>2023</v>
      </c>
    </row>
    <row r="484" spans="1:7" x14ac:dyDescent="0.25">
      <c r="A484">
        <v>4031200</v>
      </c>
      <c r="B484" s="1">
        <v>44986</v>
      </c>
      <c r="C484" t="s">
        <v>230</v>
      </c>
      <c r="D484" s="6">
        <v>1216</v>
      </c>
      <c r="E484" s="9">
        <v>3578.18</v>
      </c>
      <c r="F484" t="str">
        <f t="shared" si="14"/>
        <v>março</v>
      </c>
      <c r="G484">
        <f t="shared" si="15"/>
        <v>2023</v>
      </c>
    </row>
    <row r="485" spans="1:7" x14ac:dyDescent="0.25">
      <c r="A485">
        <v>4031304</v>
      </c>
      <c r="B485" s="1">
        <v>44986</v>
      </c>
      <c r="C485" t="s">
        <v>232</v>
      </c>
      <c r="D485" s="6">
        <v>1774.25</v>
      </c>
      <c r="E485" s="9">
        <v>4910.07</v>
      </c>
      <c r="F485" t="str">
        <f t="shared" si="14"/>
        <v>março</v>
      </c>
      <c r="G485">
        <f t="shared" si="15"/>
        <v>2023</v>
      </c>
    </row>
    <row r="486" spans="1:7" x14ac:dyDescent="0.25">
      <c r="A486">
        <v>4031411</v>
      </c>
      <c r="B486" s="1">
        <v>44986</v>
      </c>
      <c r="C486" t="s">
        <v>234</v>
      </c>
      <c r="D486" s="6">
        <v>155.30000000000001</v>
      </c>
      <c r="E486" s="9">
        <v>470.61</v>
      </c>
      <c r="F486" t="str">
        <f t="shared" si="14"/>
        <v>março</v>
      </c>
      <c r="G486">
        <f t="shared" si="15"/>
        <v>2023</v>
      </c>
    </row>
    <row r="487" spans="1:7" x14ac:dyDescent="0.25">
      <c r="A487">
        <v>4031500</v>
      </c>
      <c r="B487" s="1">
        <v>44986</v>
      </c>
      <c r="C487" t="s">
        <v>236</v>
      </c>
      <c r="D487" s="6">
        <v>6197</v>
      </c>
      <c r="E487" s="9">
        <v>17232.98</v>
      </c>
      <c r="F487" t="str">
        <f t="shared" si="14"/>
        <v>março</v>
      </c>
      <c r="G487">
        <f t="shared" si="15"/>
        <v>2023</v>
      </c>
    </row>
    <row r="488" spans="1:7" x14ac:dyDescent="0.25">
      <c r="A488">
        <v>4031604</v>
      </c>
      <c r="B488" s="1">
        <v>44986</v>
      </c>
      <c r="C488" t="s">
        <v>238</v>
      </c>
      <c r="D488" s="6">
        <v>5893.7</v>
      </c>
      <c r="E488" s="9">
        <v>15535.69</v>
      </c>
      <c r="F488" t="str">
        <f t="shared" si="14"/>
        <v>março</v>
      </c>
      <c r="G488">
        <f t="shared" si="15"/>
        <v>2023</v>
      </c>
    </row>
    <row r="489" spans="1:7" x14ac:dyDescent="0.25">
      <c r="A489">
        <v>4031605</v>
      </c>
      <c r="B489" s="1">
        <v>44986</v>
      </c>
      <c r="C489" t="s">
        <v>240</v>
      </c>
      <c r="D489" s="6">
        <v>78.849999999999994</v>
      </c>
      <c r="E489" s="9">
        <v>249.25</v>
      </c>
      <c r="F489" t="str">
        <f t="shared" si="14"/>
        <v>março</v>
      </c>
      <c r="G489">
        <f t="shared" si="15"/>
        <v>2023</v>
      </c>
    </row>
    <row r="490" spans="1:7" x14ac:dyDescent="0.25">
      <c r="A490">
        <v>4031700</v>
      </c>
      <c r="B490" s="1">
        <v>44986</v>
      </c>
      <c r="C490" t="s">
        <v>242</v>
      </c>
      <c r="D490" s="6">
        <v>653.70000000000005</v>
      </c>
      <c r="E490" s="9">
        <v>1946.18</v>
      </c>
      <c r="F490" t="str">
        <f t="shared" si="14"/>
        <v>março</v>
      </c>
      <c r="G490">
        <f t="shared" si="15"/>
        <v>2023</v>
      </c>
    </row>
    <row r="491" spans="1:7" x14ac:dyDescent="0.25">
      <c r="A491">
        <v>4031812</v>
      </c>
      <c r="B491" s="1">
        <v>44986</v>
      </c>
      <c r="C491" t="s">
        <v>244</v>
      </c>
      <c r="D491" s="6">
        <v>383</v>
      </c>
      <c r="E491" s="9">
        <v>1124.18</v>
      </c>
      <c r="F491" t="str">
        <f t="shared" si="14"/>
        <v>março</v>
      </c>
      <c r="G491">
        <f t="shared" si="15"/>
        <v>2023</v>
      </c>
    </row>
    <row r="492" spans="1:7" x14ac:dyDescent="0.25">
      <c r="A492">
        <v>4031813</v>
      </c>
      <c r="B492" s="1">
        <v>44986</v>
      </c>
      <c r="C492" t="s">
        <v>313</v>
      </c>
      <c r="D492" s="6">
        <v>245</v>
      </c>
      <c r="E492" s="9">
        <v>164.15</v>
      </c>
      <c r="F492" t="str">
        <f t="shared" si="14"/>
        <v>março</v>
      </c>
      <c r="G492">
        <f t="shared" si="15"/>
        <v>2023</v>
      </c>
    </row>
    <row r="493" spans="1:7" x14ac:dyDescent="0.25">
      <c r="A493">
        <v>4031904</v>
      </c>
      <c r="B493" s="1">
        <v>44986</v>
      </c>
      <c r="C493" t="s">
        <v>246</v>
      </c>
      <c r="D493" s="6">
        <v>978.59</v>
      </c>
      <c r="E493" s="9">
        <v>2773.75</v>
      </c>
      <c r="F493" t="str">
        <f t="shared" si="14"/>
        <v>março</v>
      </c>
      <c r="G493">
        <f t="shared" si="15"/>
        <v>2023</v>
      </c>
    </row>
    <row r="494" spans="1:7" x14ac:dyDescent="0.25">
      <c r="A494">
        <v>4032111</v>
      </c>
      <c r="B494" s="1">
        <v>44986</v>
      </c>
      <c r="C494" t="s">
        <v>314</v>
      </c>
      <c r="D494" s="6">
        <v>92.47</v>
      </c>
      <c r="E494" s="9">
        <v>469.44</v>
      </c>
      <c r="F494" t="str">
        <f t="shared" si="14"/>
        <v>março</v>
      </c>
      <c r="G494">
        <f t="shared" si="15"/>
        <v>2023</v>
      </c>
    </row>
    <row r="495" spans="1:7" x14ac:dyDescent="0.25">
      <c r="A495">
        <v>4032204</v>
      </c>
      <c r="B495" s="1">
        <v>44986</v>
      </c>
      <c r="C495" t="s">
        <v>315</v>
      </c>
      <c r="D495" s="6">
        <v>171.66</v>
      </c>
      <c r="E495" s="9">
        <v>917.92</v>
      </c>
      <c r="F495" t="str">
        <f t="shared" si="14"/>
        <v>março</v>
      </c>
      <c r="G495">
        <f t="shared" si="15"/>
        <v>2023</v>
      </c>
    </row>
    <row r="496" spans="1:7" x14ac:dyDescent="0.25">
      <c r="A496">
        <v>4032312</v>
      </c>
      <c r="B496" s="1">
        <v>44986</v>
      </c>
      <c r="C496" t="s">
        <v>252</v>
      </c>
      <c r="D496" s="6">
        <v>533.6</v>
      </c>
      <c r="E496" s="9">
        <v>2232.65</v>
      </c>
      <c r="F496" t="str">
        <f t="shared" si="14"/>
        <v>março</v>
      </c>
      <c r="G496">
        <f t="shared" si="15"/>
        <v>2023</v>
      </c>
    </row>
    <row r="497" spans="1:7" x14ac:dyDescent="0.25">
      <c r="A497">
        <v>4032404</v>
      </c>
      <c r="B497" s="1">
        <v>44986</v>
      </c>
      <c r="C497" t="s">
        <v>254</v>
      </c>
      <c r="D497" s="6">
        <v>91.9</v>
      </c>
      <c r="E497" s="9">
        <v>401.76</v>
      </c>
      <c r="F497" t="str">
        <f t="shared" si="14"/>
        <v>março</v>
      </c>
      <c r="G497">
        <f t="shared" si="15"/>
        <v>2023</v>
      </c>
    </row>
    <row r="498" spans="1:7" x14ac:dyDescent="0.25">
      <c r="A498">
        <v>4032500</v>
      </c>
      <c r="B498" s="1">
        <v>44986</v>
      </c>
      <c r="C498" t="s">
        <v>256</v>
      </c>
      <c r="D498" s="6">
        <v>398.76</v>
      </c>
      <c r="E498" s="9">
        <v>1058.68</v>
      </c>
      <c r="F498" t="str">
        <f t="shared" si="14"/>
        <v>março</v>
      </c>
      <c r="G498">
        <f t="shared" si="15"/>
        <v>2023</v>
      </c>
    </row>
    <row r="499" spans="1:7" x14ac:dyDescent="0.25">
      <c r="A499">
        <v>4032611</v>
      </c>
      <c r="B499" s="1">
        <v>44986</v>
      </c>
      <c r="C499" t="s">
        <v>258</v>
      </c>
      <c r="D499" s="6">
        <v>84.34</v>
      </c>
      <c r="E499" s="9">
        <v>248.53</v>
      </c>
      <c r="F499" t="str">
        <f t="shared" si="14"/>
        <v>março</v>
      </c>
      <c r="G499">
        <f t="shared" si="15"/>
        <v>2023</v>
      </c>
    </row>
    <row r="500" spans="1:7" x14ac:dyDescent="0.25">
      <c r="A500">
        <v>4032704</v>
      </c>
      <c r="B500" s="1">
        <v>44986</v>
      </c>
      <c r="C500" t="s">
        <v>260</v>
      </c>
      <c r="D500" s="6">
        <v>290.66000000000003</v>
      </c>
      <c r="E500" s="9">
        <v>825.67</v>
      </c>
      <c r="F500" t="str">
        <f t="shared" si="14"/>
        <v>março</v>
      </c>
      <c r="G500">
        <f t="shared" si="15"/>
        <v>2023</v>
      </c>
    </row>
    <row r="501" spans="1:7" x14ac:dyDescent="0.25">
      <c r="A501">
        <v>4032800</v>
      </c>
      <c r="B501" s="1">
        <v>44986</v>
      </c>
      <c r="C501" t="s">
        <v>262</v>
      </c>
      <c r="D501" s="6">
        <v>137.5</v>
      </c>
      <c r="E501" s="9">
        <v>710.87</v>
      </c>
      <c r="F501" t="str">
        <f t="shared" si="14"/>
        <v>março</v>
      </c>
      <c r="G501">
        <f t="shared" si="15"/>
        <v>2023</v>
      </c>
    </row>
    <row r="502" spans="1:7" x14ac:dyDescent="0.25">
      <c r="A502">
        <v>4032902</v>
      </c>
      <c r="B502" s="1">
        <v>44986</v>
      </c>
      <c r="C502" t="s">
        <v>264</v>
      </c>
      <c r="D502" s="6">
        <v>132.03</v>
      </c>
      <c r="E502" s="9">
        <v>693.83</v>
      </c>
      <c r="F502" t="str">
        <f t="shared" si="14"/>
        <v>março</v>
      </c>
      <c r="G502">
        <f t="shared" si="15"/>
        <v>2023</v>
      </c>
    </row>
    <row r="503" spans="1:7" x14ac:dyDescent="0.25">
      <c r="A503">
        <v>4033011</v>
      </c>
      <c r="B503" s="1">
        <v>44986</v>
      </c>
      <c r="C503" t="s">
        <v>266</v>
      </c>
      <c r="D503" s="6">
        <v>59.65</v>
      </c>
      <c r="E503" s="9">
        <v>301.26</v>
      </c>
      <c r="F503" t="str">
        <f t="shared" si="14"/>
        <v>março</v>
      </c>
      <c r="G503">
        <f t="shared" si="15"/>
        <v>2023</v>
      </c>
    </row>
    <row r="504" spans="1:7" x14ac:dyDescent="0.25">
      <c r="A504">
        <v>4033111</v>
      </c>
      <c r="B504" s="1">
        <v>44986</v>
      </c>
      <c r="C504" t="s">
        <v>268</v>
      </c>
      <c r="D504" s="6">
        <v>26.1</v>
      </c>
      <c r="E504" s="9">
        <v>119.17</v>
      </c>
      <c r="F504" t="str">
        <f t="shared" si="14"/>
        <v>março</v>
      </c>
      <c r="G504">
        <f t="shared" si="15"/>
        <v>2023</v>
      </c>
    </row>
    <row r="505" spans="1:7" x14ac:dyDescent="0.25">
      <c r="A505">
        <v>4033211</v>
      </c>
      <c r="B505" s="1">
        <v>44986</v>
      </c>
      <c r="C505" t="s">
        <v>270</v>
      </c>
      <c r="D505" s="6">
        <v>207.18</v>
      </c>
      <c r="E505" s="9">
        <v>910.79</v>
      </c>
      <c r="F505" t="str">
        <f t="shared" si="14"/>
        <v>março</v>
      </c>
      <c r="G505">
        <f t="shared" si="15"/>
        <v>2023</v>
      </c>
    </row>
    <row r="506" spans="1:7" x14ac:dyDescent="0.25">
      <c r="A506">
        <v>4033311</v>
      </c>
      <c r="B506" s="1">
        <v>44986</v>
      </c>
      <c r="C506" t="s">
        <v>272</v>
      </c>
      <c r="D506" s="6">
        <v>17.84</v>
      </c>
      <c r="E506" s="9">
        <v>108.04</v>
      </c>
      <c r="F506" t="str">
        <f t="shared" si="14"/>
        <v>março</v>
      </c>
      <c r="G506">
        <f t="shared" si="15"/>
        <v>2023</v>
      </c>
    </row>
    <row r="507" spans="1:7" x14ac:dyDescent="0.25">
      <c r="A507">
        <v>4033400</v>
      </c>
      <c r="B507" s="1">
        <v>44986</v>
      </c>
      <c r="C507" t="s">
        <v>274</v>
      </c>
      <c r="D507" s="6">
        <v>498.9</v>
      </c>
      <c r="E507" s="9">
        <v>1534.94</v>
      </c>
      <c r="F507" t="str">
        <f t="shared" si="14"/>
        <v>março</v>
      </c>
      <c r="G507">
        <f t="shared" si="15"/>
        <v>2023</v>
      </c>
    </row>
    <row r="508" spans="1:7" x14ac:dyDescent="0.25">
      <c r="A508">
        <v>4033511</v>
      </c>
      <c r="B508" s="1">
        <v>44986</v>
      </c>
      <c r="C508" t="s">
        <v>276</v>
      </c>
      <c r="D508" s="6">
        <v>2045.17</v>
      </c>
      <c r="E508" s="9">
        <v>6563.85</v>
      </c>
      <c r="F508" t="str">
        <f t="shared" si="14"/>
        <v>março</v>
      </c>
      <c r="G508">
        <f t="shared" si="15"/>
        <v>2023</v>
      </c>
    </row>
    <row r="509" spans="1:7" x14ac:dyDescent="0.25">
      <c r="A509">
        <v>4033900</v>
      </c>
      <c r="B509" s="1">
        <v>44986</v>
      </c>
      <c r="C509" t="s">
        <v>278</v>
      </c>
      <c r="D509" s="6">
        <v>62.33</v>
      </c>
      <c r="E509" s="9">
        <v>336.2</v>
      </c>
      <c r="F509" t="str">
        <f t="shared" si="14"/>
        <v>março</v>
      </c>
      <c r="G509">
        <f t="shared" si="15"/>
        <v>2023</v>
      </c>
    </row>
    <row r="510" spans="1:7" x14ac:dyDescent="0.25">
      <c r="A510">
        <v>4034011</v>
      </c>
      <c r="B510" s="1">
        <v>44986</v>
      </c>
      <c r="C510" t="s">
        <v>280</v>
      </c>
      <c r="D510" s="6">
        <v>695.21</v>
      </c>
      <c r="E510" s="9">
        <v>3654.63</v>
      </c>
      <c r="F510" t="str">
        <f t="shared" si="14"/>
        <v>março</v>
      </c>
      <c r="G510">
        <f t="shared" si="15"/>
        <v>2023</v>
      </c>
    </row>
    <row r="511" spans="1:7" x14ac:dyDescent="0.25">
      <c r="A511">
        <v>4034211</v>
      </c>
      <c r="B511" s="1">
        <v>44986</v>
      </c>
      <c r="C511" t="s">
        <v>282</v>
      </c>
      <c r="D511" s="6">
        <v>202.95</v>
      </c>
      <c r="E511" s="9">
        <v>854.7</v>
      </c>
      <c r="F511" t="str">
        <f t="shared" si="14"/>
        <v>março</v>
      </c>
      <c r="G511">
        <f t="shared" si="15"/>
        <v>2023</v>
      </c>
    </row>
    <row r="512" spans="1:7" x14ac:dyDescent="0.25">
      <c r="A512">
        <v>4034400</v>
      </c>
      <c r="B512" s="1">
        <v>44986</v>
      </c>
      <c r="C512" t="s">
        <v>284</v>
      </c>
      <c r="D512" s="6">
        <v>181.1</v>
      </c>
      <c r="E512" s="9">
        <v>473.88</v>
      </c>
      <c r="F512" t="str">
        <f t="shared" si="14"/>
        <v>março</v>
      </c>
      <c r="G512">
        <f t="shared" si="15"/>
        <v>2023</v>
      </c>
    </row>
    <row r="513" spans="1:7" x14ac:dyDescent="0.25">
      <c r="A513">
        <v>4034502</v>
      </c>
      <c r="B513" s="1">
        <v>44986</v>
      </c>
      <c r="C513" t="s">
        <v>286</v>
      </c>
      <c r="D513" s="6">
        <v>78</v>
      </c>
      <c r="E513" s="9">
        <v>217.34</v>
      </c>
      <c r="F513" t="str">
        <f t="shared" si="14"/>
        <v>março</v>
      </c>
      <c r="G513">
        <f t="shared" si="15"/>
        <v>2023</v>
      </c>
    </row>
    <row r="514" spans="1:7" x14ac:dyDescent="0.25">
      <c r="A514">
        <v>8040009</v>
      </c>
      <c r="B514" s="1">
        <v>44986</v>
      </c>
      <c r="C514" t="s">
        <v>319</v>
      </c>
      <c r="D514" s="6">
        <v>576</v>
      </c>
      <c r="E514" s="9">
        <v>3409.92</v>
      </c>
      <c r="F514" t="str">
        <f t="shared" si="14"/>
        <v>março</v>
      </c>
      <c r="G514">
        <f t="shared" si="15"/>
        <v>2023</v>
      </c>
    </row>
    <row r="515" spans="1:7" x14ac:dyDescent="0.25">
      <c r="A515">
        <v>8040012</v>
      </c>
      <c r="B515" s="1">
        <v>44986</v>
      </c>
      <c r="C515" t="s">
        <v>391</v>
      </c>
      <c r="D515" s="6">
        <v>10</v>
      </c>
      <c r="E515" s="9">
        <v>34</v>
      </c>
      <c r="F515" t="str">
        <f t="shared" ref="F515:F578" si="16">TEXT(B515,"mmmm")</f>
        <v>março</v>
      </c>
      <c r="G515">
        <f t="shared" ref="G515:G578" si="17">YEAR(B515)</f>
        <v>2023</v>
      </c>
    </row>
    <row r="516" spans="1:7" x14ac:dyDescent="0.25">
      <c r="A516">
        <v>8040027</v>
      </c>
      <c r="B516" s="1">
        <v>44986</v>
      </c>
      <c r="C516" t="s">
        <v>392</v>
      </c>
      <c r="D516" s="6">
        <v>504</v>
      </c>
      <c r="E516" s="9">
        <v>4989.6000000000004</v>
      </c>
      <c r="F516" t="str">
        <f t="shared" si="16"/>
        <v>março</v>
      </c>
      <c r="G516">
        <f t="shared" si="17"/>
        <v>2023</v>
      </c>
    </row>
    <row r="517" spans="1:7" x14ac:dyDescent="0.25">
      <c r="A517">
        <v>8040029</v>
      </c>
      <c r="B517" s="1">
        <v>44986</v>
      </c>
      <c r="C517" t="s">
        <v>393</v>
      </c>
      <c r="D517" s="6">
        <v>3772</v>
      </c>
      <c r="E517" s="9">
        <v>33759.4</v>
      </c>
      <c r="F517" t="str">
        <f t="shared" si="16"/>
        <v>março</v>
      </c>
      <c r="G517">
        <f t="shared" si="17"/>
        <v>2023</v>
      </c>
    </row>
    <row r="518" spans="1:7" x14ac:dyDescent="0.25">
      <c r="A518">
        <v>8050001</v>
      </c>
      <c r="B518" s="1">
        <v>44986</v>
      </c>
      <c r="C518" t="s">
        <v>321</v>
      </c>
      <c r="D518" s="6">
        <v>480</v>
      </c>
      <c r="E518" s="9">
        <v>720</v>
      </c>
      <c r="F518" t="str">
        <f t="shared" si="16"/>
        <v>março</v>
      </c>
      <c r="G518">
        <f t="shared" si="17"/>
        <v>2023</v>
      </c>
    </row>
    <row r="519" spans="1:7" x14ac:dyDescent="0.25">
      <c r="A519">
        <v>8050002</v>
      </c>
      <c r="B519" s="1">
        <v>44986</v>
      </c>
      <c r="C519" t="s">
        <v>322</v>
      </c>
      <c r="D519" s="6">
        <v>2</v>
      </c>
      <c r="E519" s="9">
        <v>13</v>
      </c>
      <c r="F519" t="str">
        <f t="shared" si="16"/>
        <v>março</v>
      </c>
      <c r="G519">
        <f t="shared" si="17"/>
        <v>2023</v>
      </c>
    </row>
    <row r="520" spans="1:7" x14ac:dyDescent="0.25">
      <c r="A520">
        <v>8050003</v>
      </c>
      <c r="B520" s="1">
        <v>44986</v>
      </c>
      <c r="C520" t="s">
        <v>323</v>
      </c>
      <c r="D520" s="6">
        <v>8</v>
      </c>
      <c r="E520" s="9">
        <v>40.799999999999997</v>
      </c>
      <c r="F520" t="str">
        <f t="shared" si="16"/>
        <v>março</v>
      </c>
      <c r="G520">
        <f t="shared" si="17"/>
        <v>2023</v>
      </c>
    </row>
    <row r="521" spans="1:7" x14ac:dyDescent="0.25">
      <c r="A521">
        <v>8050004</v>
      </c>
      <c r="B521" s="1">
        <v>44986</v>
      </c>
      <c r="C521" t="s">
        <v>324</v>
      </c>
      <c r="D521" s="6">
        <v>15122</v>
      </c>
      <c r="E521" s="9">
        <v>56559.8</v>
      </c>
      <c r="F521" t="str">
        <f t="shared" si="16"/>
        <v>março</v>
      </c>
      <c r="G521">
        <f t="shared" si="17"/>
        <v>2023</v>
      </c>
    </row>
    <row r="522" spans="1:7" x14ac:dyDescent="0.25">
      <c r="A522">
        <v>8070008</v>
      </c>
      <c r="B522" s="1">
        <v>44986</v>
      </c>
      <c r="C522" t="s">
        <v>368</v>
      </c>
      <c r="D522" s="6">
        <v>100</v>
      </c>
      <c r="E522" s="9">
        <v>916</v>
      </c>
      <c r="F522" t="str">
        <f t="shared" si="16"/>
        <v>março</v>
      </c>
      <c r="G522">
        <f t="shared" si="17"/>
        <v>2023</v>
      </c>
    </row>
    <row r="523" spans="1:7" x14ac:dyDescent="0.25">
      <c r="A523">
        <v>8070014</v>
      </c>
      <c r="B523" s="1">
        <v>44986</v>
      </c>
      <c r="C523" t="s">
        <v>394</v>
      </c>
      <c r="D523" s="6">
        <v>8299.48</v>
      </c>
      <c r="E523" s="9">
        <v>29878.12</v>
      </c>
      <c r="F523" t="str">
        <f t="shared" si="16"/>
        <v>março</v>
      </c>
      <c r="G523">
        <f t="shared" si="17"/>
        <v>2023</v>
      </c>
    </row>
    <row r="524" spans="1:7" x14ac:dyDescent="0.25">
      <c r="A524">
        <v>8070015</v>
      </c>
      <c r="B524" s="1">
        <v>44986</v>
      </c>
      <c r="C524" t="s">
        <v>373</v>
      </c>
      <c r="D524" s="6">
        <v>13508</v>
      </c>
      <c r="E524" s="9">
        <v>14993.88</v>
      </c>
      <c r="F524" t="str">
        <f t="shared" si="16"/>
        <v>março</v>
      </c>
      <c r="G524">
        <f t="shared" si="17"/>
        <v>2023</v>
      </c>
    </row>
    <row r="525" spans="1:7" x14ac:dyDescent="0.25">
      <c r="A525">
        <v>8070016</v>
      </c>
      <c r="B525" s="1">
        <v>44986</v>
      </c>
      <c r="C525" t="s">
        <v>395</v>
      </c>
      <c r="D525" s="6">
        <v>9000</v>
      </c>
      <c r="E525" s="9">
        <v>45900</v>
      </c>
      <c r="F525" t="str">
        <f t="shared" si="16"/>
        <v>março</v>
      </c>
      <c r="G525">
        <f t="shared" si="17"/>
        <v>2023</v>
      </c>
    </row>
    <row r="526" spans="1:7" x14ac:dyDescent="0.25">
      <c r="A526">
        <v>8070017</v>
      </c>
      <c r="B526" s="1">
        <v>44986</v>
      </c>
      <c r="C526" t="s">
        <v>396</v>
      </c>
      <c r="D526" s="6">
        <v>11590.09</v>
      </c>
      <c r="E526" s="9">
        <v>37137.93</v>
      </c>
      <c r="F526" t="str">
        <f t="shared" si="16"/>
        <v>março</v>
      </c>
      <c r="G526">
        <f t="shared" si="17"/>
        <v>2023</v>
      </c>
    </row>
    <row r="527" spans="1:7" x14ac:dyDescent="0.25">
      <c r="A527">
        <v>8070018</v>
      </c>
      <c r="B527" s="1">
        <v>44986</v>
      </c>
      <c r="C527" t="s">
        <v>397</v>
      </c>
      <c r="D527" s="6">
        <v>1890</v>
      </c>
      <c r="E527" s="9">
        <v>6577.2</v>
      </c>
      <c r="F527" t="str">
        <f t="shared" si="16"/>
        <v>março</v>
      </c>
      <c r="G527">
        <f t="shared" si="17"/>
        <v>2023</v>
      </c>
    </row>
    <row r="528" spans="1:7" x14ac:dyDescent="0.25">
      <c r="A528">
        <v>8070019</v>
      </c>
      <c r="B528" s="1">
        <v>44986</v>
      </c>
      <c r="C528" t="s">
        <v>398</v>
      </c>
      <c r="D528" s="6">
        <v>630</v>
      </c>
      <c r="E528" s="9">
        <v>2381.4</v>
      </c>
      <c r="F528" t="str">
        <f t="shared" si="16"/>
        <v>março</v>
      </c>
      <c r="G528">
        <f t="shared" si="17"/>
        <v>2023</v>
      </c>
    </row>
    <row r="529" spans="1:7" x14ac:dyDescent="0.25">
      <c r="A529">
        <v>8070020</v>
      </c>
      <c r="B529" s="1">
        <v>44986</v>
      </c>
      <c r="C529" t="s">
        <v>399</v>
      </c>
      <c r="D529" s="6">
        <v>864</v>
      </c>
      <c r="E529" s="9">
        <v>4104</v>
      </c>
      <c r="F529" t="str">
        <f t="shared" si="16"/>
        <v>março</v>
      </c>
      <c r="G529">
        <f t="shared" si="17"/>
        <v>2023</v>
      </c>
    </row>
    <row r="530" spans="1:7" x14ac:dyDescent="0.25">
      <c r="A530">
        <v>8070021</v>
      </c>
      <c r="B530" s="1">
        <v>44986</v>
      </c>
      <c r="C530" t="s">
        <v>400</v>
      </c>
      <c r="D530" s="6">
        <v>9</v>
      </c>
      <c r="E530" s="9">
        <v>66.599999999999994</v>
      </c>
      <c r="F530" t="str">
        <f t="shared" si="16"/>
        <v>março</v>
      </c>
      <c r="G530">
        <f t="shared" si="17"/>
        <v>2023</v>
      </c>
    </row>
    <row r="531" spans="1:7" x14ac:dyDescent="0.25">
      <c r="A531">
        <v>8070022</v>
      </c>
      <c r="B531" s="1">
        <v>44986</v>
      </c>
      <c r="C531" t="s">
        <v>401</v>
      </c>
      <c r="D531" s="6">
        <v>4.5</v>
      </c>
      <c r="E531" s="9">
        <v>24.3</v>
      </c>
      <c r="F531" t="str">
        <f t="shared" si="16"/>
        <v>março</v>
      </c>
      <c r="G531">
        <f t="shared" si="17"/>
        <v>2023</v>
      </c>
    </row>
    <row r="532" spans="1:7" x14ac:dyDescent="0.25">
      <c r="A532">
        <v>8070023</v>
      </c>
      <c r="B532" s="1">
        <v>44986</v>
      </c>
      <c r="C532" t="s">
        <v>402</v>
      </c>
      <c r="D532" s="6">
        <v>16</v>
      </c>
      <c r="E532" s="9">
        <v>84</v>
      </c>
      <c r="F532" t="str">
        <f t="shared" si="16"/>
        <v>março</v>
      </c>
      <c r="G532">
        <f t="shared" si="17"/>
        <v>2023</v>
      </c>
    </row>
    <row r="533" spans="1:7" x14ac:dyDescent="0.25">
      <c r="A533">
        <v>8070036</v>
      </c>
      <c r="B533" s="1">
        <v>44986</v>
      </c>
      <c r="C533" t="s">
        <v>403</v>
      </c>
      <c r="D533" s="6">
        <v>296</v>
      </c>
      <c r="E533" s="9">
        <v>1450.4</v>
      </c>
      <c r="F533" t="str">
        <f t="shared" si="16"/>
        <v>março</v>
      </c>
      <c r="G533">
        <f t="shared" si="17"/>
        <v>2023</v>
      </c>
    </row>
    <row r="534" spans="1:7" x14ac:dyDescent="0.25">
      <c r="A534">
        <v>8070037</v>
      </c>
      <c r="B534" s="1">
        <v>44986</v>
      </c>
      <c r="C534" t="s">
        <v>404</v>
      </c>
      <c r="D534" s="6">
        <v>544</v>
      </c>
      <c r="E534" s="9">
        <v>2611.1999999999998</v>
      </c>
      <c r="F534" t="str">
        <f t="shared" si="16"/>
        <v>março</v>
      </c>
      <c r="G534">
        <f t="shared" si="17"/>
        <v>2023</v>
      </c>
    </row>
    <row r="535" spans="1:7" x14ac:dyDescent="0.25">
      <c r="A535">
        <v>8070038</v>
      </c>
      <c r="B535" s="1">
        <v>44986</v>
      </c>
      <c r="C535" t="s">
        <v>405</v>
      </c>
      <c r="D535" s="6">
        <v>24</v>
      </c>
      <c r="E535" s="9">
        <v>117.6</v>
      </c>
      <c r="F535" t="str">
        <f t="shared" si="16"/>
        <v>março</v>
      </c>
      <c r="G535">
        <f t="shared" si="17"/>
        <v>2023</v>
      </c>
    </row>
    <row r="536" spans="1:7" x14ac:dyDescent="0.25">
      <c r="A536">
        <v>8120004</v>
      </c>
      <c r="B536" s="1">
        <v>44986</v>
      </c>
      <c r="C536" t="s">
        <v>406</v>
      </c>
      <c r="D536" s="6">
        <v>1500</v>
      </c>
      <c r="E536" s="9">
        <v>9000</v>
      </c>
      <c r="F536" t="str">
        <f t="shared" si="16"/>
        <v>março</v>
      </c>
      <c r="G536">
        <f t="shared" si="17"/>
        <v>2023</v>
      </c>
    </row>
    <row r="537" spans="1:7" x14ac:dyDescent="0.25">
      <c r="A537">
        <v>8120005</v>
      </c>
      <c r="B537" s="1">
        <v>44986</v>
      </c>
      <c r="C537" t="s">
        <v>407</v>
      </c>
      <c r="D537" s="6">
        <v>2900</v>
      </c>
      <c r="E537" s="9">
        <v>14733</v>
      </c>
      <c r="F537" t="str">
        <f t="shared" si="16"/>
        <v>março</v>
      </c>
      <c r="G537">
        <f t="shared" si="17"/>
        <v>2023</v>
      </c>
    </row>
    <row r="538" spans="1:7" x14ac:dyDescent="0.25">
      <c r="A538">
        <v>8120006</v>
      </c>
      <c r="B538" s="1">
        <v>44986</v>
      </c>
      <c r="C538" t="s">
        <v>408</v>
      </c>
      <c r="D538" s="6">
        <v>1584.87</v>
      </c>
      <c r="E538" s="9">
        <v>10618.63</v>
      </c>
      <c r="F538" t="str">
        <f t="shared" si="16"/>
        <v>março</v>
      </c>
      <c r="G538">
        <f t="shared" si="17"/>
        <v>2023</v>
      </c>
    </row>
    <row r="539" spans="1:7" x14ac:dyDescent="0.25">
      <c r="A539">
        <v>8120007</v>
      </c>
      <c r="B539" s="1">
        <v>44986</v>
      </c>
      <c r="C539" t="s">
        <v>377</v>
      </c>
      <c r="D539" s="6">
        <v>676.27</v>
      </c>
      <c r="E539" s="9">
        <v>4838.04</v>
      </c>
      <c r="F539" t="str">
        <f t="shared" si="16"/>
        <v>março</v>
      </c>
      <c r="G539">
        <f t="shared" si="17"/>
        <v>2023</v>
      </c>
    </row>
    <row r="540" spans="1:7" x14ac:dyDescent="0.25">
      <c r="A540">
        <v>8120008</v>
      </c>
      <c r="B540" s="1">
        <v>44986</v>
      </c>
      <c r="C540" t="s">
        <v>409</v>
      </c>
      <c r="D540" s="6">
        <v>5.92</v>
      </c>
      <c r="E540" s="9">
        <v>71.09</v>
      </c>
      <c r="F540" t="str">
        <f t="shared" si="16"/>
        <v>março</v>
      </c>
      <c r="G540">
        <f t="shared" si="17"/>
        <v>2023</v>
      </c>
    </row>
    <row r="541" spans="1:7" x14ac:dyDescent="0.25">
      <c r="A541">
        <v>8120011</v>
      </c>
      <c r="B541" s="1">
        <v>44986</v>
      </c>
      <c r="C541" t="s">
        <v>379</v>
      </c>
      <c r="D541" s="6">
        <v>15.24</v>
      </c>
      <c r="E541" s="9">
        <v>196.6</v>
      </c>
      <c r="F541" t="str">
        <f t="shared" si="16"/>
        <v>março</v>
      </c>
      <c r="G541">
        <f t="shared" si="17"/>
        <v>2023</v>
      </c>
    </row>
    <row r="542" spans="1:7" x14ac:dyDescent="0.25">
      <c r="A542">
        <v>8120013</v>
      </c>
      <c r="B542" s="1">
        <v>44986</v>
      </c>
      <c r="C542" t="s">
        <v>410</v>
      </c>
      <c r="D542" s="6">
        <v>2088</v>
      </c>
      <c r="E542" s="9">
        <v>16808.400000000001</v>
      </c>
      <c r="F542" t="str">
        <f t="shared" si="16"/>
        <v>março</v>
      </c>
      <c r="G542">
        <f t="shared" si="17"/>
        <v>2023</v>
      </c>
    </row>
    <row r="543" spans="1:7" x14ac:dyDescent="0.25">
      <c r="A543">
        <v>8120014</v>
      </c>
      <c r="B543" s="1">
        <v>44986</v>
      </c>
      <c r="C543" t="s">
        <v>411</v>
      </c>
      <c r="D543" s="6">
        <v>993.8</v>
      </c>
      <c r="E543" s="9">
        <v>18186.45</v>
      </c>
      <c r="F543" t="str">
        <f t="shared" si="16"/>
        <v>março</v>
      </c>
      <c r="G543">
        <f t="shared" si="17"/>
        <v>2023</v>
      </c>
    </row>
    <row r="544" spans="1:7" x14ac:dyDescent="0.25">
      <c r="A544">
        <v>8120015</v>
      </c>
      <c r="B544" s="1">
        <v>44986</v>
      </c>
      <c r="C544" t="s">
        <v>412</v>
      </c>
      <c r="D544" s="6">
        <v>2</v>
      </c>
      <c r="E544" s="9">
        <v>8.4</v>
      </c>
      <c r="F544" t="str">
        <f t="shared" si="16"/>
        <v>março</v>
      </c>
      <c r="G544">
        <f t="shared" si="17"/>
        <v>2023</v>
      </c>
    </row>
    <row r="545" spans="1:7" x14ac:dyDescent="0.25">
      <c r="A545">
        <v>8130002</v>
      </c>
      <c r="B545" s="1">
        <v>44986</v>
      </c>
      <c r="C545" t="s">
        <v>413</v>
      </c>
      <c r="D545" s="6">
        <v>2640</v>
      </c>
      <c r="E545" s="9">
        <v>5433.12</v>
      </c>
      <c r="F545" t="str">
        <f t="shared" si="16"/>
        <v>março</v>
      </c>
      <c r="G545">
        <f t="shared" si="17"/>
        <v>2023</v>
      </c>
    </row>
    <row r="546" spans="1:7" x14ac:dyDescent="0.25">
      <c r="A546">
        <v>8130003</v>
      </c>
      <c r="B546" s="1">
        <v>44986</v>
      </c>
      <c r="C546" t="s">
        <v>414</v>
      </c>
      <c r="D546" s="6">
        <v>486</v>
      </c>
      <c r="E546" s="9">
        <v>1381.21</v>
      </c>
      <c r="F546" t="str">
        <f t="shared" si="16"/>
        <v>março</v>
      </c>
      <c r="G546">
        <f t="shared" si="17"/>
        <v>2023</v>
      </c>
    </row>
    <row r="547" spans="1:7" x14ac:dyDescent="0.25">
      <c r="A547">
        <v>8130004</v>
      </c>
      <c r="B547" s="1">
        <v>44986</v>
      </c>
      <c r="C547" t="s">
        <v>415</v>
      </c>
      <c r="D547" s="6">
        <v>150</v>
      </c>
      <c r="E547" s="9">
        <v>637.5</v>
      </c>
      <c r="F547" t="str">
        <f t="shared" si="16"/>
        <v>março</v>
      </c>
      <c r="G547">
        <f t="shared" si="17"/>
        <v>2023</v>
      </c>
    </row>
    <row r="548" spans="1:7" x14ac:dyDescent="0.25">
      <c r="A548">
        <v>8130013</v>
      </c>
      <c r="B548" s="1">
        <v>44986</v>
      </c>
      <c r="C548" t="s">
        <v>416</v>
      </c>
      <c r="D548" s="6">
        <v>880</v>
      </c>
      <c r="E548" s="9">
        <v>2816</v>
      </c>
      <c r="F548" t="str">
        <f t="shared" si="16"/>
        <v>março</v>
      </c>
      <c r="G548">
        <f t="shared" si="17"/>
        <v>2023</v>
      </c>
    </row>
    <row r="549" spans="1:7" x14ac:dyDescent="0.25">
      <c r="A549">
        <v>8130014</v>
      </c>
      <c r="B549" s="1">
        <v>44986</v>
      </c>
      <c r="C549" t="s">
        <v>417</v>
      </c>
      <c r="D549" s="6">
        <v>1152</v>
      </c>
      <c r="E549" s="9">
        <v>4320</v>
      </c>
      <c r="F549" t="str">
        <f t="shared" si="16"/>
        <v>março</v>
      </c>
      <c r="G549">
        <f t="shared" si="17"/>
        <v>2023</v>
      </c>
    </row>
    <row r="550" spans="1:7" x14ac:dyDescent="0.25">
      <c r="A550">
        <v>8130015</v>
      </c>
      <c r="B550" s="1">
        <v>44986</v>
      </c>
      <c r="C550" t="s">
        <v>418</v>
      </c>
      <c r="D550" s="6">
        <v>1166.4000000000001</v>
      </c>
      <c r="E550" s="9">
        <v>5178.82</v>
      </c>
      <c r="F550" t="str">
        <f t="shared" si="16"/>
        <v>março</v>
      </c>
      <c r="G550">
        <f t="shared" si="17"/>
        <v>2023</v>
      </c>
    </row>
    <row r="551" spans="1:7" x14ac:dyDescent="0.25">
      <c r="A551">
        <v>8140002</v>
      </c>
      <c r="B551" s="1">
        <v>44986</v>
      </c>
      <c r="C551" t="s">
        <v>419</v>
      </c>
      <c r="D551" s="6">
        <v>1000</v>
      </c>
      <c r="E551" s="9">
        <v>1323</v>
      </c>
      <c r="F551" t="str">
        <f t="shared" si="16"/>
        <v>março</v>
      </c>
      <c r="G551">
        <f t="shared" si="17"/>
        <v>2023</v>
      </c>
    </row>
    <row r="552" spans="1:7" x14ac:dyDescent="0.25">
      <c r="A552">
        <v>8140003</v>
      </c>
      <c r="B552" s="1">
        <v>44986</v>
      </c>
      <c r="C552" t="s">
        <v>420</v>
      </c>
      <c r="D552" s="6">
        <v>1200</v>
      </c>
      <c r="E552" s="9">
        <v>2293.1999999999998</v>
      </c>
      <c r="F552" t="str">
        <f t="shared" si="16"/>
        <v>março</v>
      </c>
      <c r="G552">
        <f t="shared" si="17"/>
        <v>2023</v>
      </c>
    </row>
    <row r="553" spans="1:7" x14ac:dyDescent="0.25">
      <c r="A553">
        <v>8140004</v>
      </c>
      <c r="B553" s="1">
        <v>44986</v>
      </c>
      <c r="C553" t="s">
        <v>421</v>
      </c>
      <c r="D553" s="6">
        <v>500</v>
      </c>
      <c r="E553" s="9">
        <v>935</v>
      </c>
      <c r="F553" t="str">
        <f t="shared" si="16"/>
        <v>março</v>
      </c>
      <c r="G553">
        <f t="shared" si="17"/>
        <v>2023</v>
      </c>
    </row>
    <row r="554" spans="1:7" x14ac:dyDescent="0.25">
      <c r="A554">
        <v>8140005</v>
      </c>
      <c r="B554" s="1">
        <v>44986</v>
      </c>
      <c r="C554" t="s">
        <v>422</v>
      </c>
      <c r="D554" s="6">
        <v>500</v>
      </c>
      <c r="E554" s="9">
        <v>940</v>
      </c>
      <c r="F554" t="str">
        <f t="shared" si="16"/>
        <v>março</v>
      </c>
      <c r="G554">
        <f t="shared" si="17"/>
        <v>2023</v>
      </c>
    </row>
    <row r="555" spans="1:7" x14ac:dyDescent="0.25">
      <c r="A555">
        <v>8140006</v>
      </c>
      <c r="B555" s="1">
        <v>44986</v>
      </c>
      <c r="C555" t="s">
        <v>423</v>
      </c>
      <c r="D555" s="6">
        <v>7</v>
      </c>
      <c r="E555" s="9">
        <v>16.45</v>
      </c>
      <c r="F555" t="str">
        <f t="shared" si="16"/>
        <v>março</v>
      </c>
      <c r="G555">
        <f t="shared" si="17"/>
        <v>2023</v>
      </c>
    </row>
    <row r="556" spans="1:7" x14ac:dyDescent="0.25">
      <c r="A556">
        <v>8140010</v>
      </c>
      <c r="B556" s="1">
        <v>44986</v>
      </c>
      <c r="C556" t="s">
        <v>424</v>
      </c>
      <c r="D556" s="6">
        <v>4150</v>
      </c>
      <c r="E556" s="9">
        <v>11665</v>
      </c>
      <c r="F556" t="str">
        <f t="shared" si="16"/>
        <v>março</v>
      </c>
      <c r="G556">
        <f t="shared" si="17"/>
        <v>2023</v>
      </c>
    </row>
    <row r="557" spans="1:7" x14ac:dyDescent="0.25">
      <c r="A557">
        <v>8140012</v>
      </c>
      <c r="B557" s="1">
        <v>44986</v>
      </c>
      <c r="C557" t="s">
        <v>425</v>
      </c>
      <c r="D557" s="6">
        <v>303</v>
      </c>
      <c r="E557" s="9">
        <v>5750.95</v>
      </c>
      <c r="F557" t="str">
        <f t="shared" si="16"/>
        <v>março</v>
      </c>
      <c r="G557">
        <f t="shared" si="17"/>
        <v>2023</v>
      </c>
    </row>
    <row r="558" spans="1:7" x14ac:dyDescent="0.25">
      <c r="A558">
        <v>8150001</v>
      </c>
      <c r="B558" s="1">
        <v>44986</v>
      </c>
      <c r="C558" t="s">
        <v>382</v>
      </c>
      <c r="D558" s="6">
        <v>550</v>
      </c>
      <c r="E558" s="9">
        <v>6737.5</v>
      </c>
      <c r="F558" t="str">
        <f t="shared" si="16"/>
        <v>março</v>
      </c>
      <c r="G558">
        <f t="shared" si="17"/>
        <v>2023</v>
      </c>
    </row>
    <row r="559" spans="1:7" x14ac:dyDescent="0.25">
      <c r="A559">
        <v>8150002</v>
      </c>
      <c r="B559" s="1">
        <v>44986</v>
      </c>
      <c r="C559" t="s">
        <v>383</v>
      </c>
      <c r="D559" s="6">
        <v>1275</v>
      </c>
      <c r="E559" s="9">
        <v>11647.41</v>
      </c>
      <c r="F559" t="str">
        <f t="shared" si="16"/>
        <v>março</v>
      </c>
      <c r="G559">
        <f t="shared" si="17"/>
        <v>2023</v>
      </c>
    </row>
    <row r="560" spans="1:7" x14ac:dyDescent="0.25">
      <c r="A560">
        <v>8150003</v>
      </c>
      <c r="B560" s="1">
        <v>44986</v>
      </c>
      <c r="C560" t="s">
        <v>384</v>
      </c>
      <c r="D560" s="6">
        <v>3780</v>
      </c>
      <c r="E560" s="9">
        <v>29973.51</v>
      </c>
      <c r="F560" t="str">
        <f t="shared" si="16"/>
        <v>março</v>
      </c>
      <c r="G560">
        <f t="shared" si="17"/>
        <v>2023</v>
      </c>
    </row>
    <row r="561" spans="1:7" x14ac:dyDescent="0.25">
      <c r="A561">
        <v>8150004</v>
      </c>
      <c r="B561" s="1">
        <v>44986</v>
      </c>
      <c r="C561" t="s">
        <v>385</v>
      </c>
      <c r="D561" s="6">
        <v>11355</v>
      </c>
      <c r="E561" s="9">
        <v>75240.149999999994</v>
      </c>
      <c r="F561" t="str">
        <f t="shared" si="16"/>
        <v>março</v>
      </c>
      <c r="G561">
        <f t="shared" si="17"/>
        <v>2023</v>
      </c>
    </row>
    <row r="562" spans="1:7" x14ac:dyDescent="0.25">
      <c r="A562">
        <v>8150005</v>
      </c>
      <c r="B562" s="1">
        <v>44986</v>
      </c>
      <c r="C562" t="s">
        <v>386</v>
      </c>
      <c r="D562" s="6">
        <v>1500</v>
      </c>
      <c r="E562" s="9">
        <v>8100</v>
      </c>
      <c r="F562" t="str">
        <f t="shared" si="16"/>
        <v>março</v>
      </c>
      <c r="G562">
        <f t="shared" si="17"/>
        <v>2023</v>
      </c>
    </row>
    <row r="563" spans="1:7" x14ac:dyDescent="0.25">
      <c r="A563">
        <v>8150006</v>
      </c>
      <c r="B563" s="1">
        <v>44986</v>
      </c>
      <c r="C563" t="s">
        <v>387</v>
      </c>
      <c r="D563" s="6">
        <v>550</v>
      </c>
      <c r="E563" s="9">
        <v>2750</v>
      </c>
      <c r="F563" t="str">
        <f t="shared" si="16"/>
        <v>março</v>
      </c>
      <c r="G563">
        <f t="shared" si="17"/>
        <v>2023</v>
      </c>
    </row>
    <row r="564" spans="1:7" x14ac:dyDescent="0.25">
      <c r="A564" t="s">
        <v>426</v>
      </c>
      <c r="B564" s="1">
        <v>45017</v>
      </c>
      <c r="C564" s="2" t="s">
        <v>331</v>
      </c>
      <c r="D564" s="7">
        <v>735.5</v>
      </c>
      <c r="E564" s="10">
        <v>220.65</v>
      </c>
      <c r="F564" t="str">
        <f t="shared" si="16"/>
        <v>abril</v>
      </c>
      <c r="G564">
        <f t="shared" si="17"/>
        <v>2023</v>
      </c>
    </row>
    <row r="565" spans="1:7" x14ac:dyDescent="0.25">
      <c r="A565" t="s">
        <v>427</v>
      </c>
      <c r="B565" s="1">
        <v>45017</v>
      </c>
      <c r="C565" s="3" t="s">
        <v>333</v>
      </c>
      <c r="D565" s="8">
        <v>921</v>
      </c>
      <c r="E565" s="11">
        <v>276.3</v>
      </c>
      <c r="F565" t="str">
        <f t="shared" si="16"/>
        <v>abril</v>
      </c>
      <c r="G565">
        <f t="shared" si="17"/>
        <v>2023</v>
      </c>
    </row>
    <row r="566" spans="1:7" x14ac:dyDescent="0.25">
      <c r="A566" t="s">
        <v>5</v>
      </c>
      <c r="B566" s="1">
        <v>45017</v>
      </c>
      <c r="C566" s="2" t="s">
        <v>6</v>
      </c>
      <c r="D566" s="7">
        <v>1334.9</v>
      </c>
      <c r="E566" s="10">
        <v>805.39</v>
      </c>
      <c r="F566" t="str">
        <f t="shared" si="16"/>
        <v>abril</v>
      </c>
      <c r="G566">
        <f t="shared" si="17"/>
        <v>2023</v>
      </c>
    </row>
    <row r="567" spans="1:7" x14ac:dyDescent="0.25">
      <c r="A567" t="s">
        <v>7</v>
      </c>
      <c r="B567" s="1">
        <v>45017</v>
      </c>
      <c r="C567" s="3" t="s">
        <v>334</v>
      </c>
      <c r="D567" s="8">
        <v>5774.19</v>
      </c>
      <c r="E567" s="11">
        <v>4736.34</v>
      </c>
      <c r="F567" t="str">
        <f t="shared" si="16"/>
        <v>abril</v>
      </c>
      <c r="G567">
        <f t="shared" si="17"/>
        <v>2023</v>
      </c>
    </row>
    <row r="568" spans="1:7" x14ac:dyDescent="0.25">
      <c r="A568" t="s">
        <v>9</v>
      </c>
      <c r="B568" s="1">
        <v>45017</v>
      </c>
      <c r="C568" s="2" t="s">
        <v>335</v>
      </c>
      <c r="D568" s="7">
        <v>281.57</v>
      </c>
      <c r="E568" s="10">
        <v>590.59</v>
      </c>
      <c r="F568" t="str">
        <f t="shared" si="16"/>
        <v>abril</v>
      </c>
      <c r="G568">
        <f t="shared" si="17"/>
        <v>2023</v>
      </c>
    </row>
    <row r="569" spans="1:7" x14ac:dyDescent="0.25">
      <c r="A569" t="s">
        <v>11</v>
      </c>
      <c r="B569" s="1">
        <v>45017</v>
      </c>
      <c r="C569" s="3" t="s">
        <v>12</v>
      </c>
      <c r="D569" s="8">
        <v>109.28</v>
      </c>
      <c r="E569" s="11">
        <v>826.03</v>
      </c>
      <c r="F569" t="str">
        <f t="shared" si="16"/>
        <v>abril</v>
      </c>
      <c r="G569">
        <f t="shared" si="17"/>
        <v>2023</v>
      </c>
    </row>
    <row r="570" spans="1:7" x14ac:dyDescent="0.25">
      <c r="A570" t="s">
        <v>13</v>
      </c>
      <c r="B570" s="1">
        <v>45017</v>
      </c>
      <c r="C570" s="2" t="s">
        <v>14</v>
      </c>
      <c r="D570" s="7">
        <v>36</v>
      </c>
      <c r="E570" s="10">
        <v>272.7</v>
      </c>
      <c r="F570" t="str">
        <f t="shared" si="16"/>
        <v>abril</v>
      </c>
      <c r="G570">
        <f t="shared" si="17"/>
        <v>2023</v>
      </c>
    </row>
    <row r="571" spans="1:7" x14ac:dyDescent="0.25">
      <c r="A571" t="s">
        <v>428</v>
      </c>
      <c r="B571" s="1">
        <v>45017</v>
      </c>
      <c r="C571" s="3" t="s">
        <v>429</v>
      </c>
      <c r="D571" s="8">
        <v>508.7</v>
      </c>
      <c r="E571" s="11">
        <v>1271.75</v>
      </c>
      <c r="F571" t="str">
        <f t="shared" si="16"/>
        <v>abril</v>
      </c>
      <c r="G571">
        <f t="shared" si="17"/>
        <v>2023</v>
      </c>
    </row>
    <row r="572" spans="1:7" x14ac:dyDescent="0.25">
      <c r="A572" t="s">
        <v>15</v>
      </c>
      <c r="B572" s="1">
        <v>45017</v>
      </c>
      <c r="C572" s="2" t="s">
        <v>336</v>
      </c>
      <c r="D572" s="7">
        <v>488.15</v>
      </c>
      <c r="E572" s="10">
        <v>670.61</v>
      </c>
      <c r="F572" t="str">
        <f t="shared" si="16"/>
        <v>abril</v>
      </c>
      <c r="G572">
        <f t="shared" si="17"/>
        <v>2023</v>
      </c>
    </row>
    <row r="573" spans="1:7" x14ac:dyDescent="0.25">
      <c r="A573" t="s">
        <v>17</v>
      </c>
      <c r="B573" s="1">
        <v>45017</v>
      </c>
      <c r="C573" s="3" t="s">
        <v>337</v>
      </c>
      <c r="D573" s="8">
        <v>41.8</v>
      </c>
      <c r="E573" s="11">
        <v>44.98</v>
      </c>
      <c r="F573" t="str">
        <f t="shared" si="16"/>
        <v>abril</v>
      </c>
      <c r="G573">
        <f t="shared" si="17"/>
        <v>2023</v>
      </c>
    </row>
    <row r="574" spans="1:7" x14ac:dyDescent="0.25">
      <c r="A574" t="s">
        <v>430</v>
      </c>
      <c r="B574" s="1">
        <v>45017</v>
      </c>
      <c r="C574" s="2" t="s">
        <v>431</v>
      </c>
      <c r="D574" s="7">
        <v>189.66</v>
      </c>
      <c r="E574" s="10">
        <v>266.10000000000002</v>
      </c>
      <c r="F574" t="str">
        <f t="shared" si="16"/>
        <v>abril</v>
      </c>
      <c r="G574">
        <f t="shared" si="17"/>
        <v>2023</v>
      </c>
    </row>
    <row r="575" spans="1:7" x14ac:dyDescent="0.25">
      <c r="A575" t="s">
        <v>19</v>
      </c>
      <c r="B575" s="1">
        <v>45017</v>
      </c>
      <c r="C575" s="3" t="s">
        <v>20</v>
      </c>
      <c r="D575" s="8">
        <v>778.3</v>
      </c>
      <c r="E575" s="11">
        <v>576.4</v>
      </c>
      <c r="F575" t="str">
        <f t="shared" si="16"/>
        <v>abril</v>
      </c>
      <c r="G575">
        <f t="shared" si="17"/>
        <v>2023</v>
      </c>
    </row>
    <row r="576" spans="1:7" x14ac:dyDescent="0.25">
      <c r="A576" t="s">
        <v>21</v>
      </c>
      <c r="B576" s="1">
        <v>45017</v>
      </c>
      <c r="C576" s="2" t="s">
        <v>293</v>
      </c>
      <c r="D576" s="7">
        <v>46.2</v>
      </c>
      <c r="E576" s="10">
        <v>24.87</v>
      </c>
      <c r="F576" t="str">
        <f t="shared" si="16"/>
        <v>abril</v>
      </c>
      <c r="G576">
        <f t="shared" si="17"/>
        <v>2023</v>
      </c>
    </row>
    <row r="577" spans="1:7" x14ac:dyDescent="0.25">
      <c r="A577" t="s">
        <v>23</v>
      </c>
      <c r="B577" s="1">
        <v>45017</v>
      </c>
      <c r="C577" s="3" t="s">
        <v>24</v>
      </c>
      <c r="D577" s="8">
        <v>43.6</v>
      </c>
      <c r="E577" s="11">
        <v>60.62</v>
      </c>
      <c r="F577" t="str">
        <f t="shared" si="16"/>
        <v>abril</v>
      </c>
      <c r="G577">
        <f t="shared" si="17"/>
        <v>2023</v>
      </c>
    </row>
    <row r="578" spans="1:7" x14ac:dyDescent="0.25">
      <c r="A578" t="s">
        <v>432</v>
      </c>
      <c r="B578" s="1">
        <v>45017</v>
      </c>
      <c r="C578" s="2" t="s">
        <v>338</v>
      </c>
      <c r="D578" s="7">
        <v>101.7</v>
      </c>
      <c r="E578" s="10">
        <v>274.58999999999997</v>
      </c>
      <c r="F578" t="str">
        <f t="shared" si="16"/>
        <v>abril</v>
      </c>
      <c r="G578">
        <f t="shared" si="17"/>
        <v>2023</v>
      </c>
    </row>
    <row r="579" spans="1:7" x14ac:dyDescent="0.25">
      <c r="A579" t="s">
        <v>433</v>
      </c>
      <c r="B579" s="1">
        <v>45017</v>
      </c>
      <c r="C579" s="3" t="s">
        <v>340</v>
      </c>
      <c r="D579" s="8">
        <v>442.6</v>
      </c>
      <c r="E579" s="11">
        <v>177.04</v>
      </c>
      <c r="F579" t="str">
        <f t="shared" ref="F579:F642" si="18">TEXT(B579,"mmmm")</f>
        <v>abril</v>
      </c>
      <c r="G579">
        <f t="shared" ref="G579:G642" si="19">YEAR(B579)</f>
        <v>2023</v>
      </c>
    </row>
    <row r="580" spans="1:7" x14ac:dyDescent="0.25">
      <c r="A580" t="s">
        <v>434</v>
      </c>
      <c r="B580" s="1">
        <v>45017</v>
      </c>
      <c r="C580" s="2" t="s">
        <v>342</v>
      </c>
      <c r="D580" s="7">
        <v>130.9</v>
      </c>
      <c r="E580" s="10">
        <v>78.540000000000006</v>
      </c>
      <c r="F580" t="str">
        <f t="shared" si="18"/>
        <v>abril</v>
      </c>
      <c r="G580">
        <f t="shared" si="19"/>
        <v>2023</v>
      </c>
    </row>
    <row r="581" spans="1:7" x14ac:dyDescent="0.25">
      <c r="A581" t="s">
        <v>435</v>
      </c>
      <c r="B581" s="1">
        <v>45017</v>
      </c>
      <c r="C581" s="3" t="s">
        <v>344</v>
      </c>
      <c r="D581" s="8">
        <v>137.1</v>
      </c>
      <c r="E581" s="11">
        <v>233.07</v>
      </c>
      <c r="F581" t="str">
        <f t="shared" si="18"/>
        <v>abril</v>
      </c>
      <c r="G581">
        <f t="shared" si="19"/>
        <v>2023</v>
      </c>
    </row>
    <row r="582" spans="1:7" x14ac:dyDescent="0.25">
      <c r="A582" t="s">
        <v>294</v>
      </c>
      <c r="B582" s="1">
        <v>45017</v>
      </c>
      <c r="C582" s="2" t="s">
        <v>295</v>
      </c>
      <c r="D582" s="7">
        <v>8128.3</v>
      </c>
      <c r="E582" s="10">
        <v>9017.7800000000007</v>
      </c>
      <c r="F582" t="str">
        <f t="shared" si="18"/>
        <v>abril</v>
      </c>
      <c r="G582">
        <f t="shared" si="19"/>
        <v>2023</v>
      </c>
    </row>
    <row r="583" spans="1:7" x14ac:dyDescent="0.25">
      <c r="A583" t="s">
        <v>26</v>
      </c>
      <c r="B583" s="1">
        <v>45017</v>
      </c>
      <c r="C583" s="3" t="s">
        <v>27</v>
      </c>
      <c r="D583" s="8">
        <v>2524.92</v>
      </c>
      <c r="E583" s="11">
        <v>1998.43</v>
      </c>
      <c r="F583" t="str">
        <f t="shared" si="18"/>
        <v>abril</v>
      </c>
      <c r="G583">
        <f t="shared" si="19"/>
        <v>2023</v>
      </c>
    </row>
    <row r="584" spans="1:7" x14ac:dyDescent="0.25">
      <c r="A584" t="s">
        <v>296</v>
      </c>
      <c r="B584" s="1">
        <v>45017</v>
      </c>
      <c r="C584" s="2" t="s">
        <v>297</v>
      </c>
      <c r="D584" s="7">
        <v>967</v>
      </c>
      <c r="E584" s="10">
        <v>483.5</v>
      </c>
      <c r="F584" t="str">
        <f t="shared" si="18"/>
        <v>abril</v>
      </c>
      <c r="G584">
        <f t="shared" si="19"/>
        <v>2023</v>
      </c>
    </row>
    <row r="585" spans="1:7" x14ac:dyDescent="0.25">
      <c r="A585" t="s">
        <v>28</v>
      </c>
      <c r="B585" s="1">
        <v>45017</v>
      </c>
      <c r="C585" s="3" t="s">
        <v>29</v>
      </c>
      <c r="D585" s="8">
        <v>18474</v>
      </c>
      <c r="E585" s="11">
        <v>1477.92</v>
      </c>
      <c r="F585" t="str">
        <f t="shared" si="18"/>
        <v>abril</v>
      </c>
      <c r="G585">
        <f t="shared" si="19"/>
        <v>2023</v>
      </c>
    </row>
    <row r="586" spans="1:7" x14ac:dyDescent="0.25">
      <c r="A586" t="s">
        <v>30</v>
      </c>
      <c r="B586" s="1">
        <v>45017</v>
      </c>
      <c r="C586" s="2" t="s">
        <v>31</v>
      </c>
      <c r="D586" s="7">
        <v>273.44</v>
      </c>
      <c r="E586" s="10">
        <v>448.59</v>
      </c>
      <c r="F586" t="str">
        <f t="shared" si="18"/>
        <v>abril</v>
      </c>
      <c r="G586">
        <f t="shared" si="19"/>
        <v>2023</v>
      </c>
    </row>
    <row r="587" spans="1:7" x14ac:dyDescent="0.25">
      <c r="A587" t="s">
        <v>32</v>
      </c>
      <c r="B587" s="1">
        <v>45017</v>
      </c>
      <c r="C587" s="3" t="s">
        <v>33</v>
      </c>
      <c r="D587" s="8">
        <v>2911.39</v>
      </c>
      <c r="E587" s="11">
        <v>6170.66</v>
      </c>
      <c r="F587" t="str">
        <f t="shared" si="18"/>
        <v>abril</v>
      </c>
      <c r="G587">
        <f t="shared" si="19"/>
        <v>2023</v>
      </c>
    </row>
    <row r="588" spans="1:7" x14ac:dyDescent="0.25">
      <c r="A588" t="s">
        <v>34</v>
      </c>
      <c r="B588" s="1">
        <v>45017</v>
      </c>
      <c r="C588" s="2" t="s">
        <v>35</v>
      </c>
      <c r="D588" s="7">
        <v>57.32</v>
      </c>
      <c r="E588" s="10">
        <v>85.98</v>
      </c>
      <c r="F588" t="str">
        <f t="shared" si="18"/>
        <v>abril</v>
      </c>
      <c r="G588">
        <f t="shared" si="19"/>
        <v>2023</v>
      </c>
    </row>
    <row r="589" spans="1:7" x14ac:dyDescent="0.25">
      <c r="A589" t="s">
        <v>36</v>
      </c>
      <c r="B589" s="1">
        <v>45017</v>
      </c>
      <c r="C589" s="3" t="s">
        <v>37</v>
      </c>
      <c r="D589" s="8">
        <v>52.5</v>
      </c>
      <c r="E589" s="11">
        <v>49.01</v>
      </c>
      <c r="F589" t="str">
        <f t="shared" si="18"/>
        <v>abril</v>
      </c>
      <c r="G589">
        <f t="shared" si="19"/>
        <v>2023</v>
      </c>
    </row>
    <row r="590" spans="1:7" x14ac:dyDescent="0.25">
      <c r="A590" t="s">
        <v>436</v>
      </c>
      <c r="B590" s="1">
        <v>45017</v>
      </c>
      <c r="C590" s="2" t="s">
        <v>437</v>
      </c>
      <c r="D590" s="7">
        <v>420</v>
      </c>
      <c r="E590" s="10">
        <v>210</v>
      </c>
      <c r="F590" t="str">
        <f t="shared" si="18"/>
        <v>abril</v>
      </c>
      <c r="G590">
        <f t="shared" si="19"/>
        <v>2023</v>
      </c>
    </row>
    <row r="591" spans="1:7" x14ac:dyDescent="0.25">
      <c r="A591" t="s">
        <v>301</v>
      </c>
      <c r="B591" s="1">
        <v>45017</v>
      </c>
      <c r="C591" s="3" t="s">
        <v>302</v>
      </c>
      <c r="D591" s="8">
        <v>387.2</v>
      </c>
      <c r="E591" s="11">
        <v>1084.1600000000001</v>
      </c>
      <c r="F591" t="str">
        <f t="shared" si="18"/>
        <v>abril</v>
      </c>
      <c r="G591">
        <f t="shared" si="19"/>
        <v>2023</v>
      </c>
    </row>
    <row r="592" spans="1:7" x14ac:dyDescent="0.25">
      <c r="A592" t="s">
        <v>38</v>
      </c>
      <c r="B592" s="1">
        <v>45017</v>
      </c>
      <c r="C592" s="2" t="s">
        <v>39</v>
      </c>
      <c r="D592" s="7">
        <v>1185.94</v>
      </c>
      <c r="E592" s="10">
        <v>1837.98</v>
      </c>
      <c r="F592" t="str">
        <f t="shared" si="18"/>
        <v>abril</v>
      </c>
      <c r="G592">
        <f t="shared" si="19"/>
        <v>2023</v>
      </c>
    </row>
    <row r="593" spans="1:7" x14ac:dyDescent="0.25">
      <c r="A593" t="s">
        <v>40</v>
      </c>
      <c r="B593" s="1">
        <v>45017</v>
      </c>
      <c r="C593" s="3" t="s">
        <v>41</v>
      </c>
      <c r="D593" s="8">
        <v>277.5</v>
      </c>
      <c r="E593" s="11">
        <v>593.37</v>
      </c>
      <c r="F593" t="str">
        <f t="shared" si="18"/>
        <v>abril</v>
      </c>
      <c r="G593">
        <f t="shared" si="19"/>
        <v>2023</v>
      </c>
    </row>
    <row r="594" spans="1:7" x14ac:dyDescent="0.25">
      <c r="A594" t="s">
        <v>42</v>
      </c>
      <c r="B594" s="1">
        <v>45017</v>
      </c>
      <c r="C594" s="2" t="s">
        <v>43</v>
      </c>
      <c r="D594" s="7">
        <v>772.9</v>
      </c>
      <c r="E594" s="10">
        <v>1339.46</v>
      </c>
      <c r="F594" t="str">
        <f t="shared" si="18"/>
        <v>abril</v>
      </c>
      <c r="G594">
        <f t="shared" si="19"/>
        <v>2023</v>
      </c>
    </row>
    <row r="595" spans="1:7" x14ac:dyDescent="0.25">
      <c r="A595" t="s">
        <v>44</v>
      </c>
      <c r="B595" s="1">
        <v>45017</v>
      </c>
      <c r="C595" s="3" t="s">
        <v>45</v>
      </c>
      <c r="D595" s="8">
        <v>341.27</v>
      </c>
      <c r="E595" s="11">
        <v>563.37</v>
      </c>
      <c r="F595" t="str">
        <f t="shared" si="18"/>
        <v>abril</v>
      </c>
      <c r="G595">
        <f t="shared" si="19"/>
        <v>2023</v>
      </c>
    </row>
    <row r="596" spans="1:7" x14ac:dyDescent="0.25">
      <c r="A596" t="s">
        <v>46</v>
      </c>
      <c r="B596" s="1">
        <v>45017</v>
      </c>
      <c r="C596" s="2" t="s">
        <v>47</v>
      </c>
      <c r="D596" s="7">
        <v>70</v>
      </c>
      <c r="E596" s="10">
        <v>35</v>
      </c>
      <c r="F596" t="str">
        <f t="shared" si="18"/>
        <v>abril</v>
      </c>
      <c r="G596">
        <f t="shared" si="19"/>
        <v>2023</v>
      </c>
    </row>
    <row r="597" spans="1:7" x14ac:dyDescent="0.25">
      <c r="A597" t="s">
        <v>48</v>
      </c>
      <c r="B597" s="1">
        <v>45017</v>
      </c>
      <c r="C597" s="3" t="s">
        <v>49</v>
      </c>
      <c r="D597" s="8">
        <v>740.47</v>
      </c>
      <c r="E597" s="11">
        <v>1208.44</v>
      </c>
      <c r="F597" t="str">
        <f t="shared" si="18"/>
        <v>abril</v>
      </c>
      <c r="G597">
        <f t="shared" si="19"/>
        <v>2023</v>
      </c>
    </row>
    <row r="598" spans="1:7" x14ac:dyDescent="0.25">
      <c r="A598" t="s">
        <v>52</v>
      </c>
      <c r="B598" s="1">
        <v>45017</v>
      </c>
      <c r="C598" s="3" t="s">
        <v>53</v>
      </c>
      <c r="D598" s="8">
        <v>1166.4000000000001</v>
      </c>
      <c r="E598" s="11">
        <v>467.04</v>
      </c>
      <c r="F598" t="str">
        <f t="shared" si="18"/>
        <v>abril</v>
      </c>
      <c r="G598">
        <f t="shared" si="19"/>
        <v>2023</v>
      </c>
    </row>
    <row r="599" spans="1:7" x14ac:dyDescent="0.25">
      <c r="A599" t="s">
        <v>54</v>
      </c>
      <c r="B599" s="1">
        <v>45017</v>
      </c>
      <c r="C599" s="2" t="s">
        <v>55</v>
      </c>
      <c r="D599" s="7">
        <v>106</v>
      </c>
      <c r="E599" s="10">
        <v>104</v>
      </c>
      <c r="F599" t="str">
        <f t="shared" si="18"/>
        <v>abril</v>
      </c>
      <c r="G599">
        <f t="shared" si="19"/>
        <v>2023</v>
      </c>
    </row>
    <row r="600" spans="1:7" x14ac:dyDescent="0.25">
      <c r="A600" t="s">
        <v>438</v>
      </c>
      <c r="B600" s="1">
        <v>45017</v>
      </c>
      <c r="C600" s="3" t="s">
        <v>439</v>
      </c>
      <c r="D600" s="8">
        <v>22</v>
      </c>
      <c r="E600" s="11">
        <v>33</v>
      </c>
      <c r="F600" t="str">
        <f t="shared" si="18"/>
        <v>abril</v>
      </c>
      <c r="G600">
        <f t="shared" si="19"/>
        <v>2023</v>
      </c>
    </row>
    <row r="601" spans="1:7" x14ac:dyDescent="0.25">
      <c r="A601" t="s">
        <v>56</v>
      </c>
      <c r="B601" s="1">
        <v>45017</v>
      </c>
      <c r="C601" s="2" t="s">
        <v>57</v>
      </c>
      <c r="D601" s="7">
        <v>161.80000000000001</v>
      </c>
      <c r="E601" s="10">
        <v>210.34</v>
      </c>
      <c r="F601" t="str">
        <f t="shared" si="18"/>
        <v>abril</v>
      </c>
      <c r="G601">
        <f t="shared" si="19"/>
        <v>2023</v>
      </c>
    </row>
    <row r="602" spans="1:7" x14ac:dyDescent="0.25">
      <c r="A602" t="s">
        <v>440</v>
      </c>
      <c r="B602" s="1">
        <v>45017</v>
      </c>
      <c r="C602" s="3" t="s">
        <v>346</v>
      </c>
      <c r="D602" s="8">
        <v>3609</v>
      </c>
      <c r="E602" s="11">
        <v>8300.7000000000007</v>
      </c>
      <c r="F602" t="str">
        <f t="shared" si="18"/>
        <v>abril</v>
      </c>
      <c r="G602">
        <f t="shared" si="19"/>
        <v>2023</v>
      </c>
    </row>
    <row r="603" spans="1:7" x14ac:dyDescent="0.25">
      <c r="A603" t="s">
        <v>58</v>
      </c>
      <c r="B603" s="1">
        <v>45017</v>
      </c>
      <c r="C603" s="2" t="s">
        <v>59</v>
      </c>
      <c r="D603" s="7">
        <v>1632.9</v>
      </c>
      <c r="E603" s="10">
        <v>1733.1</v>
      </c>
      <c r="F603" t="str">
        <f t="shared" si="18"/>
        <v>abril</v>
      </c>
      <c r="G603">
        <f t="shared" si="19"/>
        <v>2023</v>
      </c>
    </row>
    <row r="604" spans="1:7" x14ac:dyDescent="0.25">
      <c r="A604" t="s">
        <v>441</v>
      </c>
      <c r="B604" s="1">
        <v>45017</v>
      </c>
      <c r="C604" s="3" t="s">
        <v>347</v>
      </c>
      <c r="D604" s="8">
        <v>736</v>
      </c>
      <c r="E604" s="11">
        <v>956.8</v>
      </c>
      <c r="F604" t="str">
        <f t="shared" si="18"/>
        <v>abril</v>
      </c>
      <c r="G604">
        <f t="shared" si="19"/>
        <v>2023</v>
      </c>
    </row>
    <row r="605" spans="1:7" x14ac:dyDescent="0.25">
      <c r="A605" t="s">
        <v>442</v>
      </c>
      <c r="B605" s="1">
        <v>45017</v>
      </c>
      <c r="C605" s="2" t="s">
        <v>443</v>
      </c>
      <c r="D605" s="7">
        <v>12.2</v>
      </c>
      <c r="E605" s="10">
        <v>20.74</v>
      </c>
      <c r="F605" t="str">
        <f t="shared" si="18"/>
        <v>abril</v>
      </c>
      <c r="G605">
        <f t="shared" si="19"/>
        <v>2023</v>
      </c>
    </row>
    <row r="606" spans="1:7" x14ac:dyDescent="0.25">
      <c r="A606" t="s">
        <v>444</v>
      </c>
      <c r="B606" s="1">
        <v>45017</v>
      </c>
      <c r="C606" s="3" t="s">
        <v>348</v>
      </c>
      <c r="D606" s="8">
        <v>872.9</v>
      </c>
      <c r="E606" s="11">
        <v>261.87</v>
      </c>
      <c r="F606" t="str">
        <f t="shared" si="18"/>
        <v>abril</v>
      </c>
      <c r="G606">
        <f t="shared" si="19"/>
        <v>2023</v>
      </c>
    </row>
    <row r="607" spans="1:7" x14ac:dyDescent="0.25">
      <c r="A607" t="s">
        <v>60</v>
      </c>
      <c r="B607" s="1">
        <v>45017</v>
      </c>
      <c r="C607" s="2" t="s">
        <v>61</v>
      </c>
      <c r="D607" s="7">
        <v>8</v>
      </c>
      <c r="E607" s="10">
        <v>4</v>
      </c>
      <c r="F607" t="str">
        <f t="shared" si="18"/>
        <v>abril</v>
      </c>
      <c r="G607">
        <f t="shared" si="19"/>
        <v>2023</v>
      </c>
    </row>
    <row r="608" spans="1:7" x14ac:dyDescent="0.25">
      <c r="A608" t="s">
        <v>62</v>
      </c>
      <c r="B608" s="1">
        <v>45017</v>
      </c>
      <c r="C608" s="3" t="s">
        <v>63</v>
      </c>
      <c r="D608" s="8">
        <v>57521.3</v>
      </c>
      <c r="E608" s="11">
        <v>171476.17</v>
      </c>
      <c r="F608" t="str">
        <f t="shared" si="18"/>
        <v>abril</v>
      </c>
      <c r="G608">
        <f t="shared" si="19"/>
        <v>2023</v>
      </c>
    </row>
    <row r="609" spans="1:7" x14ac:dyDescent="0.25">
      <c r="A609" t="s">
        <v>64</v>
      </c>
      <c r="B609" s="1">
        <v>45017</v>
      </c>
      <c r="C609" s="2" t="s">
        <v>65</v>
      </c>
      <c r="D609" s="7">
        <v>356.4</v>
      </c>
      <c r="E609" s="10">
        <v>1087.02</v>
      </c>
      <c r="F609" t="str">
        <f t="shared" si="18"/>
        <v>abril</v>
      </c>
      <c r="G609">
        <f t="shared" si="19"/>
        <v>2023</v>
      </c>
    </row>
    <row r="610" spans="1:7" x14ac:dyDescent="0.25">
      <c r="A610" t="s">
        <v>66</v>
      </c>
      <c r="B610" s="1">
        <v>45017</v>
      </c>
      <c r="C610" s="3" t="s">
        <v>67</v>
      </c>
      <c r="D610" s="8">
        <v>66185.14</v>
      </c>
      <c r="E610" s="11">
        <v>217731.94</v>
      </c>
      <c r="F610" t="str">
        <f t="shared" si="18"/>
        <v>abril</v>
      </c>
      <c r="G610">
        <f t="shared" si="19"/>
        <v>2023</v>
      </c>
    </row>
    <row r="611" spans="1:7" x14ac:dyDescent="0.25">
      <c r="A611" t="s">
        <v>68</v>
      </c>
      <c r="B611" s="1">
        <v>45017</v>
      </c>
      <c r="C611" s="2" t="s">
        <v>69</v>
      </c>
      <c r="D611" s="7">
        <v>11354.69</v>
      </c>
      <c r="E611" s="10">
        <v>37193.93</v>
      </c>
      <c r="F611" t="str">
        <f t="shared" si="18"/>
        <v>abril</v>
      </c>
      <c r="G611">
        <f t="shared" si="19"/>
        <v>2023</v>
      </c>
    </row>
    <row r="612" spans="1:7" x14ac:dyDescent="0.25">
      <c r="A612" t="s">
        <v>70</v>
      </c>
      <c r="B612" s="1">
        <v>45017</v>
      </c>
      <c r="C612" s="3" t="s">
        <v>71</v>
      </c>
      <c r="D612" s="8">
        <v>2959.5</v>
      </c>
      <c r="E612" s="11">
        <v>10164.790000000001</v>
      </c>
      <c r="F612" t="str">
        <f t="shared" si="18"/>
        <v>abril</v>
      </c>
      <c r="G612">
        <f t="shared" si="19"/>
        <v>2023</v>
      </c>
    </row>
    <row r="613" spans="1:7" x14ac:dyDescent="0.25">
      <c r="A613" t="s">
        <v>72</v>
      </c>
      <c r="B613" s="1">
        <v>45017</v>
      </c>
      <c r="C613" s="2" t="s">
        <v>73</v>
      </c>
      <c r="D613" s="7">
        <v>5885.48</v>
      </c>
      <c r="E613" s="10">
        <v>17849.82</v>
      </c>
      <c r="F613" t="str">
        <f t="shared" si="18"/>
        <v>abril</v>
      </c>
      <c r="G613">
        <f t="shared" si="19"/>
        <v>2023</v>
      </c>
    </row>
    <row r="614" spans="1:7" x14ac:dyDescent="0.25">
      <c r="A614" t="s">
        <v>74</v>
      </c>
      <c r="B614" s="1">
        <v>45017</v>
      </c>
      <c r="C614" s="3" t="s">
        <v>75</v>
      </c>
      <c r="D614" s="8">
        <v>306.54000000000002</v>
      </c>
      <c r="E614" s="11">
        <v>986.88</v>
      </c>
      <c r="F614" t="str">
        <f t="shared" si="18"/>
        <v>abril</v>
      </c>
      <c r="G614">
        <f t="shared" si="19"/>
        <v>2023</v>
      </c>
    </row>
    <row r="615" spans="1:7" x14ac:dyDescent="0.25">
      <c r="A615" t="s">
        <v>76</v>
      </c>
      <c r="B615" s="1">
        <v>45017</v>
      </c>
      <c r="C615" s="2" t="s">
        <v>77</v>
      </c>
      <c r="D615" s="7">
        <v>8122.3</v>
      </c>
      <c r="E615" s="10">
        <v>29634.880000000001</v>
      </c>
      <c r="F615" t="str">
        <f t="shared" si="18"/>
        <v>abril</v>
      </c>
      <c r="G615">
        <f t="shared" si="19"/>
        <v>2023</v>
      </c>
    </row>
    <row r="616" spans="1:7" x14ac:dyDescent="0.25">
      <c r="A616" t="s">
        <v>78</v>
      </c>
      <c r="B616" s="1">
        <v>45017</v>
      </c>
      <c r="C616" s="3" t="s">
        <v>79</v>
      </c>
      <c r="D616" s="8">
        <v>274.36</v>
      </c>
      <c r="E616" s="11">
        <v>1567.98</v>
      </c>
      <c r="F616" t="str">
        <f t="shared" si="18"/>
        <v>abril</v>
      </c>
      <c r="G616">
        <f t="shared" si="19"/>
        <v>2023</v>
      </c>
    </row>
    <row r="617" spans="1:7" x14ac:dyDescent="0.25">
      <c r="A617" t="s">
        <v>80</v>
      </c>
      <c r="B617" s="1">
        <v>45017</v>
      </c>
      <c r="C617" s="2" t="s">
        <v>349</v>
      </c>
      <c r="D617" s="7">
        <v>310.36</v>
      </c>
      <c r="E617" s="10">
        <v>1117.3</v>
      </c>
      <c r="F617" t="str">
        <f t="shared" si="18"/>
        <v>abril</v>
      </c>
      <c r="G617">
        <f t="shared" si="19"/>
        <v>2023</v>
      </c>
    </row>
    <row r="618" spans="1:7" x14ac:dyDescent="0.25">
      <c r="A618" t="s">
        <v>82</v>
      </c>
      <c r="B618" s="1">
        <v>45017</v>
      </c>
      <c r="C618" s="3" t="s">
        <v>83</v>
      </c>
      <c r="D618" s="8">
        <v>13197</v>
      </c>
      <c r="E618" s="11">
        <v>47633</v>
      </c>
      <c r="F618" t="str">
        <f t="shared" si="18"/>
        <v>abril</v>
      </c>
      <c r="G618">
        <f t="shared" si="19"/>
        <v>2023</v>
      </c>
    </row>
    <row r="619" spans="1:7" x14ac:dyDescent="0.25">
      <c r="A619" t="s">
        <v>85</v>
      </c>
      <c r="B619" s="1">
        <v>45017</v>
      </c>
      <c r="C619" s="2" t="s">
        <v>86</v>
      </c>
      <c r="D619" s="7">
        <v>1777.9</v>
      </c>
      <c r="E619" s="10">
        <v>7834.87</v>
      </c>
      <c r="F619" t="str">
        <f t="shared" si="18"/>
        <v>abril</v>
      </c>
      <c r="G619">
        <f t="shared" si="19"/>
        <v>2023</v>
      </c>
    </row>
    <row r="620" spans="1:7" x14ac:dyDescent="0.25">
      <c r="A620" t="s">
        <v>87</v>
      </c>
      <c r="B620" s="1">
        <v>45017</v>
      </c>
      <c r="C620" s="3" t="s">
        <v>88</v>
      </c>
      <c r="D620" s="8">
        <v>151.09</v>
      </c>
      <c r="E620" s="11">
        <v>237.69</v>
      </c>
      <c r="F620" t="str">
        <f t="shared" si="18"/>
        <v>abril</v>
      </c>
      <c r="G620">
        <f t="shared" si="19"/>
        <v>2023</v>
      </c>
    </row>
    <row r="621" spans="1:7" x14ac:dyDescent="0.25">
      <c r="A621" t="s">
        <v>89</v>
      </c>
      <c r="B621" s="1">
        <v>45017</v>
      </c>
      <c r="C621" s="2" t="s">
        <v>90</v>
      </c>
      <c r="D621" s="7">
        <v>10127.68</v>
      </c>
      <c r="E621" s="10">
        <v>34304.11</v>
      </c>
      <c r="F621" t="str">
        <f t="shared" si="18"/>
        <v>abril</v>
      </c>
      <c r="G621">
        <f t="shared" si="19"/>
        <v>2023</v>
      </c>
    </row>
    <row r="622" spans="1:7" x14ac:dyDescent="0.25">
      <c r="A622" t="s">
        <v>91</v>
      </c>
      <c r="B622" s="1">
        <v>45017</v>
      </c>
      <c r="C622" s="3" t="s">
        <v>92</v>
      </c>
      <c r="D622" s="8">
        <v>1579</v>
      </c>
      <c r="E622" s="11">
        <v>5605.45</v>
      </c>
      <c r="F622" t="str">
        <f t="shared" si="18"/>
        <v>abril</v>
      </c>
      <c r="G622">
        <f t="shared" si="19"/>
        <v>2023</v>
      </c>
    </row>
    <row r="623" spans="1:7" x14ac:dyDescent="0.25">
      <c r="A623" t="s">
        <v>445</v>
      </c>
      <c r="B623" s="1">
        <v>45017</v>
      </c>
      <c r="C623" s="2" t="s">
        <v>306</v>
      </c>
      <c r="D623" s="7">
        <v>276.8</v>
      </c>
      <c r="E623" s="10">
        <v>973.71</v>
      </c>
      <c r="F623" t="str">
        <f t="shared" si="18"/>
        <v>abril</v>
      </c>
      <c r="G623">
        <f t="shared" si="19"/>
        <v>2023</v>
      </c>
    </row>
    <row r="624" spans="1:7" x14ac:dyDescent="0.25">
      <c r="A624" t="s">
        <v>93</v>
      </c>
      <c r="B624" s="1">
        <v>45017</v>
      </c>
      <c r="C624" s="3" t="s">
        <v>94</v>
      </c>
      <c r="D624" s="8">
        <v>807.96</v>
      </c>
      <c r="E624" s="11">
        <v>5030.99</v>
      </c>
      <c r="F624" t="str">
        <f t="shared" si="18"/>
        <v>abril</v>
      </c>
      <c r="G624">
        <f t="shared" si="19"/>
        <v>2023</v>
      </c>
    </row>
    <row r="625" spans="1:7" x14ac:dyDescent="0.25">
      <c r="A625" t="s">
        <v>95</v>
      </c>
      <c r="B625" s="1">
        <v>45017</v>
      </c>
      <c r="C625" s="2" t="s">
        <v>96</v>
      </c>
      <c r="D625" s="7">
        <v>8179.16</v>
      </c>
      <c r="E625" s="10">
        <v>32299.63</v>
      </c>
      <c r="F625" t="str">
        <f t="shared" si="18"/>
        <v>abril</v>
      </c>
      <c r="G625">
        <f t="shared" si="19"/>
        <v>2023</v>
      </c>
    </row>
    <row r="626" spans="1:7" x14ac:dyDescent="0.25">
      <c r="A626" t="s">
        <v>97</v>
      </c>
      <c r="B626" s="1">
        <v>45017</v>
      </c>
      <c r="C626" s="3" t="s">
        <v>98</v>
      </c>
      <c r="D626" s="8">
        <v>19.399999999999999</v>
      </c>
      <c r="E626" s="11">
        <v>98.16</v>
      </c>
      <c r="F626" t="str">
        <f t="shared" si="18"/>
        <v>abril</v>
      </c>
      <c r="G626">
        <f t="shared" si="19"/>
        <v>2023</v>
      </c>
    </row>
    <row r="627" spans="1:7" x14ac:dyDescent="0.25">
      <c r="A627" t="s">
        <v>99</v>
      </c>
      <c r="B627" s="1">
        <v>45017</v>
      </c>
      <c r="C627" s="2" t="s">
        <v>100</v>
      </c>
      <c r="D627" s="7">
        <v>40069.660000000003</v>
      </c>
      <c r="E627" s="10">
        <v>151604.4</v>
      </c>
      <c r="F627" t="str">
        <f t="shared" si="18"/>
        <v>abril</v>
      </c>
      <c r="G627">
        <f t="shared" si="19"/>
        <v>2023</v>
      </c>
    </row>
    <row r="628" spans="1:7" x14ac:dyDescent="0.25">
      <c r="A628" t="s">
        <v>101</v>
      </c>
      <c r="B628" s="1">
        <v>45017</v>
      </c>
      <c r="C628" s="3" t="s">
        <v>102</v>
      </c>
      <c r="D628" s="8">
        <v>79.8</v>
      </c>
      <c r="E628" s="11">
        <v>469.61</v>
      </c>
      <c r="F628" t="str">
        <f t="shared" si="18"/>
        <v>abril</v>
      </c>
      <c r="G628">
        <f t="shared" si="19"/>
        <v>2023</v>
      </c>
    </row>
    <row r="629" spans="1:7" x14ac:dyDescent="0.25">
      <c r="A629" t="s">
        <v>103</v>
      </c>
      <c r="B629" s="1">
        <v>45017</v>
      </c>
      <c r="C629" s="2" t="s">
        <v>104</v>
      </c>
      <c r="D629" s="7">
        <v>14153.95</v>
      </c>
      <c r="E629" s="10">
        <v>43026.54</v>
      </c>
      <c r="F629" t="str">
        <f t="shared" si="18"/>
        <v>abril</v>
      </c>
      <c r="G629">
        <f t="shared" si="19"/>
        <v>2023</v>
      </c>
    </row>
    <row r="630" spans="1:7" x14ac:dyDescent="0.25">
      <c r="A630" t="s">
        <v>105</v>
      </c>
      <c r="B630" s="1">
        <v>45017</v>
      </c>
      <c r="C630" s="3" t="s">
        <v>106</v>
      </c>
      <c r="D630" s="8">
        <v>452.7</v>
      </c>
      <c r="E630" s="11">
        <v>1397.83</v>
      </c>
      <c r="F630" t="str">
        <f t="shared" si="18"/>
        <v>abril</v>
      </c>
      <c r="G630">
        <f t="shared" si="19"/>
        <v>2023</v>
      </c>
    </row>
    <row r="631" spans="1:7" x14ac:dyDescent="0.25">
      <c r="A631" t="s">
        <v>107</v>
      </c>
      <c r="B631" s="1">
        <v>45017</v>
      </c>
      <c r="C631" s="2" t="s">
        <v>446</v>
      </c>
      <c r="D631" s="7">
        <v>82100</v>
      </c>
      <c r="E631" s="10">
        <v>251.17</v>
      </c>
      <c r="F631" t="str">
        <f t="shared" si="18"/>
        <v>abril</v>
      </c>
      <c r="G631">
        <f t="shared" si="19"/>
        <v>2023</v>
      </c>
    </row>
    <row r="632" spans="1:7" x14ac:dyDescent="0.25">
      <c r="A632" t="s">
        <v>109</v>
      </c>
      <c r="B632" s="1">
        <v>45017</v>
      </c>
      <c r="C632" s="3" t="s">
        <v>110</v>
      </c>
      <c r="D632" s="8">
        <v>7049.9</v>
      </c>
      <c r="E632" s="11">
        <v>20693.54</v>
      </c>
      <c r="F632" t="str">
        <f t="shared" si="18"/>
        <v>abril</v>
      </c>
      <c r="G632">
        <f t="shared" si="19"/>
        <v>2023</v>
      </c>
    </row>
    <row r="633" spans="1:7" x14ac:dyDescent="0.25">
      <c r="A633" t="s">
        <v>111</v>
      </c>
      <c r="B633" s="1">
        <v>45017</v>
      </c>
      <c r="C633" s="2" t="s">
        <v>112</v>
      </c>
      <c r="D633" s="7">
        <v>3701.82</v>
      </c>
      <c r="E633" s="10">
        <v>10539.28</v>
      </c>
      <c r="F633" t="str">
        <f t="shared" si="18"/>
        <v>abril</v>
      </c>
      <c r="G633">
        <f t="shared" si="19"/>
        <v>2023</v>
      </c>
    </row>
    <row r="634" spans="1:7" x14ac:dyDescent="0.25">
      <c r="A634" t="s">
        <v>113</v>
      </c>
      <c r="B634" s="1">
        <v>45017</v>
      </c>
      <c r="C634" s="3" t="s">
        <v>114</v>
      </c>
      <c r="D634" s="8">
        <v>2353.6999999999998</v>
      </c>
      <c r="E634" s="11">
        <v>8758.57</v>
      </c>
      <c r="F634" t="str">
        <f t="shared" si="18"/>
        <v>abril</v>
      </c>
      <c r="G634">
        <f t="shared" si="19"/>
        <v>2023</v>
      </c>
    </row>
    <row r="635" spans="1:7" x14ac:dyDescent="0.25">
      <c r="A635" t="s">
        <v>447</v>
      </c>
      <c r="B635" s="1">
        <v>45017</v>
      </c>
      <c r="C635" s="2" t="s">
        <v>448</v>
      </c>
      <c r="D635" s="7">
        <v>408.2</v>
      </c>
      <c r="E635" s="10">
        <v>1449.11</v>
      </c>
      <c r="F635" t="str">
        <f t="shared" si="18"/>
        <v>abril</v>
      </c>
      <c r="G635">
        <f t="shared" si="19"/>
        <v>2023</v>
      </c>
    </row>
    <row r="636" spans="1:7" x14ac:dyDescent="0.25">
      <c r="A636" t="s">
        <v>449</v>
      </c>
      <c r="B636" s="1">
        <v>45017</v>
      </c>
      <c r="C636" s="3" t="s">
        <v>351</v>
      </c>
      <c r="D636" s="8">
        <v>1000.31</v>
      </c>
      <c r="E636" s="11">
        <v>4082.59</v>
      </c>
      <c r="F636" t="str">
        <f t="shared" si="18"/>
        <v>abril</v>
      </c>
      <c r="G636">
        <f t="shared" si="19"/>
        <v>2023</v>
      </c>
    </row>
    <row r="637" spans="1:7" x14ac:dyDescent="0.25">
      <c r="A637" t="s">
        <v>116</v>
      </c>
      <c r="B637" s="1">
        <v>45017</v>
      </c>
      <c r="C637" s="2" t="s">
        <v>117</v>
      </c>
      <c r="D637" s="7">
        <v>80.400000000000006</v>
      </c>
      <c r="E637" s="10">
        <v>299.08999999999997</v>
      </c>
      <c r="F637" t="str">
        <f t="shared" si="18"/>
        <v>abril</v>
      </c>
      <c r="G637">
        <f t="shared" si="19"/>
        <v>2023</v>
      </c>
    </row>
    <row r="638" spans="1:7" x14ac:dyDescent="0.25">
      <c r="A638" t="s">
        <v>118</v>
      </c>
      <c r="B638" s="1">
        <v>45017</v>
      </c>
      <c r="C638" s="3" t="s">
        <v>119</v>
      </c>
      <c r="D638" s="8">
        <v>6282.8</v>
      </c>
      <c r="E638" s="11">
        <v>20280.8</v>
      </c>
      <c r="F638" t="str">
        <f t="shared" si="18"/>
        <v>abril</v>
      </c>
      <c r="G638">
        <f t="shared" si="19"/>
        <v>2023</v>
      </c>
    </row>
    <row r="639" spans="1:7" x14ac:dyDescent="0.25">
      <c r="A639" t="s">
        <v>120</v>
      </c>
      <c r="B639" s="1">
        <v>45017</v>
      </c>
      <c r="C639" s="2" t="s">
        <v>121</v>
      </c>
      <c r="D639" s="7">
        <v>169.5</v>
      </c>
      <c r="E639" s="10">
        <v>349.08</v>
      </c>
      <c r="F639" t="str">
        <f t="shared" si="18"/>
        <v>abril</v>
      </c>
      <c r="G639">
        <f t="shared" si="19"/>
        <v>2023</v>
      </c>
    </row>
    <row r="640" spans="1:7" x14ac:dyDescent="0.25">
      <c r="A640" t="s">
        <v>122</v>
      </c>
      <c r="B640" s="1">
        <v>45017</v>
      </c>
      <c r="C640" s="3" t="s">
        <v>123</v>
      </c>
      <c r="D640" s="8">
        <v>90</v>
      </c>
      <c r="E640" s="11">
        <v>179</v>
      </c>
      <c r="F640" t="str">
        <f t="shared" si="18"/>
        <v>abril</v>
      </c>
      <c r="G640">
        <f t="shared" si="19"/>
        <v>2023</v>
      </c>
    </row>
    <row r="641" spans="1:7" x14ac:dyDescent="0.25">
      <c r="A641" t="s">
        <v>124</v>
      </c>
      <c r="B641" s="1">
        <v>45017</v>
      </c>
      <c r="C641" s="2" t="s">
        <v>125</v>
      </c>
      <c r="D641" s="7">
        <v>360</v>
      </c>
      <c r="E641" s="10">
        <v>380</v>
      </c>
      <c r="F641" t="str">
        <f t="shared" si="18"/>
        <v>abril</v>
      </c>
      <c r="G641">
        <f t="shared" si="19"/>
        <v>2023</v>
      </c>
    </row>
    <row r="642" spans="1:7" x14ac:dyDescent="0.25">
      <c r="A642" t="s">
        <v>126</v>
      </c>
      <c r="B642" s="1">
        <v>45017</v>
      </c>
      <c r="C642" s="3" t="s">
        <v>127</v>
      </c>
      <c r="D642" s="8">
        <v>220</v>
      </c>
      <c r="E642" s="11">
        <v>210</v>
      </c>
      <c r="F642" t="str">
        <f t="shared" si="18"/>
        <v>abril</v>
      </c>
      <c r="G642">
        <f t="shared" si="19"/>
        <v>2023</v>
      </c>
    </row>
    <row r="643" spans="1:7" x14ac:dyDescent="0.25">
      <c r="A643" t="s">
        <v>128</v>
      </c>
      <c r="B643" s="1">
        <v>45017</v>
      </c>
      <c r="C643" s="2" t="s">
        <v>129</v>
      </c>
      <c r="D643" s="7">
        <v>35.44</v>
      </c>
      <c r="E643" s="10">
        <v>90.24</v>
      </c>
      <c r="F643" t="str">
        <f t="shared" ref="F643:F706" si="20">TEXT(B643,"mmmm")</f>
        <v>abril</v>
      </c>
      <c r="G643">
        <f t="shared" ref="G643:G706" si="21">YEAR(B643)</f>
        <v>2023</v>
      </c>
    </row>
    <row r="644" spans="1:7" x14ac:dyDescent="0.25">
      <c r="A644" t="s">
        <v>450</v>
      </c>
      <c r="B644" s="1">
        <v>45017</v>
      </c>
      <c r="C644" s="3" t="s">
        <v>451</v>
      </c>
      <c r="D644" s="8">
        <v>111.93</v>
      </c>
      <c r="E644" s="11">
        <v>582.03</v>
      </c>
      <c r="F644" t="str">
        <f t="shared" si="20"/>
        <v>abril</v>
      </c>
      <c r="G644">
        <f t="shared" si="21"/>
        <v>2023</v>
      </c>
    </row>
    <row r="645" spans="1:7" x14ac:dyDescent="0.25">
      <c r="A645" t="s">
        <v>452</v>
      </c>
      <c r="B645" s="1">
        <v>45017</v>
      </c>
      <c r="C645" s="2" t="s">
        <v>453</v>
      </c>
      <c r="D645" s="7">
        <v>323</v>
      </c>
      <c r="E645" s="10">
        <v>1453.5</v>
      </c>
      <c r="F645" t="str">
        <f t="shared" si="20"/>
        <v>abril</v>
      </c>
      <c r="G645">
        <f t="shared" si="21"/>
        <v>2023</v>
      </c>
    </row>
    <row r="646" spans="1:7" x14ac:dyDescent="0.25">
      <c r="A646" t="s">
        <v>130</v>
      </c>
      <c r="B646" s="1">
        <v>45017</v>
      </c>
      <c r="C646" s="3" t="s">
        <v>131</v>
      </c>
      <c r="D646" s="8">
        <v>6713.51</v>
      </c>
      <c r="E646" s="11">
        <v>22114.3</v>
      </c>
      <c r="F646" t="str">
        <f t="shared" si="20"/>
        <v>abril</v>
      </c>
      <c r="G646">
        <f t="shared" si="21"/>
        <v>2023</v>
      </c>
    </row>
    <row r="647" spans="1:7" x14ac:dyDescent="0.25">
      <c r="A647" t="s">
        <v>132</v>
      </c>
      <c r="B647" s="1">
        <v>45017</v>
      </c>
      <c r="C647" s="2" t="s">
        <v>133</v>
      </c>
      <c r="D647" s="7">
        <v>2009.34</v>
      </c>
      <c r="E647" s="10">
        <v>7626.51</v>
      </c>
      <c r="F647" t="str">
        <f t="shared" si="20"/>
        <v>abril</v>
      </c>
      <c r="G647">
        <f t="shared" si="21"/>
        <v>2023</v>
      </c>
    </row>
    <row r="648" spans="1:7" x14ac:dyDescent="0.25">
      <c r="A648" t="s">
        <v>134</v>
      </c>
      <c r="B648" s="1">
        <v>45017</v>
      </c>
      <c r="C648" s="3" t="s">
        <v>135</v>
      </c>
      <c r="D648" s="8">
        <v>729.99</v>
      </c>
      <c r="E648" s="11">
        <v>2694.16</v>
      </c>
      <c r="F648" t="str">
        <f t="shared" si="20"/>
        <v>abril</v>
      </c>
      <c r="G648">
        <f t="shared" si="21"/>
        <v>2023</v>
      </c>
    </row>
    <row r="649" spans="1:7" x14ac:dyDescent="0.25">
      <c r="A649" t="s">
        <v>136</v>
      </c>
      <c r="B649" s="1">
        <v>45017</v>
      </c>
      <c r="C649" s="2" t="s">
        <v>137</v>
      </c>
      <c r="D649" s="7">
        <v>2562.06</v>
      </c>
      <c r="E649" s="10">
        <v>9407.3799999999992</v>
      </c>
      <c r="F649" t="str">
        <f t="shared" si="20"/>
        <v>abril</v>
      </c>
      <c r="G649">
        <f t="shared" si="21"/>
        <v>2023</v>
      </c>
    </row>
    <row r="650" spans="1:7" x14ac:dyDescent="0.25">
      <c r="A650" t="s">
        <v>138</v>
      </c>
      <c r="B650" s="1">
        <v>45017</v>
      </c>
      <c r="C650" s="3" t="s">
        <v>139</v>
      </c>
      <c r="D650" s="8">
        <v>169.25</v>
      </c>
      <c r="E650" s="11">
        <v>575.45000000000005</v>
      </c>
      <c r="F650" t="str">
        <f t="shared" si="20"/>
        <v>abril</v>
      </c>
      <c r="G650">
        <f t="shared" si="21"/>
        <v>2023</v>
      </c>
    </row>
    <row r="651" spans="1:7" x14ac:dyDescent="0.25">
      <c r="A651" t="s">
        <v>140</v>
      </c>
      <c r="B651" s="1">
        <v>45017</v>
      </c>
      <c r="C651" s="2" t="s">
        <v>141</v>
      </c>
      <c r="D651" s="7">
        <v>1097.01</v>
      </c>
      <c r="E651" s="10">
        <v>3716.86</v>
      </c>
      <c r="F651" t="str">
        <f t="shared" si="20"/>
        <v>abril</v>
      </c>
      <c r="G651">
        <f t="shared" si="21"/>
        <v>2023</v>
      </c>
    </row>
    <row r="652" spans="1:7" x14ac:dyDescent="0.25">
      <c r="A652" t="s">
        <v>142</v>
      </c>
      <c r="B652" s="1">
        <v>45017</v>
      </c>
      <c r="C652" s="3" t="s">
        <v>143</v>
      </c>
      <c r="D652" s="8">
        <v>451.81</v>
      </c>
      <c r="E652" s="11">
        <v>1700.15</v>
      </c>
      <c r="F652" t="str">
        <f t="shared" si="20"/>
        <v>abril</v>
      </c>
      <c r="G652">
        <f t="shared" si="21"/>
        <v>2023</v>
      </c>
    </row>
    <row r="653" spans="1:7" x14ac:dyDescent="0.25">
      <c r="A653" t="s">
        <v>144</v>
      </c>
      <c r="B653" s="1">
        <v>45017</v>
      </c>
      <c r="C653" s="2" t="s">
        <v>145</v>
      </c>
      <c r="D653" s="7">
        <v>6527.83</v>
      </c>
      <c r="E653" s="10">
        <v>23443.03</v>
      </c>
      <c r="F653" t="str">
        <f t="shared" si="20"/>
        <v>abril</v>
      </c>
      <c r="G653">
        <f t="shared" si="21"/>
        <v>2023</v>
      </c>
    </row>
    <row r="654" spans="1:7" x14ac:dyDescent="0.25">
      <c r="A654" t="s">
        <v>146</v>
      </c>
      <c r="B654" s="1">
        <v>45017</v>
      </c>
      <c r="C654" s="3" t="s">
        <v>147</v>
      </c>
      <c r="D654" s="8">
        <v>990.56</v>
      </c>
      <c r="E654" s="11">
        <v>3853.81</v>
      </c>
      <c r="F654" t="str">
        <f t="shared" si="20"/>
        <v>abril</v>
      </c>
      <c r="G654">
        <f t="shared" si="21"/>
        <v>2023</v>
      </c>
    </row>
    <row r="655" spans="1:7" x14ac:dyDescent="0.25">
      <c r="A655" t="s">
        <v>148</v>
      </c>
      <c r="B655" s="1">
        <v>45017</v>
      </c>
      <c r="C655" s="2" t="s">
        <v>149</v>
      </c>
      <c r="D655" s="7">
        <v>383.82</v>
      </c>
      <c r="E655" s="10">
        <v>1509.45</v>
      </c>
      <c r="F655" t="str">
        <f t="shared" si="20"/>
        <v>abril</v>
      </c>
      <c r="G655">
        <f t="shared" si="21"/>
        <v>2023</v>
      </c>
    </row>
    <row r="656" spans="1:7" x14ac:dyDescent="0.25">
      <c r="A656" t="s">
        <v>150</v>
      </c>
      <c r="B656" s="1">
        <v>45017</v>
      </c>
      <c r="C656" s="3" t="s">
        <v>151</v>
      </c>
      <c r="D656" s="8">
        <v>1587.53</v>
      </c>
      <c r="E656" s="11">
        <v>5995.09</v>
      </c>
      <c r="F656" t="str">
        <f t="shared" si="20"/>
        <v>abril</v>
      </c>
      <c r="G656">
        <f t="shared" si="21"/>
        <v>2023</v>
      </c>
    </row>
    <row r="657" spans="1:7" x14ac:dyDescent="0.25">
      <c r="A657" t="s">
        <v>152</v>
      </c>
      <c r="B657" s="1">
        <v>45017</v>
      </c>
      <c r="C657" s="2" t="s">
        <v>153</v>
      </c>
      <c r="D657" s="7">
        <v>1984.33</v>
      </c>
      <c r="E657" s="10">
        <v>7399.25</v>
      </c>
      <c r="F657" t="str">
        <f t="shared" si="20"/>
        <v>abril</v>
      </c>
      <c r="G657">
        <f t="shared" si="21"/>
        <v>2023</v>
      </c>
    </row>
    <row r="658" spans="1:7" x14ac:dyDescent="0.25">
      <c r="A658" t="s">
        <v>454</v>
      </c>
      <c r="B658" s="1">
        <v>45017</v>
      </c>
      <c r="C658" s="3" t="s">
        <v>455</v>
      </c>
      <c r="D658" s="8">
        <v>225.42</v>
      </c>
      <c r="E658" s="11">
        <v>890.41</v>
      </c>
      <c r="F658" t="str">
        <f t="shared" si="20"/>
        <v>abril</v>
      </c>
      <c r="G658">
        <f t="shared" si="21"/>
        <v>2023</v>
      </c>
    </row>
    <row r="659" spans="1:7" x14ac:dyDescent="0.25">
      <c r="A659" t="s">
        <v>154</v>
      </c>
      <c r="B659" s="1">
        <v>45017</v>
      </c>
      <c r="C659" s="2" t="s">
        <v>155</v>
      </c>
      <c r="D659" s="7">
        <v>1418.23</v>
      </c>
      <c r="E659" s="10">
        <v>5512.89</v>
      </c>
      <c r="F659" t="str">
        <f t="shared" si="20"/>
        <v>abril</v>
      </c>
      <c r="G659">
        <f t="shared" si="21"/>
        <v>2023</v>
      </c>
    </row>
    <row r="660" spans="1:7" x14ac:dyDescent="0.25">
      <c r="A660" t="s">
        <v>156</v>
      </c>
      <c r="B660" s="1">
        <v>45017</v>
      </c>
      <c r="C660" s="3" t="s">
        <v>157</v>
      </c>
      <c r="D660" s="8">
        <v>2181.85</v>
      </c>
      <c r="E660" s="11">
        <v>8416.82</v>
      </c>
      <c r="F660" t="str">
        <f t="shared" si="20"/>
        <v>abril</v>
      </c>
      <c r="G660">
        <f t="shared" si="21"/>
        <v>2023</v>
      </c>
    </row>
    <row r="661" spans="1:7" x14ac:dyDescent="0.25">
      <c r="A661" t="s">
        <v>158</v>
      </c>
      <c r="B661" s="1">
        <v>45017</v>
      </c>
      <c r="C661" s="2" t="s">
        <v>159</v>
      </c>
      <c r="D661" s="7">
        <v>902.49</v>
      </c>
      <c r="E661" s="10">
        <v>2928.92</v>
      </c>
      <c r="F661" t="str">
        <f t="shared" si="20"/>
        <v>abril</v>
      </c>
      <c r="G661">
        <f t="shared" si="21"/>
        <v>2023</v>
      </c>
    </row>
    <row r="662" spans="1:7" x14ac:dyDescent="0.25">
      <c r="A662" t="s">
        <v>160</v>
      </c>
      <c r="B662" s="1">
        <v>45017</v>
      </c>
      <c r="C662" s="3" t="s">
        <v>161</v>
      </c>
      <c r="D662" s="8">
        <v>52854</v>
      </c>
      <c r="E662" s="11">
        <v>174.42</v>
      </c>
      <c r="F662" t="str">
        <f t="shared" si="20"/>
        <v>abril</v>
      </c>
      <c r="G662">
        <f t="shared" si="21"/>
        <v>2023</v>
      </c>
    </row>
    <row r="663" spans="1:7" x14ac:dyDescent="0.25">
      <c r="A663" t="s">
        <v>162</v>
      </c>
      <c r="B663" s="1">
        <v>45017</v>
      </c>
      <c r="C663" s="2" t="s">
        <v>163</v>
      </c>
      <c r="D663" s="7">
        <v>51350</v>
      </c>
      <c r="E663" s="10">
        <v>164.93</v>
      </c>
      <c r="F663" t="str">
        <f t="shared" si="20"/>
        <v>abril</v>
      </c>
      <c r="G663">
        <f t="shared" si="21"/>
        <v>2023</v>
      </c>
    </row>
    <row r="664" spans="1:7" x14ac:dyDescent="0.25">
      <c r="A664" t="s">
        <v>456</v>
      </c>
      <c r="B664" s="1">
        <v>45017</v>
      </c>
      <c r="C664" s="3" t="s">
        <v>457</v>
      </c>
      <c r="D664" s="8">
        <v>5.7</v>
      </c>
      <c r="E664" s="11">
        <v>17.670000000000002</v>
      </c>
      <c r="F664" t="str">
        <f t="shared" si="20"/>
        <v>abril</v>
      </c>
      <c r="G664">
        <f t="shared" si="21"/>
        <v>2023</v>
      </c>
    </row>
    <row r="665" spans="1:7" x14ac:dyDescent="0.25">
      <c r="A665" t="s">
        <v>164</v>
      </c>
      <c r="B665" s="1">
        <v>45017</v>
      </c>
      <c r="C665" s="2" t="s">
        <v>165</v>
      </c>
      <c r="D665" s="7">
        <v>377.33</v>
      </c>
      <c r="E665" s="10">
        <v>1061.75</v>
      </c>
      <c r="F665" t="str">
        <f t="shared" si="20"/>
        <v>abril</v>
      </c>
      <c r="G665">
        <f t="shared" si="21"/>
        <v>2023</v>
      </c>
    </row>
    <row r="666" spans="1:7" x14ac:dyDescent="0.25">
      <c r="A666" t="s">
        <v>458</v>
      </c>
      <c r="B666" s="1">
        <v>45017</v>
      </c>
      <c r="C666" s="3" t="s">
        <v>459</v>
      </c>
      <c r="D666" s="8">
        <v>235.3</v>
      </c>
      <c r="E666" s="11">
        <v>658.84</v>
      </c>
      <c r="F666" t="str">
        <f t="shared" si="20"/>
        <v>abril</v>
      </c>
      <c r="G666">
        <f t="shared" si="21"/>
        <v>2023</v>
      </c>
    </row>
    <row r="667" spans="1:7" x14ac:dyDescent="0.25">
      <c r="A667" t="s">
        <v>166</v>
      </c>
      <c r="B667" s="1">
        <v>45017</v>
      </c>
      <c r="C667" s="2" t="s">
        <v>167</v>
      </c>
      <c r="D667" s="7">
        <v>2007.18</v>
      </c>
      <c r="E667" s="10">
        <v>4866.24</v>
      </c>
      <c r="F667" t="str">
        <f t="shared" si="20"/>
        <v>abril</v>
      </c>
      <c r="G667">
        <f t="shared" si="21"/>
        <v>2023</v>
      </c>
    </row>
    <row r="668" spans="1:7" x14ac:dyDescent="0.25">
      <c r="A668" t="s">
        <v>168</v>
      </c>
      <c r="B668" s="1">
        <v>45017</v>
      </c>
      <c r="C668" s="3" t="s">
        <v>169</v>
      </c>
      <c r="D668" s="8">
        <v>457.83</v>
      </c>
      <c r="E668" s="11">
        <v>1128.54</v>
      </c>
      <c r="F668" t="str">
        <f t="shared" si="20"/>
        <v>abril</v>
      </c>
      <c r="G668">
        <f t="shared" si="21"/>
        <v>2023</v>
      </c>
    </row>
    <row r="669" spans="1:7" x14ac:dyDescent="0.25">
      <c r="A669" t="s">
        <v>170</v>
      </c>
      <c r="B669" s="1">
        <v>45017</v>
      </c>
      <c r="C669" s="2" t="s">
        <v>171</v>
      </c>
      <c r="D669" s="7">
        <v>811.67</v>
      </c>
      <c r="E669" s="10">
        <v>1893.19</v>
      </c>
      <c r="F669" t="str">
        <f t="shared" si="20"/>
        <v>abril</v>
      </c>
      <c r="G669">
        <f t="shared" si="21"/>
        <v>2023</v>
      </c>
    </row>
    <row r="670" spans="1:7" x14ac:dyDescent="0.25">
      <c r="A670" t="s">
        <v>172</v>
      </c>
      <c r="B670" s="1">
        <v>45017</v>
      </c>
      <c r="C670" s="3" t="s">
        <v>173</v>
      </c>
      <c r="D670" s="8">
        <v>161.5</v>
      </c>
      <c r="E670" s="11">
        <v>613.48</v>
      </c>
      <c r="F670" t="str">
        <f t="shared" si="20"/>
        <v>abril</v>
      </c>
      <c r="G670">
        <f t="shared" si="21"/>
        <v>2023</v>
      </c>
    </row>
    <row r="671" spans="1:7" x14ac:dyDescent="0.25">
      <c r="A671" t="s">
        <v>174</v>
      </c>
      <c r="B671" s="1">
        <v>45017</v>
      </c>
      <c r="C671" s="2" t="s">
        <v>307</v>
      </c>
      <c r="D671" s="7">
        <v>290.33</v>
      </c>
      <c r="E671" s="10">
        <v>1098.18</v>
      </c>
      <c r="F671" t="str">
        <f t="shared" si="20"/>
        <v>abril</v>
      </c>
      <c r="G671">
        <f t="shared" si="21"/>
        <v>2023</v>
      </c>
    </row>
    <row r="672" spans="1:7" x14ac:dyDescent="0.25">
      <c r="A672" t="s">
        <v>175</v>
      </c>
      <c r="B672" s="1">
        <v>45017</v>
      </c>
      <c r="C672" s="3" t="s">
        <v>176</v>
      </c>
      <c r="D672" s="8">
        <v>1952.93</v>
      </c>
      <c r="E672" s="11">
        <v>4710.42</v>
      </c>
      <c r="F672" t="str">
        <f t="shared" si="20"/>
        <v>abril</v>
      </c>
      <c r="G672">
        <f t="shared" si="21"/>
        <v>2023</v>
      </c>
    </row>
    <row r="673" spans="1:7" x14ac:dyDescent="0.25">
      <c r="A673" t="s">
        <v>177</v>
      </c>
      <c r="B673" s="1">
        <v>45017</v>
      </c>
      <c r="C673" s="2" t="s">
        <v>178</v>
      </c>
      <c r="D673" s="7">
        <v>19.420000000000002</v>
      </c>
      <c r="E673" s="10">
        <v>56.82</v>
      </c>
      <c r="F673" t="str">
        <f t="shared" si="20"/>
        <v>abril</v>
      </c>
      <c r="G673">
        <f t="shared" si="21"/>
        <v>2023</v>
      </c>
    </row>
    <row r="674" spans="1:7" x14ac:dyDescent="0.25">
      <c r="A674" t="s">
        <v>179</v>
      </c>
      <c r="B674" s="1">
        <v>45017</v>
      </c>
      <c r="C674" s="3" t="s">
        <v>180</v>
      </c>
      <c r="D674" s="8">
        <v>10.76</v>
      </c>
      <c r="E674" s="11">
        <v>28.81</v>
      </c>
      <c r="F674" t="str">
        <f t="shared" si="20"/>
        <v>abril</v>
      </c>
      <c r="G674">
        <f t="shared" si="21"/>
        <v>2023</v>
      </c>
    </row>
    <row r="675" spans="1:7" x14ac:dyDescent="0.25">
      <c r="A675" t="s">
        <v>181</v>
      </c>
      <c r="B675" s="1">
        <v>45017</v>
      </c>
      <c r="C675" s="2" t="s">
        <v>182</v>
      </c>
      <c r="D675" s="7">
        <v>241.5</v>
      </c>
      <c r="E675" s="10">
        <v>1013.31</v>
      </c>
      <c r="F675" t="str">
        <f t="shared" si="20"/>
        <v>abril</v>
      </c>
      <c r="G675">
        <f t="shared" si="21"/>
        <v>2023</v>
      </c>
    </row>
    <row r="676" spans="1:7" x14ac:dyDescent="0.25">
      <c r="A676" t="s">
        <v>183</v>
      </c>
      <c r="B676" s="1">
        <v>45017</v>
      </c>
      <c r="C676" s="3" t="s">
        <v>309</v>
      </c>
      <c r="D676" s="8">
        <v>606</v>
      </c>
      <c r="E676" s="11">
        <v>1672.55</v>
      </c>
      <c r="F676" t="str">
        <f t="shared" si="20"/>
        <v>abril</v>
      </c>
      <c r="G676">
        <f t="shared" si="21"/>
        <v>2023</v>
      </c>
    </row>
    <row r="677" spans="1:7" x14ac:dyDescent="0.25">
      <c r="A677" t="s">
        <v>185</v>
      </c>
      <c r="B677" s="1">
        <v>45017</v>
      </c>
      <c r="C677" s="2" t="s">
        <v>186</v>
      </c>
      <c r="D677" s="7">
        <v>1520</v>
      </c>
      <c r="E677" s="10">
        <v>3181.7</v>
      </c>
      <c r="F677" t="str">
        <f t="shared" si="20"/>
        <v>abril</v>
      </c>
      <c r="G677">
        <f t="shared" si="21"/>
        <v>2023</v>
      </c>
    </row>
    <row r="678" spans="1:7" x14ac:dyDescent="0.25">
      <c r="A678" t="s">
        <v>187</v>
      </c>
      <c r="B678" s="1">
        <v>45017</v>
      </c>
      <c r="C678" s="3" t="s">
        <v>188</v>
      </c>
      <c r="D678" s="8">
        <v>3350</v>
      </c>
      <c r="E678" s="11">
        <v>6740.96</v>
      </c>
      <c r="F678" t="str">
        <f t="shared" si="20"/>
        <v>abril</v>
      </c>
      <c r="G678">
        <f t="shared" si="21"/>
        <v>2023</v>
      </c>
    </row>
    <row r="679" spans="1:7" x14ac:dyDescent="0.25">
      <c r="A679" t="s">
        <v>189</v>
      </c>
      <c r="B679" s="1">
        <v>45017</v>
      </c>
      <c r="C679" s="2" t="s">
        <v>190</v>
      </c>
      <c r="D679" s="7">
        <v>2400</v>
      </c>
      <c r="E679" s="10">
        <v>4879</v>
      </c>
      <c r="F679" t="str">
        <f t="shared" si="20"/>
        <v>abril</v>
      </c>
      <c r="G679">
        <f t="shared" si="21"/>
        <v>2023</v>
      </c>
    </row>
    <row r="680" spans="1:7" x14ac:dyDescent="0.25">
      <c r="A680" t="s">
        <v>191</v>
      </c>
      <c r="B680" s="1">
        <v>45017</v>
      </c>
      <c r="C680" s="3" t="s">
        <v>192</v>
      </c>
      <c r="D680" s="8">
        <v>1086.1400000000001</v>
      </c>
      <c r="E680" s="11">
        <v>4132.3599999999997</v>
      </c>
      <c r="F680" t="str">
        <f t="shared" si="20"/>
        <v>abril</v>
      </c>
      <c r="G680">
        <f t="shared" si="21"/>
        <v>2023</v>
      </c>
    </row>
    <row r="681" spans="1:7" x14ac:dyDescent="0.25">
      <c r="A681" t="s">
        <v>195</v>
      </c>
      <c r="B681" s="1">
        <v>45017</v>
      </c>
      <c r="C681" s="2" t="s">
        <v>196</v>
      </c>
      <c r="D681" s="7">
        <v>354.46</v>
      </c>
      <c r="E681" s="10">
        <v>1002.44</v>
      </c>
      <c r="F681" t="str">
        <f t="shared" si="20"/>
        <v>abril</v>
      </c>
      <c r="G681">
        <f t="shared" si="21"/>
        <v>2023</v>
      </c>
    </row>
    <row r="682" spans="1:7" x14ac:dyDescent="0.25">
      <c r="A682" t="s">
        <v>197</v>
      </c>
      <c r="B682" s="1">
        <v>45017</v>
      </c>
      <c r="C682" s="3" t="s">
        <v>198</v>
      </c>
      <c r="D682" s="8">
        <v>1303.76</v>
      </c>
      <c r="E682" s="11">
        <v>1289.01</v>
      </c>
      <c r="F682" t="str">
        <f t="shared" si="20"/>
        <v>abril</v>
      </c>
      <c r="G682">
        <f t="shared" si="21"/>
        <v>2023</v>
      </c>
    </row>
    <row r="683" spans="1:7" x14ac:dyDescent="0.25">
      <c r="A683" t="s">
        <v>199</v>
      </c>
      <c r="B683" s="1">
        <v>45017</v>
      </c>
      <c r="C683" s="2" t="s">
        <v>200</v>
      </c>
      <c r="D683" s="7">
        <v>285.2</v>
      </c>
      <c r="E683" s="10">
        <v>1766.76</v>
      </c>
      <c r="F683" t="str">
        <f t="shared" si="20"/>
        <v>abril</v>
      </c>
      <c r="G683">
        <f t="shared" si="21"/>
        <v>2023</v>
      </c>
    </row>
    <row r="684" spans="1:7" x14ac:dyDescent="0.25">
      <c r="A684" t="s">
        <v>201</v>
      </c>
      <c r="B684" s="1">
        <v>45017</v>
      </c>
      <c r="C684" s="3" t="s">
        <v>202</v>
      </c>
      <c r="D684" s="8">
        <v>503.08</v>
      </c>
      <c r="E684" s="11">
        <v>2989.74</v>
      </c>
      <c r="F684" t="str">
        <f t="shared" si="20"/>
        <v>abril</v>
      </c>
      <c r="G684">
        <f t="shared" si="21"/>
        <v>2023</v>
      </c>
    </row>
    <row r="685" spans="1:7" x14ac:dyDescent="0.25">
      <c r="A685" t="s">
        <v>203</v>
      </c>
      <c r="B685" s="1">
        <v>45017</v>
      </c>
      <c r="C685" s="2" t="s">
        <v>311</v>
      </c>
      <c r="D685" s="7">
        <v>306.67</v>
      </c>
      <c r="E685" s="10">
        <v>2070.17</v>
      </c>
      <c r="F685" t="str">
        <f t="shared" si="20"/>
        <v>abril</v>
      </c>
      <c r="G685">
        <f t="shared" si="21"/>
        <v>2023</v>
      </c>
    </row>
    <row r="686" spans="1:7" x14ac:dyDescent="0.25">
      <c r="A686" t="s">
        <v>460</v>
      </c>
      <c r="B686" s="1">
        <v>45017</v>
      </c>
      <c r="C686" s="3" t="s">
        <v>312</v>
      </c>
      <c r="D686" s="8">
        <v>134.36000000000001</v>
      </c>
      <c r="E686" s="11">
        <v>671.83</v>
      </c>
      <c r="F686" t="str">
        <f t="shared" si="20"/>
        <v>abril</v>
      </c>
      <c r="G686">
        <f t="shared" si="21"/>
        <v>2023</v>
      </c>
    </row>
    <row r="687" spans="1:7" x14ac:dyDescent="0.25">
      <c r="A687" t="s">
        <v>205</v>
      </c>
      <c r="B687" s="1">
        <v>45017</v>
      </c>
      <c r="C687" s="2" t="s">
        <v>461</v>
      </c>
      <c r="D687" s="7">
        <v>63.2</v>
      </c>
      <c r="E687" s="10">
        <v>328.9</v>
      </c>
      <c r="F687" t="str">
        <f t="shared" si="20"/>
        <v>abril</v>
      </c>
      <c r="G687">
        <f t="shared" si="21"/>
        <v>2023</v>
      </c>
    </row>
    <row r="688" spans="1:7" x14ac:dyDescent="0.25">
      <c r="A688" t="s">
        <v>207</v>
      </c>
      <c r="B688" s="1">
        <v>45017</v>
      </c>
      <c r="C688" s="3" t="s">
        <v>208</v>
      </c>
      <c r="D688" s="8">
        <v>82.54</v>
      </c>
      <c r="E688" s="11">
        <v>431.36</v>
      </c>
      <c r="F688" t="str">
        <f t="shared" si="20"/>
        <v>abril</v>
      </c>
      <c r="G688">
        <f t="shared" si="21"/>
        <v>2023</v>
      </c>
    </row>
    <row r="689" spans="1:7" x14ac:dyDescent="0.25">
      <c r="A689" t="s">
        <v>211</v>
      </c>
      <c r="B689" s="1">
        <v>45017</v>
      </c>
      <c r="C689" s="2" t="s">
        <v>212</v>
      </c>
      <c r="D689" s="7">
        <v>749.4</v>
      </c>
      <c r="E689" s="10">
        <v>2289.09</v>
      </c>
      <c r="F689" t="str">
        <f t="shared" si="20"/>
        <v>abril</v>
      </c>
      <c r="G689">
        <f t="shared" si="21"/>
        <v>2023</v>
      </c>
    </row>
    <row r="690" spans="1:7" x14ac:dyDescent="0.25">
      <c r="A690" t="s">
        <v>213</v>
      </c>
      <c r="B690" s="1">
        <v>45017</v>
      </c>
      <c r="C690" s="3" t="s">
        <v>214</v>
      </c>
      <c r="D690" s="8">
        <v>712.86</v>
      </c>
      <c r="E690" s="11">
        <v>2394.06</v>
      </c>
      <c r="F690" t="str">
        <f t="shared" si="20"/>
        <v>abril</v>
      </c>
      <c r="G690">
        <f t="shared" si="21"/>
        <v>2023</v>
      </c>
    </row>
    <row r="691" spans="1:7" x14ac:dyDescent="0.25">
      <c r="A691" t="s">
        <v>215</v>
      </c>
      <c r="B691" s="1">
        <v>45017</v>
      </c>
      <c r="C691" s="2" t="s">
        <v>216</v>
      </c>
      <c r="D691" s="7">
        <v>1305.3900000000001</v>
      </c>
      <c r="E691" s="10">
        <v>4104.01</v>
      </c>
      <c r="F691" t="str">
        <f t="shared" si="20"/>
        <v>abril</v>
      </c>
      <c r="G691">
        <f t="shared" si="21"/>
        <v>2023</v>
      </c>
    </row>
    <row r="692" spans="1:7" x14ac:dyDescent="0.25">
      <c r="A692" t="s">
        <v>217</v>
      </c>
      <c r="B692" s="1">
        <v>45017</v>
      </c>
      <c r="C692" s="3" t="s">
        <v>462</v>
      </c>
      <c r="D692" s="8">
        <v>2368.9499999999998</v>
      </c>
      <c r="E692" s="11">
        <v>7088.97</v>
      </c>
      <c r="F692" t="str">
        <f t="shared" si="20"/>
        <v>abril</v>
      </c>
      <c r="G692">
        <f t="shared" si="21"/>
        <v>2023</v>
      </c>
    </row>
    <row r="693" spans="1:7" x14ac:dyDescent="0.25">
      <c r="A693" t="s">
        <v>219</v>
      </c>
      <c r="B693" s="1">
        <v>45017</v>
      </c>
      <c r="C693" s="2" t="s">
        <v>220</v>
      </c>
      <c r="D693" s="7">
        <v>4180.3500000000004</v>
      </c>
      <c r="E693" s="10">
        <v>12757.55</v>
      </c>
      <c r="F693" t="str">
        <f t="shared" si="20"/>
        <v>abril</v>
      </c>
      <c r="G693">
        <f t="shared" si="21"/>
        <v>2023</v>
      </c>
    </row>
    <row r="694" spans="1:7" x14ac:dyDescent="0.25">
      <c r="A694" t="s">
        <v>221</v>
      </c>
      <c r="B694" s="1">
        <v>45017</v>
      </c>
      <c r="C694" s="3" t="s">
        <v>222</v>
      </c>
      <c r="D694" s="8">
        <v>51.38</v>
      </c>
      <c r="E694" s="11">
        <v>162.55000000000001</v>
      </c>
      <c r="F694" t="str">
        <f t="shared" si="20"/>
        <v>abril</v>
      </c>
      <c r="G694">
        <f t="shared" si="21"/>
        <v>2023</v>
      </c>
    </row>
    <row r="695" spans="1:7" x14ac:dyDescent="0.25">
      <c r="A695" t="s">
        <v>223</v>
      </c>
      <c r="B695" s="1">
        <v>45017</v>
      </c>
      <c r="C695" s="2" t="s">
        <v>224</v>
      </c>
      <c r="D695" s="7">
        <v>1152.73</v>
      </c>
      <c r="E695" s="10">
        <v>3511.28</v>
      </c>
      <c r="F695" t="str">
        <f t="shared" si="20"/>
        <v>abril</v>
      </c>
      <c r="G695">
        <f t="shared" si="21"/>
        <v>2023</v>
      </c>
    </row>
    <row r="696" spans="1:7" x14ac:dyDescent="0.25">
      <c r="A696" t="s">
        <v>225</v>
      </c>
      <c r="B696" s="1">
        <v>45017</v>
      </c>
      <c r="C696" s="3" t="s">
        <v>226</v>
      </c>
      <c r="D696" s="8">
        <v>350</v>
      </c>
      <c r="E696" s="11">
        <v>241.5</v>
      </c>
      <c r="F696" t="str">
        <f t="shared" si="20"/>
        <v>abril</v>
      </c>
      <c r="G696">
        <f t="shared" si="21"/>
        <v>2023</v>
      </c>
    </row>
    <row r="697" spans="1:7" x14ac:dyDescent="0.25">
      <c r="A697" t="s">
        <v>227</v>
      </c>
      <c r="B697" s="1">
        <v>45017</v>
      </c>
      <c r="C697" s="2" t="s">
        <v>228</v>
      </c>
      <c r="D697" s="7">
        <v>8047.83</v>
      </c>
      <c r="E697" s="10">
        <v>23003.46</v>
      </c>
      <c r="F697" t="str">
        <f t="shared" si="20"/>
        <v>abril</v>
      </c>
      <c r="G697">
        <f t="shared" si="21"/>
        <v>2023</v>
      </c>
    </row>
    <row r="698" spans="1:7" x14ac:dyDescent="0.25">
      <c r="A698" t="s">
        <v>229</v>
      </c>
      <c r="B698" s="1">
        <v>45017</v>
      </c>
      <c r="C698" s="3" t="s">
        <v>230</v>
      </c>
      <c r="D698" s="8">
        <v>927.3</v>
      </c>
      <c r="E698" s="11">
        <v>2779.85</v>
      </c>
      <c r="F698" t="str">
        <f t="shared" si="20"/>
        <v>abril</v>
      </c>
      <c r="G698">
        <f t="shared" si="21"/>
        <v>2023</v>
      </c>
    </row>
    <row r="699" spans="1:7" x14ac:dyDescent="0.25">
      <c r="A699" t="s">
        <v>231</v>
      </c>
      <c r="B699" s="1">
        <v>45017</v>
      </c>
      <c r="C699" s="2" t="s">
        <v>232</v>
      </c>
      <c r="D699" s="7">
        <v>1748.1</v>
      </c>
      <c r="E699" s="10">
        <v>4956.3599999999997</v>
      </c>
      <c r="F699" t="str">
        <f t="shared" si="20"/>
        <v>abril</v>
      </c>
      <c r="G699">
        <f t="shared" si="21"/>
        <v>2023</v>
      </c>
    </row>
    <row r="700" spans="1:7" x14ac:dyDescent="0.25">
      <c r="A700" t="s">
        <v>233</v>
      </c>
      <c r="B700" s="1">
        <v>45017</v>
      </c>
      <c r="C700" s="3" t="s">
        <v>234</v>
      </c>
      <c r="D700" s="8">
        <v>63.1</v>
      </c>
      <c r="E700" s="11">
        <v>182.19</v>
      </c>
      <c r="F700" t="str">
        <f t="shared" si="20"/>
        <v>abril</v>
      </c>
      <c r="G700">
        <f t="shared" si="21"/>
        <v>2023</v>
      </c>
    </row>
    <row r="701" spans="1:7" x14ac:dyDescent="0.25">
      <c r="A701" t="s">
        <v>235</v>
      </c>
      <c r="B701" s="1">
        <v>45017</v>
      </c>
      <c r="C701" s="2" t="s">
        <v>236</v>
      </c>
      <c r="D701" s="7">
        <v>5124.8599999999997</v>
      </c>
      <c r="E701" s="10">
        <v>14464.68</v>
      </c>
      <c r="F701" t="str">
        <f t="shared" si="20"/>
        <v>abril</v>
      </c>
      <c r="G701">
        <f t="shared" si="21"/>
        <v>2023</v>
      </c>
    </row>
    <row r="702" spans="1:7" x14ac:dyDescent="0.25">
      <c r="A702" t="s">
        <v>237</v>
      </c>
      <c r="B702" s="1">
        <v>45017</v>
      </c>
      <c r="C702" s="3" t="s">
        <v>238</v>
      </c>
      <c r="D702" s="8">
        <v>5324.32</v>
      </c>
      <c r="E702" s="11">
        <v>14236.16</v>
      </c>
      <c r="F702" t="str">
        <f t="shared" si="20"/>
        <v>abril</v>
      </c>
      <c r="G702">
        <f t="shared" si="21"/>
        <v>2023</v>
      </c>
    </row>
    <row r="703" spans="1:7" x14ac:dyDescent="0.25">
      <c r="A703" t="s">
        <v>239</v>
      </c>
      <c r="B703" s="1">
        <v>45017</v>
      </c>
      <c r="C703" s="2" t="s">
        <v>240</v>
      </c>
      <c r="D703" s="7">
        <v>14.98</v>
      </c>
      <c r="E703" s="10">
        <v>47.49</v>
      </c>
      <c r="F703" t="str">
        <f t="shared" si="20"/>
        <v>abril</v>
      </c>
      <c r="G703">
        <f t="shared" si="21"/>
        <v>2023</v>
      </c>
    </row>
    <row r="704" spans="1:7" x14ac:dyDescent="0.25">
      <c r="A704" t="s">
        <v>241</v>
      </c>
      <c r="B704" s="1">
        <v>45017</v>
      </c>
      <c r="C704" s="3" t="s">
        <v>242</v>
      </c>
      <c r="D704" s="8">
        <v>577</v>
      </c>
      <c r="E704" s="11">
        <v>1718.34</v>
      </c>
      <c r="F704" t="str">
        <f t="shared" si="20"/>
        <v>abril</v>
      </c>
      <c r="G704">
        <f t="shared" si="21"/>
        <v>2023</v>
      </c>
    </row>
    <row r="705" spans="1:7" x14ac:dyDescent="0.25">
      <c r="A705" t="s">
        <v>243</v>
      </c>
      <c r="B705" s="1">
        <v>45017</v>
      </c>
      <c r="C705" s="2" t="s">
        <v>244</v>
      </c>
      <c r="D705" s="7">
        <v>433.47</v>
      </c>
      <c r="E705" s="10">
        <v>1319.84</v>
      </c>
      <c r="F705" t="str">
        <f t="shared" si="20"/>
        <v>abril</v>
      </c>
      <c r="G705">
        <f t="shared" si="21"/>
        <v>2023</v>
      </c>
    </row>
    <row r="706" spans="1:7" x14ac:dyDescent="0.25">
      <c r="A706" t="s">
        <v>463</v>
      </c>
      <c r="B706" s="1">
        <v>45017</v>
      </c>
      <c r="C706" s="3" t="s">
        <v>464</v>
      </c>
      <c r="D706" s="8">
        <v>350</v>
      </c>
      <c r="E706" s="11">
        <v>234.5</v>
      </c>
      <c r="F706" t="str">
        <f t="shared" si="20"/>
        <v>abril</v>
      </c>
      <c r="G706">
        <f t="shared" si="21"/>
        <v>2023</v>
      </c>
    </row>
    <row r="707" spans="1:7" x14ac:dyDescent="0.25">
      <c r="A707" t="s">
        <v>245</v>
      </c>
      <c r="B707" s="1">
        <v>45017</v>
      </c>
      <c r="C707" s="2" t="s">
        <v>246</v>
      </c>
      <c r="D707" s="7">
        <v>898.69</v>
      </c>
      <c r="E707" s="10">
        <v>2580.35</v>
      </c>
      <c r="F707" t="str">
        <f t="shared" ref="F707:F770" si="22">TEXT(B707,"mmmm")</f>
        <v>abril</v>
      </c>
      <c r="G707">
        <f t="shared" ref="G707:G770" si="23">YEAR(B707)</f>
        <v>2023</v>
      </c>
    </row>
    <row r="708" spans="1:7" x14ac:dyDescent="0.25">
      <c r="A708" t="s">
        <v>247</v>
      </c>
      <c r="B708" s="1">
        <v>45017</v>
      </c>
      <c r="C708" s="3" t="s">
        <v>314</v>
      </c>
      <c r="D708" s="8">
        <v>43.95</v>
      </c>
      <c r="E708" s="11">
        <v>230.95</v>
      </c>
      <c r="F708" t="str">
        <f t="shared" si="22"/>
        <v>abril</v>
      </c>
      <c r="G708">
        <f t="shared" si="23"/>
        <v>2023</v>
      </c>
    </row>
    <row r="709" spans="1:7" x14ac:dyDescent="0.25">
      <c r="A709" t="s">
        <v>249</v>
      </c>
      <c r="B709" s="1">
        <v>45017</v>
      </c>
      <c r="C709" s="2" t="s">
        <v>315</v>
      </c>
      <c r="D709" s="7">
        <v>132.63</v>
      </c>
      <c r="E709" s="10">
        <v>687.8</v>
      </c>
      <c r="F709" t="str">
        <f t="shared" si="22"/>
        <v>abril</v>
      </c>
      <c r="G709">
        <f t="shared" si="23"/>
        <v>2023</v>
      </c>
    </row>
    <row r="710" spans="1:7" x14ac:dyDescent="0.25">
      <c r="A710" t="s">
        <v>251</v>
      </c>
      <c r="B710" s="1">
        <v>45017</v>
      </c>
      <c r="C710" s="3" t="s">
        <v>252</v>
      </c>
      <c r="D710" s="8">
        <v>374.28</v>
      </c>
      <c r="E710" s="11">
        <v>1579.87</v>
      </c>
      <c r="F710" t="str">
        <f t="shared" si="22"/>
        <v>abril</v>
      </c>
      <c r="G710">
        <f t="shared" si="23"/>
        <v>2023</v>
      </c>
    </row>
    <row r="711" spans="1:7" x14ac:dyDescent="0.25">
      <c r="A711" t="s">
        <v>253</v>
      </c>
      <c r="B711" s="1">
        <v>45017</v>
      </c>
      <c r="C711" s="2" t="s">
        <v>254</v>
      </c>
      <c r="D711" s="7">
        <v>85.87</v>
      </c>
      <c r="E711" s="10">
        <v>381.32</v>
      </c>
      <c r="F711" t="str">
        <f t="shared" si="22"/>
        <v>abril</v>
      </c>
      <c r="G711">
        <f t="shared" si="23"/>
        <v>2023</v>
      </c>
    </row>
    <row r="712" spans="1:7" x14ac:dyDescent="0.25">
      <c r="A712" t="s">
        <v>255</v>
      </c>
      <c r="B712" s="1">
        <v>45017</v>
      </c>
      <c r="C712" s="3" t="s">
        <v>256</v>
      </c>
      <c r="D712" s="8">
        <v>248.44</v>
      </c>
      <c r="E712" s="11">
        <v>664.75</v>
      </c>
      <c r="F712" t="str">
        <f t="shared" si="22"/>
        <v>abril</v>
      </c>
      <c r="G712">
        <f t="shared" si="23"/>
        <v>2023</v>
      </c>
    </row>
    <row r="713" spans="1:7" x14ac:dyDescent="0.25">
      <c r="A713" t="s">
        <v>257</v>
      </c>
      <c r="B713" s="1">
        <v>45017</v>
      </c>
      <c r="C713" s="2" t="s">
        <v>258</v>
      </c>
      <c r="D713" s="7">
        <v>84.12</v>
      </c>
      <c r="E713" s="10">
        <v>254.3</v>
      </c>
      <c r="F713" t="str">
        <f t="shared" si="22"/>
        <v>abril</v>
      </c>
      <c r="G713">
        <f t="shared" si="23"/>
        <v>2023</v>
      </c>
    </row>
    <row r="714" spans="1:7" x14ac:dyDescent="0.25">
      <c r="A714" t="s">
        <v>259</v>
      </c>
      <c r="B714" s="1">
        <v>45017</v>
      </c>
      <c r="C714" s="3" t="s">
        <v>260</v>
      </c>
      <c r="D714" s="8">
        <v>311.35000000000002</v>
      </c>
      <c r="E714" s="11">
        <v>915.09</v>
      </c>
      <c r="F714" t="str">
        <f t="shared" si="22"/>
        <v>abril</v>
      </c>
      <c r="G714">
        <f t="shared" si="23"/>
        <v>2023</v>
      </c>
    </row>
    <row r="715" spans="1:7" x14ac:dyDescent="0.25">
      <c r="A715" t="s">
        <v>261</v>
      </c>
      <c r="B715" s="1">
        <v>45017</v>
      </c>
      <c r="C715" s="2" t="s">
        <v>262</v>
      </c>
      <c r="D715" s="7">
        <v>77.58</v>
      </c>
      <c r="E715" s="10">
        <v>428.79</v>
      </c>
      <c r="F715" t="str">
        <f t="shared" si="22"/>
        <v>abril</v>
      </c>
      <c r="G715">
        <f t="shared" si="23"/>
        <v>2023</v>
      </c>
    </row>
    <row r="716" spans="1:7" x14ac:dyDescent="0.25">
      <c r="A716" t="s">
        <v>263</v>
      </c>
      <c r="B716" s="1">
        <v>45017</v>
      </c>
      <c r="C716" s="3" t="s">
        <v>264</v>
      </c>
      <c r="D716" s="8">
        <v>56.46</v>
      </c>
      <c r="E716" s="11">
        <v>312.52999999999997</v>
      </c>
      <c r="F716" t="str">
        <f t="shared" si="22"/>
        <v>abril</v>
      </c>
      <c r="G716">
        <f t="shared" si="23"/>
        <v>2023</v>
      </c>
    </row>
    <row r="717" spans="1:7" x14ac:dyDescent="0.25">
      <c r="A717" t="s">
        <v>265</v>
      </c>
      <c r="B717" s="1">
        <v>45017</v>
      </c>
      <c r="C717" s="2" t="s">
        <v>266</v>
      </c>
      <c r="D717" s="7">
        <v>24.52</v>
      </c>
      <c r="E717" s="10">
        <v>126.31</v>
      </c>
      <c r="F717" t="str">
        <f t="shared" si="22"/>
        <v>abril</v>
      </c>
      <c r="G717">
        <f t="shared" si="23"/>
        <v>2023</v>
      </c>
    </row>
    <row r="718" spans="1:7" x14ac:dyDescent="0.25">
      <c r="A718" t="s">
        <v>267</v>
      </c>
      <c r="B718" s="1">
        <v>45017</v>
      </c>
      <c r="C718" s="3" t="s">
        <v>268</v>
      </c>
      <c r="D718" s="8">
        <v>206.9</v>
      </c>
      <c r="E718" s="11">
        <v>882.37</v>
      </c>
      <c r="F718" t="str">
        <f t="shared" si="22"/>
        <v>abril</v>
      </c>
      <c r="G718">
        <f t="shared" si="23"/>
        <v>2023</v>
      </c>
    </row>
    <row r="719" spans="1:7" x14ac:dyDescent="0.25">
      <c r="A719" t="s">
        <v>269</v>
      </c>
      <c r="B719" s="1">
        <v>45017</v>
      </c>
      <c r="C719" s="2" t="s">
        <v>270</v>
      </c>
      <c r="D719" s="7">
        <v>76.239999999999995</v>
      </c>
      <c r="E719" s="10">
        <v>339.3</v>
      </c>
      <c r="F719" t="str">
        <f t="shared" si="22"/>
        <v>abril</v>
      </c>
      <c r="G719">
        <f t="shared" si="23"/>
        <v>2023</v>
      </c>
    </row>
    <row r="720" spans="1:7" x14ac:dyDescent="0.25">
      <c r="A720" t="s">
        <v>271</v>
      </c>
      <c r="B720" s="1">
        <v>45017</v>
      </c>
      <c r="C720" s="3" t="s">
        <v>272</v>
      </c>
      <c r="D720" s="8">
        <v>11.8</v>
      </c>
      <c r="E720" s="11">
        <v>73.83</v>
      </c>
      <c r="F720" t="str">
        <f t="shared" si="22"/>
        <v>abril</v>
      </c>
      <c r="G720">
        <f t="shared" si="23"/>
        <v>2023</v>
      </c>
    </row>
    <row r="721" spans="1:7" x14ac:dyDescent="0.25">
      <c r="A721" t="s">
        <v>273</v>
      </c>
      <c r="B721" s="1">
        <v>45017</v>
      </c>
      <c r="C721" s="2" t="s">
        <v>274</v>
      </c>
      <c r="D721" s="7">
        <v>636.5</v>
      </c>
      <c r="E721" s="10">
        <v>1862.36</v>
      </c>
      <c r="F721" t="str">
        <f t="shared" si="22"/>
        <v>abril</v>
      </c>
      <c r="G721">
        <f t="shared" si="23"/>
        <v>2023</v>
      </c>
    </row>
    <row r="722" spans="1:7" x14ac:dyDescent="0.25">
      <c r="A722" t="s">
        <v>275</v>
      </c>
      <c r="B722" s="1">
        <v>45017</v>
      </c>
      <c r="C722" s="3" t="s">
        <v>276</v>
      </c>
      <c r="D722" s="8">
        <v>882.54</v>
      </c>
      <c r="E722" s="11">
        <v>2853.48</v>
      </c>
      <c r="F722" t="str">
        <f t="shared" si="22"/>
        <v>abril</v>
      </c>
      <c r="G722">
        <f t="shared" si="23"/>
        <v>2023</v>
      </c>
    </row>
    <row r="723" spans="1:7" x14ac:dyDescent="0.25">
      <c r="A723" t="s">
        <v>277</v>
      </c>
      <c r="B723" s="1">
        <v>45017</v>
      </c>
      <c r="C723" s="2" t="s">
        <v>278</v>
      </c>
      <c r="D723" s="7">
        <v>67.760000000000005</v>
      </c>
      <c r="E723" s="10">
        <v>349.82</v>
      </c>
      <c r="F723" t="str">
        <f t="shared" si="22"/>
        <v>abril</v>
      </c>
      <c r="G723">
        <f t="shared" si="23"/>
        <v>2023</v>
      </c>
    </row>
    <row r="724" spans="1:7" x14ac:dyDescent="0.25">
      <c r="A724" t="s">
        <v>279</v>
      </c>
      <c r="B724" s="1">
        <v>45017</v>
      </c>
      <c r="C724" s="3" t="s">
        <v>280</v>
      </c>
      <c r="D724" s="8">
        <v>728.62</v>
      </c>
      <c r="E724" s="11">
        <v>3782.45</v>
      </c>
      <c r="F724" t="str">
        <f t="shared" si="22"/>
        <v>abril</v>
      </c>
      <c r="G724">
        <f t="shared" si="23"/>
        <v>2023</v>
      </c>
    </row>
    <row r="725" spans="1:7" x14ac:dyDescent="0.25">
      <c r="A725" t="s">
        <v>281</v>
      </c>
      <c r="B725" s="1">
        <v>45017</v>
      </c>
      <c r="C725" s="2" t="s">
        <v>282</v>
      </c>
      <c r="D725" s="7">
        <v>131.71</v>
      </c>
      <c r="E725" s="10">
        <v>572.27</v>
      </c>
      <c r="F725" t="str">
        <f t="shared" si="22"/>
        <v>abril</v>
      </c>
      <c r="G725">
        <f t="shared" si="23"/>
        <v>2023</v>
      </c>
    </row>
    <row r="726" spans="1:7" x14ac:dyDescent="0.25">
      <c r="A726" t="s">
        <v>283</v>
      </c>
      <c r="B726" s="1">
        <v>45017</v>
      </c>
      <c r="C726" s="3" t="s">
        <v>284</v>
      </c>
      <c r="D726" s="8">
        <v>92.41</v>
      </c>
      <c r="E726" s="11">
        <v>246.25</v>
      </c>
      <c r="F726" t="str">
        <f t="shared" si="22"/>
        <v>abril</v>
      </c>
      <c r="G726">
        <f t="shared" si="23"/>
        <v>2023</v>
      </c>
    </row>
    <row r="727" spans="1:7" x14ac:dyDescent="0.25">
      <c r="A727" t="s">
        <v>285</v>
      </c>
      <c r="B727" s="1">
        <v>45017</v>
      </c>
      <c r="C727" s="2" t="s">
        <v>286</v>
      </c>
      <c r="D727" s="7">
        <v>38.39</v>
      </c>
      <c r="E727" s="10">
        <v>109.33</v>
      </c>
      <c r="F727" t="str">
        <f t="shared" si="22"/>
        <v>abril</v>
      </c>
      <c r="G727">
        <f t="shared" si="23"/>
        <v>2023</v>
      </c>
    </row>
    <row r="728" spans="1:7" x14ac:dyDescent="0.25">
      <c r="A728" t="s">
        <v>465</v>
      </c>
      <c r="B728" s="1">
        <v>45017</v>
      </c>
      <c r="C728" s="3" t="s">
        <v>466</v>
      </c>
      <c r="D728" s="8">
        <v>20</v>
      </c>
      <c r="E728" s="11">
        <v>68.2</v>
      </c>
      <c r="F728" t="str">
        <f t="shared" si="22"/>
        <v>abril</v>
      </c>
      <c r="G728">
        <f t="shared" si="23"/>
        <v>2023</v>
      </c>
    </row>
    <row r="729" spans="1:7" x14ac:dyDescent="0.25">
      <c r="A729" t="s">
        <v>467</v>
      </c>
      <c r="B729" s="1">
        <v>45017</v>
      </c>
      <c r="C729" s="2" t="s">
        <v>468</v>
      </c>
      <c r="D729" s="7">
        <v>594</v>
      </c>
      <c r="E729" s="10">
        <v>7217.1</v>
      </c>
      <c r="F729" t="str">
        <f t="shared" si="22"/>
        <v>abril</v>
      </c>
      <c r="G729">
        <f t="shared" si="23"/>
        <v>2023</v>
      </c>
    </row>
    <row r="730" spans="1:7" x14ac:dyDescent="0.25">
      <c r="A730" t="s">
        <v>469</v>
      </c>
      <c r="B730" s="1">
        <v>45017</v>
      </c>
      <c r="C730" s="3" t="s">
        <v>470</v>
      </c>
      <c r="D730" s="8">
        <v>80</v>
      </c>
      <c r="E730" s="11">
        <v>957.6</v>
      </c>
      <c r="F730" t="str">
        <f t="shared" si="22"/>
        <v>abril</v>
      </c>
      <c r="G730">
        <f t="shared" si="23"/>
        <v>2023</v>
      </c>
    </row>
    <row r="731" spans="1:7" x14ac:dyDescent="0.25">
      <c r="A731" t="s">
        <v>471</v>
      </c>
      <c r="B731" s="1">
        <v>45017</v>
      </c>
      <c r="C731" s="2" t="s">
        <v>472</v>
      </c>
      <c r="D731" s="7">
        <v>8</v>
      </c>
      <c r="E731" s="10">
        <v>104.4</v>
      </c>
      <c r="F731" t="str">
        <f t="shared" si="22"/>
        <v>abril</v>
      </c>
      <c r="G731">
        <f t="shared" si="23"/>
        <v>2023</v>
      </c>
    </row>
    <row r="732" spans="1:7" x14ac:dyDescent="0.25">
      <c r="A732" t="s">
        <v>473</v>
      </c>
      <c r="B732" s="1">
        <v>45017</v>
      </c>
      <c r="C732" s="3" t="s">
        <v>474</v>
      </c>
      <c r="D732" s="8">
        <v>1</v>
      </c>
      <c r="E732" s="11">
        <v>6.46</v>
      </c>
      <c r="F732" t="str">
        <f t="shared" si="22"/>
        <v>abril</v>
      </c>
      <c r="G732">
        <f t="shared" si="23"/>
        <v>2023</v>
      </c>
    </row>
    <row r="733" spans="1:7" x14ac:dyDescent="0.25">
      <c r="A733" t="s">
        <v>475</v>
      </c>
      <c r="B733" s="1">
        <v>45017</v>
      </c>
      <c r="C733" s="2" t="s">
        <v>323</v>
      </c>
      <c r="D733" s="7">
        <v>3</v>
      </c>
      <c r="E733" s="10">
        <v>15.12</v>
      </c>
      <c r="F733" t="str">
        <f t="shared" si="22"/>
        <v>abril</v>
      </c>
      <c r="G733">
        <f t="shared" si="23"/>
        <v>2023</v>
      </c>
    </row>
    <row r="734" spans="1:7" x14ac:dyDescent="0.25">
      <c r="A734" t="s">
        <v>476</v>
      </c>
      <c r="B734" s="1">
        <v>45017</v>
      </c>
      <c r="C734" s="3" t="s">
        <v>477</v>
      </c>
      <c r="D734" s="8">
        <v>1</v>
      </c>
      <c r="E734" s="11">
        <v>5.45</v>
      </c>
      <c r="F734" t="str">
        <f t="shared" si="22"/>
        <v>abril</v>
      </c>
      <c r="G734">
        <f t="shared" si="23"/>
        <v>2023</v>
      </c>
    </row>
    <row r="735" spans="1:7" x14ac:dyDescent="0.25">
      <c r="A735" t="s">
        <v>478</v>
      </c>
      <c r="B735" s="1">
        <v>45017</v>
      </c>
      <c r="C735" s="2" t="s">
        <v>479</v>
      </c>
      <c r="D735" s="7">
        <v>3</v>
      </c>
      <c r="E735" s="10">
        <v>17.440000000000001</v>
      </c>
      <c r="F735" t="str">
        <f t="shared" si="22"/>
        <v>abril</v>
      </c>
      <c r="G735">
        <f t="shared" si="23"/>
        <v>2023</v>
      </c>
    </row>
    <row r="736" spans="1:7" x14ac:dyDescent="0.25">
      <c r="A736" t="s">
        <v>480</v>
      </c>
      <c r="B736" s="1">
        <v>45017</v>
      </c>
      <c r="C736" s="3" t="s">
        <v>481</v>
      </c>
      <c r="D736" s="8">
        <v>3000</v>
      </c>
      <c r="E736" s="11">
        <v>18750</v>
      </c>
      <c r="F736" t="str">
        <f t="shared" si="22"/>
        <v>abril</v>
      </c>
      <c r="G736">
        <f t="shared" si="23"/>
        <v>2023</v>
      </c>
    </row>
    <row r="737" spans="1:7" x14ac:dyDescent="0.25">
      <c r="A737" t="s">
        <v>482</v>
      </c>
      <c r="B737" s="1">
        <v>45017</v>
      </c>
      <c r="C737" s="2" t="s">
        <v>483</v>
      </c>
      <c r="D737" s="7">
        <v>300</v>
      </c>
      <c r="E737" s="10">
        <v>2700</v>
      </c>
      <c r="F737" t="str">
        <f t="shared" si="22"/>
        <v>abril</v>
      </c>
      <c r="G737">
        <f t="shared" si="23"/>
        <v>2023</v>
      </c>
    </row>
    <row r="738" spans="1:7" x14ac:dyDescent="0.25">
      <c r="A738" t="s">
        <v>484</v>
      </c>
      <c r="B738" s="1">
        <v>45017</v>
      </c>
      <c r="C738" s="3" t="s">
        <v>485</v>
      </c>
      <c r="D738" s="8">
        <v>3000</v>
      </c>
      <c r="E738" s="11">
        <v>8700</v>
      </c>
      <c r="F738" t="str">
        <f t="shared" si="22"/>
        <v>abril</v>
      </c>
      <c r="G738">
        <f t="shared" si="23"/>
        <v>2023</v>
      </c>
    </row>
    <row r="739" spans="1:7" x14ac:dyDescent="0.25">
      <c r="A739" t="s">
        <v>486</v>
      </c>
      <c r="B739" s="1">
        <v>45017</v>
      </c>
      <c r="C739" s="2" t="s">
        <v>487</v>
      </c>
      <c r="D739" s="7">
        <v>1200</v>
      </c>
      <c r="E739" s="10">
        <v>3660</v>
      </c>
      <c r="F739" t="str">
        <f t="shared" si="22"/>
        <v>abril</v>
      </c>
      <c r="G739">
        <f t="shared" si="23"/>
        <v>2023</v>
      </c>
    </row>
    <row r="740" spans="1:7" x14ac:dyDescent="0.25">
      <c r="A740" t="s">
        <v>488</v>
      </c>
      <c r="B740" s="1">
        <v>45017</v>
      </c>
      <c r="C740" s="3" t="s">
        <v>489</v>
      </c>
      <c r="D740" s="8">
        <v>1000</v>
      </c>
      <c r="E740" s="11">
        <v>3300</v>
      </c>
      <c r="F740" t="str">
        <f t="shared" si="22"/>
        <v>abril</v>
      </c>
      <c r="G740">
        <f t="shared" si="23"/>
        <v>2023</v>
      </c>
    </row>
    <row r="741" spans="1:7" x14ac:dyDescent="0.25">
      <c r="A741" t="s">
        <v>490</v>
      </c>
      <c r="B741" s="1">
        <v>45017</v>
      </c>
      <c r="C741" s="2" t="s">
        <v>491</v>
      </c>
      <c r="D741" s="7">
        <v>2500</v>
      </c>
      <c r="E741" s="10">
        <v>8000</v>
      </c>
      <c r="F741" t="str">
        <f t="shared" si="22"/>
        <v>abril</v>
      </c>
      <c r="G741">
        <f t="shared" si="23"/>
        <v>2023</v>
      </c>
    </row>
    <row r="742" spans="1:7" x14ac:dyDescent="0.25">
      <c r="A742" t="s">
        <v>492</v>
      </c>
      <c r="B742" s="1">
        <v>45017</v>
      </c>
      <c r="C742" s="3" t="s">
        <v>493</v>
      </c>
      <c r="D742" s="8">
        <v>480</v>
      </c>
      <c r="E742" s="11">
        <v>4473.6000000000004</v>
      </c>
      <c r="F742" t="str">
        <f t="shared" si="22"/>
        <v>abril</v>
      </c>
      <c r="G742">
        <f t="shared" si="23"/>
        <v>2023</v>
      </c>
    </row>
    <row r="743" spans="1:7" x14ac:dyDescent="0.25">
      <c r="A743" t="s">
        <v>494</v>
      </c>
      <c r="B743" s="1">
        <v>45017</v>
      </c>
      <c r="C743" s="2" t="s">
        <v>495</v>
      </c>
      <c r="D743" s="7">
        <v>1061.8800000000001</v>
      </c>
      <c r="E743" s="10">
        <v>6902.22</v>
      </c>
      <c r="F743" t="str">
        <f t="shared" si="22"/>
        <v>abril</v>
      </c>
      <c r="G743">
        <f t="shared" si="23"/>
        <v>2023</v>
      </c>
    </row>
    <row r="744" spans="1:7" x14ac:dyDescent="0.25">
      <c r="A744" t="s">
        <v>496</v>
      </c>
      <c r="B744" s="1">
        <v>45017</v>
      </c>
      <c r="C744" s="3" t="s">
        <v>497</v>
      </c>
      <c r="D744" s="8">
        <v>704</v>
      </c>
      <c r="E744" s="11">
        <v>6983.68</v>
      </c>
      <c r="F744" t="str">
        <f t="shared" si="22"/>
        <v>abril</v>
      </c>
      <c r="G744">
        <f t="shared" si="23"/>
        <v>2023</v>
      </c>
    </row>
    <row r="745" spans="1:7" x14ac:dyDescent="0.25">
      <c r="A745" t="s">
        <v>498</v>
      </c>
      <c r="B745" s="1">
        <v>45017</v>
      </c>
      <c r="C745" s="2" t="s">
        <v>499</v>
      </c>
      <c r="D745" s="7">
        <v>1693.89</v>
      </c>
      <c r="E745" s="10">
        <v>8469.4500000000007</v>
      </c>
      <c r="F745" t="str">
        <f t="shared" si="22"/>
        <v>abril</v>
      </c>
      <c r="G745">
        <f t="shared" si="23"/>
        <v>2023</v>
      </c>
    </row>
    <row r="746" spans="1:7" x14ac:dyDescent="0.25">
      <c r="A746" t="s">
        <v>500</v>
      </c>
      <c r="B746" s="1">
        <v>45017</v>
      </c>
      <c r="C746" s="3" t="s">
        <v>501</v>
      </c>
      <c r="D746" s="8">
        <v>2592</v>
      </c>
      <c r="E746" s="11">
        <v>12000.96</v>
      </c>
      <c r="F746" t="str">
        <f t="shared" si="22"/>
        <v>abril</v>
      </c>
      <c r="G746">
        <f t="shared" si="23"/>
        <v>2023</v>
      </c>
    </row>
    <row r="747" spans="1:7" x14ac:dyDescent="0.25">
      <c r="A747" t="s">
        <v>502</v>
      </c>
      <c r="B747" s="1">
        <v>45017</v>
      </c>
      <c r="C747" s="2" t="s">
        <v>408</v>
      </c>
      <c r="D747" s="7">
        <v>15.04</v>
      </c>
      <c r="E747" s="10">
        <v>118.82</v>
      </c>
      <c r="F747" t="str">
        <f t="shared" si="22"/>
        <v>abril</v>
      </c>
      <c r="G747">
        <f t="shared" si="23"/>
        <v>2023</v>
      </c>
    </row>
    <row r="748" spans="1:7" x14ac:dyDescent="0.25">
      <c r="A748" t="s">
        <v>503</v>
      </c>
      <c r="B748" s="1">
        <v>45017</v>
      </c>
      <c r="C748" s="3" t="s">
        <v>377</v>
      </c>
      <c r="D748" s="8">
        <v>1.8</v>
      </c>
      <c r="E748" s="11">
        <v>17.100000000000001</v>
      </c>
      <c r="F748" t="str">
        <f t="shared" si="22"/>
        <v>abril</v>
      </c>
      <c r="G748">
        <f t="shared" si="23"/>
        <v>2023</v>
      </c>
    </row>
    <row r="749" spans="1:7" x14ac:dyDescent="0.25">
      <c r="A749" t="s">
        <v>504</v>
      </c>
      <c r="B749" s="1">
        <v>45017</v>
      </c>
      <c r="C749" s="2" t="s">
        <v>409</v>
      </c>
      <c r="D749" s="7">
        <v>8.66</v>
      </c>
      <c r="E749" s="10">
        <v>103.99</v>
      </c>
      <c r="F749" t="str">
        <f t="shared" si="22"/>
        <v>abril</v>
      </c>
      <c r="G749">
        <f t="shared" si="23"/>
        <v>2023</v>
      </c>
    </row>
    <row r="750" spans="1:7" x14ac:dyDescent="0.25">
      <c r="A750" t="s">
        <v>505</v>
      </c>
      <c r="B750" s="1">
        <v>45017</v>
      </c>
      <c r="C750" s="3" t="s">
        <v>506</v>
      </c>
      <c r="D750" s="8">
        <v>817.68</v>
      </c>
      <c r="E750" s="11">
        <v>9239.7800000000007</v>
      </c>
      <c r="F750" t="str">
        <f t="shared" si="22"/>
        <v>abril</v>
      </c>
      <c r="G750">
        <f t="shared" si="23"/>
        <v>2023</v>
      </c>
    </row>
    <row r="751" spans="1:7" x14ac:dyDescent="0.25">
      <c r="A751" t="s">
        <v>507</v>
      </c>
      <c r="B751" s="1">
        <v>45017</v>
      </c>
      <c r="C751" s="2" t="s">
        <v>508</v>
      </c>
      <c r="D751" s="7">
        <v>1</v>
      </c>
      <c r="E751" s="10">
        <v>4.0999999999999996</v>
      </c>
      <c r="F751" t="str">
        <f t="shared" si="22"/>
        <v>abril</v>
      </c>
      <c r="G751">
        <f t="shared" si="23"/>
        <v>2023</v>
      </c>
    </row>
    <row r="752" spans="1:7" x14ac:dyDescent="0.25">
      <c r="A752" t="s">
        <v>509</v>
      </c>
      <c r="B752" s="1">
        <v>45017</v>
      </c>
      <c r="C752" s="3" t="s">
        <v>510</v>
      </c>
      <c r="D752" s="8">
        <v>1252.7</v>
      </c>
      <c r="E752" s="11">
        <v>8393.09</v>
      </c>
      <c r="F752" t="str">
        <f t="shared" si="22"/>
        <v>abril</v>
      </c>
      <c r="G752">
        <f t="shared" si="23"/>
        <v>2023</v>
      </c>
    </row>
    <row r="753" spans="1:7" x14ac:dyDescent="0.25">
      <c r="A753" t="s">
        <v>511</v>
      </c>
      <c r="B753" s="1">
        <v>45017</v>
      </c>
      <c r="C753" s="2" t="s">
        <v>512</v>
      </c>
      <c r="D753" s="7">
        <v>200</v>
      </c>
      <c r="E753" s="10">
        <v>1312</v>
      </c>
      <c r="F753" t="str">
        <f t="shared" si="22"/>
        <v>abril</v>
      </c>
      <c r="G753">
        <f t="shared" si="23"/>
        <v>2023</v>
      </c>
    </row>
    <row r="754" spans="1:7" x14ac:dyDescent="0.25">
      <c r="A754" t="s">
        <v>513</v>
      </c>
      <c r="B754" s="1">
        <v>45017</v>
      </c>
      <c r="C754" s="3" t="s">
        <v>514</v>
      </c>
      <c r="D754" s="8">
        <v>5.14</v>
      </c>
      <c r="E754" s="11">
        <v>47.8</v>
      </c>
      <c r="F754" t="str">
        <f t="shared" si="22"/>
        <v>abril</v>
      </c>
      <c r="G754">
        <f t="shared" si="23"/>
        <v>2023</v>
      </c>
    </row>
    <row r="755" spans="1:7" x14ac:dyDescent="0.25">
      <c r="A755" t="s">
        <v>515</v>
      </c>
      <c r="B755" s="1">
        <v>45017</v>
      </c>
      <c r="C755" s="2" t="s">
        <v>516</v>
      </c>
      <c r="D755" s="7">
        <v>1944</v>
      </c>
      <c r="E755" s="10">
        <v>5929.2</v>
      </c>
      <c r="F755" t="str">
        <f t="shared" si="22"/>
        <v>abril</v>
      </c>
      <c r="G755">
        <f t="shared" si="23"/>
        <v>2023</v>
      </c>
    </row>
    <row r="756" spans="1:7" x14ac:dyDescent="0.25">
      <c r="A756" t="s">
        <v>517</v>
      </c>
      <c r="B756" s="1">
        <v>45017</v>
      </c>
      <c r="C756" s="3" t="s">
        <v>518</v>
      </c>
      <c r="D756" s="8">
        <v>370</v>
      </c>
      <c r="E756" s="11">
        <v>1598.4</v>
      </c>
      <c r="F756" t="str">
        <f t="shared" si="22"/>
        <v>abril</v>
      </c>
      <c r="G756">
        <f t="shared" si="23"/>
        <v>2023</v>
      </c>
    </row>
    <row r="757" spans="1:7" x14ac:dyDescent="0.25">
      <c r="A757" t="s">
        <v>519</v>
      </c>
      <c r="B757" s="1">
        <v>45017</v>
      </c>
      <c r="C757" s="2" t="s">
        <v>520</v>
      </c>
      <c r="D757" s="7">
        <v>10</v>
      </c>
      <c r="E757" s="10">
        <v>36</v>
      </c>
      <c r="F757" t="str">
        <f t="shared" si="22"/>
        <v>abril</v>
      </c>
      <c r="G757">
        <f t="shared" si="23"/>
        <v>2023</v>
      </c>
    </row>
    <row r="758" spans="1:7" x14ac:dyDescent="0.25">
      <c r="A758" t="s">
        <v>521</v>
      </c>
      <c r="B758" s="1">
        <v>45017</v>
      </c>
      <c r="C758" s="3" t="s">
        <v>417</v>
      </c>
      <c r="D758" s="8">
        <v>16</v>
      </c>
      <c r="E758" s="11">
        <v>59.2</v>
      </c>
      <c r="F758" t="str">
        <f t="shared" si="22"/>
        <v>abril</v>
      </c>
      <c r="G758">
        <f t="shared" si="23"/>
        <v>2023</v>
      </c>
    </row>
    <row r="759" spans="1:7" x14ac:dyDescent="0.25">
      <c r="A759" t="s">
        <v>522</v>
      </c>
      <c r="B759" s="1">
        <v>45017</v>
      </c>
      <c r="C759" s="2" t="s">
        <v>381</v>
      </c>
      <c r="D759" s="7">
        <v>60</v>
      </c>
      <c r="E759" s="10">
        <v>255</v>
      </c>
      <c r="F759" t="str">
        <f t="shared" si="22"/>
        <v>abril</v>
      </c>
      <c r="G759">
        <f t="shared" si="23"/>
        <v>2023</v>
      </c>
    </row>
    <row r="760" spans="1:7" x14ac:dyDescent="0.25">
      <c r="A760" t="s">
        <v>523</v>
      </c>
      <c r="B760" s="1">
        <v>45017</v>
      </c>
      <c r="C760" s="3" t="s">
        <v>423</v>
      </c>
      <c r="D760" s="8">
        <v>4</v>
      </c>
      <c r="E760" s="11">
        <v>9.31</v>
      </c>
      <c r="F760" t="str">
        <f t="shared" si="22"/>
        <v>abril</v>
      </c>
      <c r="G760">
        <f t="shared" si="23"/>
        <v>2023</v>
      </c>
    </row>
    <row r="761" spans="1:7" x14ac:dyDescent="0.25">
      <c r="A761" t="s">
        <v>524</v>
      </c>
      <c r="B761" s="1">
        <v>45017</v>
      </c>
      <c r="C761" s="2" t="s">
        <v>525</v>
      </c>
      <c r="D761" s="7">
        <v>3450</v>
      </c>
      <c r="E761" s="10">
        <v>29082</v>
      </c>
      <c r="F761" t="str">
        <f t="shared" si="22"/>
        <v>abril</v>
      </c>
      <c r="G761">
        <f t="shared" si="23"/>
        <v>2023</v>
      </c>
    </row>
    <row r="762" spans="1:7" x14ac:dyDescent="0.25">
      <c r="A762" t="s">
        <v>526</v>
      </c>
      <c r="B762" s="1">
        <v>45017</v>
      </c>
      <c r="C762" s="3" t="s">
        <v>384</v>
      </c>
      <c r="D762" s="8">
        <v>2660</v>
      </c>
      <c r="E762" s="11">
        <v>20178</v>
      </c>
      <c r="F762" t="str">
        <f t="shared" si="22"/>
        <v>abril</v>
      </c>
      <c r="G762">
        <f t="shared" si="23"/>
        <v>2023</v>
      </c>
    </row>
    <row r="763" spans="1:7" x14ac:dyDescent="0.25">
      <c r="A763" t="s">
        <v>527</v>
      </c>
      <c r="B763" s="1">
        <v>45017</v>
      </c>
      <c r="C763" s="2" t="s">
        <v>528</v>
      </c>
      <c r="D763" s="7">
        <v>5525</v>
      </c>
      <c r="E763" s="10">
        <v>35074.5</v>
      </c>
      <c r="F763" t="str">
        <f t="shared" si="22"/>
        <v>abril</v>
      </c>
      <c r="G763">
        <f t="shared" si="23"/>
        <v>2023</v>
      </c>
    </row>
    <row r="764" spans="1:7" x14ac:dyDescent="0.25">
      <c r="A764" t="s">
        <v>529</v>
      </c>
      <c r="B764" s="1">
        <v>45017</v>
      </c>
      <c r="C764" s="3" t="s">
        <v>530</v>
      </c>
      <c r="D764" s="8">
        <v>1630</v>
      </c>
      <c r="E764" s="11">
        <v>9141</v>
      </c>
      <c r="F764" t="str">
        <f t="shared" si="22"/>
        <v>abril</v>
      </c>
      <c r="G764">
        <f t="shared" si="23"/>
        <v>2023</v>
      </c>
    </row>
    <row r="765" spans="1:7" x14ac:dyDescent="0.25">
      <c r="A765" t="s">
        <v>531</v>
      </c>
      <c r="B765" s="1">
        <v>45017</v>
      </c>
      <c r="C765" s="2" t="s">
        <v>532</v>
      </c>
      <c r="D765" s="7">
        <v>1000</v>
      </c>
      <c r="E765" s="10">
        <v>5400</v>
      </c>
      <c r="F765" t="str">
        <f t="shared" si="22"/>
        <v>abril</v>
      </c>
      <c r="G765">
        <f t="shared" si="23"/>
        <v>2023</v>
      </c>
    </row>
    <row r="766" spans="1:7" x14ac:dyDescent="0.25">
      <c r="A766" t="s">
        <v>533</v>
      </c>
      <c r="B766" s="1">
        <v>45017</v>
      </c>
      <c r="C766" s="3" t="s">
        <v>534</v>
      </c>
      <c r="D766" s="8">
        <v>1500</v>
      </c>
      <c r="E766" s="11">
        <v>7650</v>
      </c>
      <c r="F766" t="str">
        <f t="shared" si="22"/>
        <v>abril</v>
      </c>
      <c r="G766">
        <f t="shared" si="23"/>
        <v>2023</v>
      </c>
    </row>
    <row r="767" spans="1:7" x14ac:dyDescent="0.25">
      <c r="A767" t="s">
        <v>535</v>
      </c>
      <c r="B767" s="1">
        <v>45017</v>
      </c>
      <c r="C767" s="2" t="s">
        <v>536</v>
      </c>
      <c r="D767" s="7">
        <v>1500</v>
      </c>
      <c r="E767" s="10">
        <v>6900</v>
      </c>
      <c r="F767" t="str">
        <f t="shared" si="22"/>
        <v>abril</v>
      </c>
      <c r="G767">
        <f t="shared" si="23"/>
        <v>2023</v>
      </c>
    </row>
    <row r="768" spans="1:7" x14ac:dyDescent="0.25">
      <c r="A768" t="s">
        <v>537</v>
      </c>
      <c r="B768" s="1">
        <v>45017</v>
      </c>
      <c r="C768" s="3" t="s">
        <v>538</v>
      </c>
      <c r="D768" s="8">
        <v>500</v>
      </c>
      <c r="E768" s="11">
        <v>2000</v>
      </c>
      <c r="F768" t="str">
        <f t="shared" si="22"/>
        <v>abril</v>
      </c>
      <c r="G768">
        <f t="shared" si="23"/>
        <v>2023</v>
      </c>
    </row>
    <row r="769" spans="1:7" x14ac:dyDescent="0.25">
      <c r="A769" s="4" t="s">
        <v>426</v>
      </c>
      <c r="B769" s="1">
        <v>45047</v>
      </c>
      <c r="C769" s="2" t="s">
        <v>331</v>
      </c>
      <c r="D769" s="7">
        <v>812.6</v>
      </c>
      <c r="E769" s="13">
        <v>243.78</v>
      </c>
      <c r="F769" t="str">
        <f t="shared" si="22"/>
        <v>maio</v>
      </c>
      <c r="G769">
        <f t="shared" si="23"/>
        <v>2023</v>
      </c>
    </row>
    <row r="770" spans="1:7" x14ac:dyDescent="0.25">
      <c r="A770" s="5" t="s">
        <v>427</v>
      </c>
      <c r="B770" s="1">
        <v>45047</v>
      </c>
      <c r="C770" s="3" t="s">
        <v>333</v>
      </c>
      <c r="D770" s="8">
        <v>792.8</v>
      </c>
      <c r="E770" s="12">
        <v>237.95</v>
      </c>
      <c r="F770" t="str">
        <f t="shared" si="22"/>
        <v>maio</v>
      </c>
      <c r="G770">
        <f t="shared" si="23"/>
        <v>2023</v>
      </c>
    </row>
    <row r="771" spans="1:7" x14ac:dyDescent="0.25">
      <c r="A771" s="4" t="s">
        <v>539</v>
      </c>
      <c r="B771" s="1">
        <v>45047</v>
      </c>
      <c r="C771" s="2" t="s">
        <v>540</v>
      </c>
      <c r="D771" s="7">
        <v>270.60000000000002</v>
      </c>
      <c r="E771" s="13">
        <v>541.20000000000005</v>
      </c>
      <c r="F771" t="str">
        <f t="shared" ref="F771:F834" si="24">TEXT(B771,"mmmm")</f>
        <v>maio</v>
      </c>
      <c r="G771">
        <f t="shared" ref="G771:G834" si="25">YEAR(B771)</f>
        <v>2023</v>
      </c>
    </row>
    <row r="772" spans="1:7" x14ac:dyDescent="0.25">
      <c r="A772" s="5" t="s">
        <v>5</v>
      </c>
      <c r="B772" s="1">
        <v>45047</v>
      </c>
      <c r="C772" s="3" t="s">
        <v>6</v>
      </c>
      <c r="D772" s="8">
        <v>1638.3</v>
      </c>
      <c r="E772" s="12">
        <v>924.81</v>
      </c>
      <c r="F772" t="str">
        <f t="shared" si="24"/>
        <v>maio</v>
      </c>
      <c r="G772">
        <f t="shared" si="25"/>
        <v>2023</v>
      </c>
    </row>
    <row r="773" spans="1:7" x14ac:dyDescent="0.25">
      <c r="A773" s="4" t="s">
        <v>7</v>
      </c>
      <c r="B773" s="1">
        <v>45047</v>
      </c>
      <c r="C773" s="2" t="s">
        <v>8</v>
      </c>
      <c r="D773" s="7">
        <v>3608.5</v>
      </c>
      <c r="E773" s="13">
        <v>3000.87</v>
      </c>
      <c r="F773" t="str">
        <f t="shared" si="24"/>
        <v>maio</v>
      </c>
      <c r="G773">
        <f t="shared" si="25"/>
        <v>2023</v>
      </c>
    </row>
    <row r="774" spans="1:7" x14ac:dyDescent="0.25">
      <c r="A774" s="5" t="s">
        <v>9</v>
      </c>
      <c r="B774" s="1">
        <v>45047</v>
      </c>
      <c r="C774" s="3" t="s">
        <v>10</v>
      </c>
      <c r="D774" s="8">
        <v>266.89999999999998</v>
      </c>
      <c r="E774" s="12">
        <v>556.23</v>
      </c>
      <c r="F774" t="str">
        <f t="shared" si="24"/>
        <v>maio</v>
      </c>
      <c r="G774">
        <f t="shared" si="25"/>
        <v>2023</v>
      </c>
    </row>
    <row r="775" spans="1:7" x14ac:dyDescent="0.25">
      <c r="A775" s="4" t="s">
        <v>11</v>
      </c>
      <c r="B775" s="1">
        <v>45047</v>
      </c>
      <c r="C775" s="2" t="s">
        <v>12</v>
      </c>
      <c r="D775" s="7">
        <v>76.55</v>
      </c>
      <c r="E775" s="13">
        <v>570.73</v>
      </c>
      <c r="F775" t="str">
        <f t="shared" si="24"/>
        <v>maio</v>
      </c>
      <c r="G775">
        <f t="shared" si="25"/>
        <v>2023</v>
      </c>
    </row>
    <row r="776" spans="1:7" x14ac:dyDescent="0.25">
      <c r="A776" s="5" t="s">
        <v>13</v>
      </c>
      <c r="B776" s="1">
        <v>45047</v>
      </c>
      <c r="C776" s="3" t="s">
        <v>14</v>
      </c>
      <c r="D776" s="8">
        <v>216</v>
      </c>
      <c r="E776" s="12">
        <v>1660.5</v>
      </c>
      <c r="F776" t="str">
        <f t="shared" si="24"/>
        <v>maio</v>
      </c>
      <c r="G776">
        <f t="shared" si="25"/>
        <v>2023</v>
      </c>
    </row>
    <row r="777" spans="1:7" x14ac:dyDescent="0.25">
      <c r="A777" s="4" t="s">
        <v>428</v>
      </c>
      <c r="B777" s="1">
        <v>45047</v>
      </c>
      <c r="C777" s="2" t="s">
        <v>429</v>
      </c>
      <c r="D777" s="7">
        <v>331</v>
      </c>
      <c r="E777" s="13">
        <v>893.7</v>
      </c>
      <c r="F777" t="str">
        <f t="shared" si="24"/>
        <v>maio</v>
      </c>
      <c r="G777">
        <f t="shared" si="25"/>
        <v>2023</v>
      </c>
    </row>
    <row r="778" spans="1:7" x14ac:dyDescent="0.25">
      <c r="A778" s="5" t="s">
        <v>15</v>
      </c>
      <c r="B778" s="1">
        <v>45047</v>
      </c>
      <c r="C778" s="3" t="s">
        <v>16</v>
      </c>
      <c r="D778" s="8">
        <v>248.24</v>
      </c>
      <c r="E778" s="12">
        <v>371.11</v>
      </c>
      <c r="F778" t="str">
        <f t="shared" si="24"/>
        <v>maio</v>
      </c>
      <c r="G778">
        <f t="shared" si="25"/>
        <v>2023</v>
      </c>
    </row>
    <row r="779" spans="1:7" x14ac:dyDescent="0.25">
      <c r="A779" s="4" t="s">
        <v>17</v>
      </c>
      <c r="B779" s="1">
        <v>45047</v>
      </c>
      <c r="C779" s="2" t="s">
        <v>18</v>
      </c>
      <c r="D779" s="7">
        <v>25.7</v>
      </c>
      <c r="E779" s="13">
        <v>30.29</v>
      </c>
      <c r="F779" t="str">
        <f t="shared" si="24"/>
        <v>maio</v>
      </c>
      <c r="G779">
        <f t="shared" si="25"/>
        <v>2023</v>
      </c>
    </row>
    <row r="780" spans="1:7" x14ac:dyDescent="0.25">
      <c r="A780" s="5" t="s">
        <v>430</v>
      </c>
      <c r="B780" s="1">
        <v>45047</v>
      </c>
      <c r="C780" s="3" t="s">
        <v>431</v>
      </c>
      <c r="D780" s="8">
        <v>36.4</v>
      </c>
      <c r="E780" s="12">
        <v>49.55</v>
      </c>
      <c r="F780" t="str">
        <f t="shared" si="24"/>
        <v>maio</v>
      </c>
      <c r="G780">
        <f t="shared" si="25"/>
        <v>2023</v>
      </c>
    </row>
    <row r="781" spans="1:7" x14ac:dyDescent="0.25">
      <c r="A781" s="4" t="s">
        <v>19</v>
      </c>
      <c r="B781" s="1">
        <v>45047</v>
      </c>
      <c r="C781" s="2" t="s">
        <v>20</v>
      </c>
      <c r="D781" s="7">
        <v>1092.58</v>
      </c>
      <c r="E781" s="13">
        <v>793.71</v>
      </c>
      <c r="F781" t="str">
        <f t="shared" si="24"/>
        <v>maio</v>
      </c>
      <c r="G781">
        <f t="shared" si="25"/>
        <v>2023</v>
      </c>
    </row>
    <row r="782" spans="1:7" x14ac:dyDescent="0.25">
      <c r="A782" s="5" t="s">
        <v>21</v>
      </c>
      <c r="B782" s="1">
        <v>45047</v>
      </c>
      <c r="C782" s="3" t="s">
        <v>22</v>
      </c>
      <c r="D782" s="8">
        <v>18.600000000000001</v>
      </c>
      <c r="E782" s="12">
        <v>9.43</v>
      </c>
      <c r="F782" t="str">
        <f t="shared" si="24"/>
        <v>maio</v>
      </c>
      <c r="G782">
        <f t="shared" si="25"/>
        <v>2023</v>
      </c>
    </row>
    <row r="783" spans="1:7" x14ac:dyDescent="0.25">
      <c r="A783" s="4" t="s">
        <v>23</v>
      </c>
      <c r="B783" s="1">
        <v>45047</v>
      </c>
      <c r="C783" s="2" t="s">
        <v>24</v>
      </c>
      <c r="D783" s="7">
        <v>65.8</v>
      </c>
      <c r="E783" s="13">
        <v>93.52</v>
      </c>
      <c r="F783" t="str">
        <f t="shared" si="24"/>
        <v>maio</v>
      </c>
      <c r="G783">
        <f t="shared" si="25"/>
        <v>2023</v>
      </c>
    </row>
    <row r="784" spans="1:7" x14ac:dyDescent="0.25">
      <c r="A784" s="5" t="s">
        <v>432</v>
      </c>
      <c r="B784" s="1">
        <v>45047</v>
      </c>
      <c r="C784" s="3" t="s">
        <v>338</v>
      </c>
      <c r="D784" s="8">
        <v>92.1</v>
      </c>
      <c r="E784" s="12">
        <v>248.67</v>
      </c>
      <c r="F784" t="str">
        <f t="shared" si="24"/>
        <v>maio</v>
      </c>
      <c r="G784">
        <f t="shared" si="25"/>
        <v>2023</v>
      </c>
    </row>
    <row r="785" spans="1:7" x14ac:dyDescent="0.25">
      <c r="A785" s="4" t="s">
        <v>433</v>
      </c>
      <c r="B785" s="1">
        <v>45047</v>
      </c>
      <c r="C785" s="2" t="s">
        <v>340</v>
      </c>
      <c r="D785" s="7">
        <v>240</v>
      </c>
      <c r="E785" s="13">
        <v>96</v>
      </c>
      <c r="F785" t="str">
        <f t="shared" si="24"/>
        <v>maio</v>
      </c>
      <c r="G785">
        <f t="shared" si="25"/>
        <v>2023</v>
      </c>
    </row>
    <row r="786" spans="1:7" x14ac:dyDescent="0.25">
      <c r="A786" s="5" t="s">
        <v>434</v>
      </c>
      <c r="B786" s="1">
        <v>45047</v>
      </c>
      <c r="C786" s="3" t="s">
        <v>342</v>
      </c>
      <c r="D786" s="8">
        <v>327.10000000000002</v>
      </c>
      <c r="E786" s="12">
        <v>196.26</v>
      </c>
      <c r="F786" t="str">
        <f t="shared" si="24"/>
        <v>maio</v>
      </c>
      <c r="G786">
        <f t="shared" si="25"/>
        <v>2023</v>
      </c>
    </row>
    <row r="787" spans="1:7" x14ac:dyDescent="0.25">
      <c r="A787" s="4" t="s">
        <v>435</v>
      </c>
      <c r="B787" s="1">
        <v>45047</v>
      </c>
      <c r="C787" s="2" t="s">
        <v>344</v>
      </c>
      <c r="D787" s="7">
        <v>131.5</v>
      </c>
      <c r="E787" s="13">
        <v>223.55</v>
      </c>
      <c r="F787" t="str">
        <f t="shared" si="24"/>
        <v>maio</v>
      </c>
      <c r="G787">
        <f t="shared" si="25"/>
        <v>2023</v>
      </c>
    </row>
    <row r="788" spans="1:7" x14ac:dyDescent="0.25">
      <c r="A788" s="5" t="s">
        <v>294</v>
      </c>
      <c r="B788" s="1">
        <v>45047</v>
      </c>
      <c r="C788" s="3" t="s">
        <v>295</v>
      </c>
      <c r="D788" s="8">
        <v>6265.5</v>
      </c>
      <c r="E788" s="12">
        <v>7841.49</v>
      </c>
      <c r="F788" t="str">
        <f t="shared" si="24"/>
        <v>maio</v>
      </c>
      <c r="G788">
        <f t="shared" si="25"/>
        <v>2023</v>
      </c>
    </row>
    <row r="789" spans="1:7" x14ac:dyDescent="0.25">
      <c r="A789" s="4" t="s">
        <v>26</v>
      </c>
      <c r="B789" s="1">
        <v>45047</v>
      </c>
      <c r="C789" s="2" t="s">
        <v>27</v>
      </c>
      <c r="D789" s="7">
        <v>3025</v>
      </c>
      <c r="E789" s="13">
        <v>2392.36</v>
      </c>
      <c r="F789" t="str">
        <f t="shared" si="24"/>
        <v>maio</v>
      </c>
      <c r="G789">
        <f t="shared" si="25"/>
        <v>2023</v>
      </c>
    </row>
    <row r="790" spans="1:7" x14ac:dyDescent="0.25">
      <c r="A790" s="5" t="s">
        <v>296</v>
      </c>
      <c r="B790" s="1">
        <v>45047</v>
      </c>
      <c r="C790" s="3" t="s">
        <v>297</v>
      </c>
      <c r="D790" s="8">
        <v>1158</v>
      </c>
      <c r="E790" s="12">
        <v>579</v>
      </c>
      <c r="F790" t="str">
        <f t="shared" si="24"/>
        <v>maio</v>
      </c>
      <c r="G790">
        <f t="shared" si="25"/>
        <v>2023</v>
      </c>
    </row>
    <row r="791" spans="1:7" x14ac:dyDescent="0.25">
      <c r="A791" s="4" t="s">
        <v>28</v>
      </c>
      <c r="B791" s="1">
        <v>45047</v>
      </c>
      <c r="C791" s="2" t="s">
        <v>29</v>
      </c>
      <c r="D791" s="7">
        <v>27466</v>
      </c>
      <c r="E791" s="13">
        <v>2197.2800000000002</v>
      </c>
      <c r="F791" t="str">
        <f t="shared" si="24"/>
        <v>maio</v>
      </c>
      <c r="G791">
        <f t="shared" si="25"/>
        <v>2023</v>
      </c>
    </row>
    <row r="792" spans="1:7" x14ac:dyDescent="0.25">
      <c r="A792" s="5" t="s">
        <v>30</v>
      </c>
      <c r="B792" s="1">
        <v>45047</v>
      </c>
      <c r="C792" s="3" t="s">
        <v>31</v>
      </c>
      <c r="D792" s="8">
        <v>273.08</v>
      </c>
      <c r="E792" s="12">
        <v>444.32</v>
      </c>
      <c r="F792" t="str">
        <f t="shared" si="24"/>
        <v>maio</v>
      </c>
      <c r="G792">
        <f t="shared" si="25"/>
        <v>2023</v>
      </c>
    </row>
    <row r="793" spans="1:7" x14ac:dyDescent="0.25">
      <c r="A793" s="4" t="s">
        <v>32</v>
      </c>
      <c r="B793" s="1">
        <v>45047</v>
      </c>
      <c r="C793" s="2" t="s">
        <v>33</v>
      </c>
      <c r="D793" s="7">
        <v>2439.12</v>
      </c>
      <c r="E793" s="13">
        <v>5055.93</v>
      </c>
      <c r="F793" t="str">
        <f t="shared" si="24"/>
        <v>maio</v>
      </c>
      <c r="G793">
        <f t="shared" si="25"/>
        <v>2023</v>
      </c>
    </row>
    <row r="794" spans="1:7" x14ac:dyDescent="0.25">
      <c r="A794" s="5" t="s">
        <v>34</v>
      </c>
      <c r="B794" s="1">
        <v>45047</v>
      </c>
      <c r="C794" s="3" t="s">
        <v>35</v>
      </c>
      <c r="D794" s="8">
        <v>171.21</v>
      </c>
      <c r="E794" s="12">
        <v>256.82</v>
      </c>
      <c r="F794" t="str">
        <f t="shared" si="24"/>
        <v>maio</v>
      </c>
      <c r="G794">
        <f t="shared" si="25"/>
        <v>2023</v>
      </c>
    </row>
    <row r="795" spans="1:7" x14ac:dyDescent="0.25">
      <c r="A795" s="4" t="s">
        <v>36</v>
      </c>
      <c r="B795" s="1">
        <v>45047</v>
      </c>
      <c r="C795" s="2" t="s">
        <v>37</v>
      </c>
      <c r="D795" s="7">
        <v>31.3</v>
      </c>
      <c r="E795" s="13">
        <v>24.1</v>
      </c>
      <c r="F795" t="str">
        <f t="shared" si="24"/>
        <v>maio</v>
      </c>
      <c r="G795">
        <f t="shared" si="25"/>
        <v>2023</v>
      </c>
    </row>
    <row r="796" spans="1:7" x14ac:dyDescent="0.25">
      <c r="A796" s="5" t="s">
        <v>301</v>
      </c>
      <c r="B796" s="1">
        <v>45047</v>
      </c>
      <c r="C796" s="3" t="s">
        <v>302</v>
      </c>
      <c r="D796" s="8">
        <v>583.70000000000005</v>
      </c>
      <c r="E796" s="12">
        <v>1634.36</v>
      </c>
      <c r="F796" t="str">
        <f t="shared" si="24"/>
        <v>maio</v>
      </c>
      <c r="G796">
        <f t="shared" si="25"/>
        <v>2023</v>
      </c>
    </row>
    <row r="797" spans="1:7" x14ac:dyDescent="0.25">
      <c r="A797" s="4" t="s">
        <v>38</v>
      </c>
      <c r="B797" s="1">
        <v>45047</v>
      </c>
      <c r="C797" s="2" t="s">
        <v>39</v>
      </c>
      <c r="D797" s="7">
        <v>456.8</v>
      </c>
      <c r="E797" s="13">
        <v>729.43</v>
      </c>
      <c r="F797" t="str">
        <f t="shared" si="24"/>
        <v>maio</v>
      </c>
      <c r="G797">
        <f t="shared" si="25"/>
        <v>2023</v>
      </c>
    </row>
    <row r="798" spans="1:7" x14ac:dyDescent="0.25">
      <c r="A798" s="5" t="s">
        <v>40</v>
      </c>
      <c r="B798" s="1">
        <v>45047</v>
      </c>
      <c r="C798" s="3" t="s">
        <v>41</v>
      </c>
      <c r="D798" s="8">
        <v>353</v>
      </c>
      <c r="E798" s="12">
        <v>735.65</v>
      </c>
      <c r="F798" t="str">
        <f t="shared" si="24"/>
        <v>maio</v>
      </c>
      <c r="G798">
        <f t="shared" si="25"/>
        <v>2023</v>
      </c>
    </row>
    <row r="799" spans="1:7" x14ac:dyDescent="0.25">
      <c r="A799" s="4" t="s">
        <v>42</v>
      </c>
      <c r="B799" s="1">
        <v>45047</v>
      </c>
      <c r="C799" s="2" t="s">
        <v>43</v>
      </c>
      <c r="D799" s="7">
        <v>1913.5</v>
      </c>
      <c r="E799" s="13">
        <v>3284.71</v>
      </c>
      <c r="F799" t="str">
        <f t="shared" si="24"/>
        <v>maio</v>
      </c>
      <c r="G799">
        <f t="shared" si="25"/>
        <v>2023</v>
      </c>
    </row>
    <row r="800" spans="1:7" x14ac:dyDescent="0.25">
      <c r="A800" s="5" t="s">
        <v>44</v>
      </c>
      <c r="B800" s="1">
        <v>45047</v>
      </c>
      <c r="C800" s="3" t="s">
        <v>45</v>
      </c>
      <c r="D800" s="8">
        <v>285</v>
      </c>
      <c r="E800" s="12">
        <v>409.19</v>
      </c>
      <c r="F800" t="str">
        <f t="shared" si="24"/>
        <v>maio</v>
      </c>
      <c r="G800">
        <f t="shared" si="25"/>
        <v>2023</v>
      </c>
    </row>
    <row r="801" spans="1:7" x14ac:dyDescent="0.25">
      <c r="A801" s="4" t="s">
        <v>46</v>
      </c>
      <c r="B801" s="1">
        <v>45047</v>
      </c>
      <c r="C801" s="2" t="s">
        <v>47</v>
      </c>
      <c r="D801" s="7">
        <v>1180</v>
      </c>
      <c r="E801" s="13">
        <v>1587</v>
      </c>
      <c r="F801" t="str">
        <f t="shared" si="24"/>
        <v>maio</v>
      </c>
      <c r="G801">
        <f t="shared" si="25"/>
        <v>2023</v>
      </c>
    </row>
    <row r="802" spans="1:7" x14ac:dyDescent="0.25">
      <c r="A802" s="5" t="s">
        <v>48</v>
      </c>
      <c r="B802" s="1">
        <v>45047</v>
      </c>
      <c r="C802" s="3" t="s">
        <v>49</v>
      </c>
      <c r="D802" s="8">
        <v>712.72</v>
      </c>
      <c r="E802" s="12">
        <v>1130.22</v>
      </c>
      <c r="F802" t="str">
        <f t="shared" si="24"/>
        <v>maio</v>
      </c>
      <c r="G802">
        <f t="shared" si="25"/>
        <v>2023</v>
      </c>
    </row>
    <row r="803" spans="1:7" x14ac:dyDescent="0.25">
      <c r="A803" s="4" t="s">
        <v>50</v>
      </c>
      <c r="B803" s="1">
        <v>45047</v>
      </c>
      <c r="C803" s="2" t="s">
        <v>51</v>
      </c>
      <c r="D803" s="7">
        <v>240</v>
      </c>
      <c r="E803" s="13">
        <v>442.5</v>
      </c>
      <c r="F803" t="str">
        <f t="shared" si="24"/>
        <v>maio</v>
      </c>
      <c r="G803">
        <f t="shared" si="25"/>
        <v>2023</v>
      </c>
    </row>
    <row r="804" spans="1:7" x14ac:dyDescent="0.25">
      <c r="A804" s="5" t="s">
        <v>52</v>
      </c>
      <c r="B804" s="1">
        <v>45047</v>
      </c>
      <c r="C804" s="3" t="s">
        <v>53</v>
      </c>
      <c r="D804" s="8">
        <v>1104</v>
      </c>
      <c r="E804" s="12">
        <v>441.6</v>
      </c>
      <c r="F804" t="str">
        <f t="shared" si="24"/>
        <v>maio</v>
      </c>
      <c r="G804">
        <f t="shared" si="25"/>
        <v>2023</v>
      </c>
    </row>
    <row r="805" spans="1:7" x14ac:dyDescent="0.25">
      <c r="A805" s="4" t="s">
        <v>54</v>
      </c>
      <c r="B805" s="1">
        <v>45047</v>
      </c>
      <c r="C805" s="2" t="s">
        <v>55</v>
      </c>
      <c r="D805" s="7">
        <v>116</v>
      </c>
      <c r="E805" s="13">
        <v>116</v>
      </c>
      <c r="F805" t="str">
        <f t="shared" si="24"/>
        <v>maio</v>
      </c>
      <c r="G805">
        <f t="shared" si="25"/>
        <v>2023</v>
      </c>
    </row>
    <row r="806" spans="1:7" x14ac:dyDescent="0.25">
      <c r="A806" s="5" t="s">
        <v>438</v>
      </c>
      <c r="B806" s="1">
        <v>45047</v>
      </c>
      <c r="C806" s="3" t="s">
        <v>389</v>
      </c>
      <c r="D806" s="8">
        <v>23.7</v>
      </c>
      <c r="E806" s="12">
        <v>18.96</v>
      </c>
      <c r="F806" t="str">
        <f t="shared" si="24"/>
        <v>maio</v>
      </c>
      <c r="G806">
        <f t="shared" si="25"/>
        <v>2023</v>
      </c>
    </row>
    <row r="807" spans="1:7" x14ac:dyDescent="0.25">
      <c r="A807" s="4" t="s">
        <v>56</v>
      </c>
      <c r="B807" s="1">
        <v>45047</v>
      </c>
      <c r="C807" s="2" t="s">
        <v>57</v>
      </c>
      <c r="D807" s="7">
        <v>97</v>
      </c>
      <c r="E807" s="13">
        <v>131.02000000000001</v>
      </c>
      <c r="F807" t="str">
        <f t="shared" si="24"/>
        <v>maio</v>
      </c>
      <c r="G807">
        <f t="shared" si="25"/>
        <v>2023</v>
      </c>
    </row>
    <row r="808" spans="1:7" x14ac:dyDescent="0.25">
      <c r="A808" s="5" t="s">
        <v>440</v>
      </c>
      <c r="B808" s="1">
        <v>45047</v>
      </c>
      <c r="C808" s="3" t="s">
        <v>346</v>
      </c>
      <c r="D808" s="8">
        <v>4689</v>
      </c>
      <c r="E808" s="12">
        <v>10784.7</v>
      </c>
      <c r="F808" t="str">
        <f t="shared" si="24"/>
        <v>maio</v>
      </c>
      <c r="G808">
        <f t="shared" si="25"/>
        <v>2023</v>
      </c>
    </row>
    <row r="809" spans="1:7" x14ac:dyDescent="0.25">
      <c r="A809" s="4" t="s">
        <v>58</v>
      </c>
      <c r="B809" s="1">
        <v>45047</v>
      </c>
      <c r="C809" s="2" t="s">
        <v>59</v>
      </c>
      <c r="D809" s="7">
        <v>1044.9000000000001</v>
      </c>
      <c r="E809" s="13">
        <v>1099.9000000000001</v>
      </c>
      <c r="F809" t="str">
        <f t="shared" si="24"/>
        <v>maio</v>
      </c>
      <c r="G809">
        <f t="shared" si="25"/>
        <v>2023</v>
      </c>
    </row>
    <row r="810" spans="1:7" x14ac:dyDescent="0.25">
      <c r="A810" s="5" t="s">
        <v>442</v>
      </c>
      <c r="B810" s="1">
        <v>45047</v>
      </c>
      <c r="C810" s="3" t="s">
        <v>443</v>
      </c>
      <c r="D810" s="8">
        <v>98.5</v>
      </c>
      <c r="E810" s="12">
        <v>98.5</v>
      </c>
      <c r="F810" t="str">
        <f t="shared" si="24"/>
        <v>maio</v>
      </c>
      <c r="G810">
        <f t="shared" si="25"/>
        <v>2023</v>
      </c>
    </row>
    <row r="811" spans="1:7" x14ac:dyDescent="0.25">
      <c r="A811" s="4" t="s">
        <v>444</v>
      </c>
      <c r="B811" s="1">
        <v>45047</v>
      </c>
      <c r="C811" s="2" t="s">
        <v>348</v>
      </c>
      <c r="D811" s="7">
        <v>838.6</v>
      </c>
      <c r="E811" s="13">
        <v>251.58</v>
      </c>
      <c r="F811" t="str">
        <f t="shared" si="24"/>
        <v>maio</v>
      </c>
      <c r="G811">
        <f t="shared" si="25"/>
        <v>2023</v>
      </c>
    </row>
    <row r="812" spans="1:7" x14ac:dyDescent="0.25">
      <c r="A812" s="5" t="s">
        <v>60</v>
      </c>
      <c r="B812" s="1">
        <v>45047</v>
      </c>
      <c r="C812" s="3" t="s">
        <v>61</v>
      </c>
      <c r="D812" s="8">
        <v>19.3</v>
      </c>
      <c r="E812" s="12">
        <v>9.65</v>
      </c>
      <c r="F812" t="str">
        <f t="shared" si="24"/>
        <v>maio</v>
      </c>
      <c r="G812">
        <f t="shared" si="25"/>
        <v>2023</v>
      </c>
    </row>
    <row r="813" spans="1:7" x14ac:dyDescent="0.25">
      <c r="A813" s="4" t="s">
        <v>62</v>
      </c>
      <c r="B813" s="1">
        <v>45047</v>
      </c>
      <c r="C813" s="2" t="s">
        <v>63</v>
      </c>
      <c r="D813" s="7">
        <v>64472</v>
      </c>
      <c r="E813" s="13">
        <v>192682.46</v>
      </c>
      <c r="F813" t="str">
        <f t="shared" si="24"/>
        <v>maio</v>
      </c>
      <c r="G813">
        <f t="shared" si="25"/>
        <v>2023</v>
      </c>
    </row>
    <row r="814" spans="1:7" x14ac:dyDescent="0.25">
      <c r="A814" s="5" t="s">
        <v>64</v>
      </c>
      <c r="B814" s="1">
        <v>45047</v>
      </c>
      <c r="C814" s="3" t="s">
        <v>65</v>
      </c>
      <c r="D814" s="8">
        <v>441.9</v>
      </c>
      <c r="E814" s="12">
        <v>1353.96</v>
      </c>
      <c r="F814" t="str">
        <f t="shared" si="24"/>
        <v>maio</v>
      </c>
      <c r="G814">
        <f t="shared" si="25"/>
        <v>2023</v>
      </c>
    </row>
    <row r="815" spans="1:7" x14ac:dyDescent="0.25">
      <c r="A815" s="4" t="s">
        <v>66</v>
      </c>
      <c r="B815" s="1">
        <v>45047</v>
      </c>
      <c r="C815" s="2" t="s">
        <v>67</v>
      </c>
      <c r="D815" s="7">
        <v>39902.49</v>
      </c>
      <c r="E815" s="13">
        <v>131702.85999999999</v>
      </c>
      <c r="F815" t="str">
        <f t="shared" si="24"/>
        <v>maio</v>
      </c>
      <c r="G815">
        <f t="shared" si="25"/>
        <v>2023</v>
      </c>
    </row>
    <row r="816" spans="1:7" x14ac:dyDescent="0.25">
      <c r="A816" s="5" t="s">
        <v>68</v>
      </c>
      <c r="B816" s="1">
        <v>45047</v>
      </c>
      <c r="C816" s="3" t="s">
        <v>69</v>
      </c>
      <c r="D816" s="8">
        <v>11941.02</v>
      </c>
      <c r="E816" s="12">
        <v>39127.839999999997</v>
      </c>
      <c r="F816" t="str">
        <f t="shared" si="24"/>
        <v>maio</v>
      </c>
      <c r="G816">
        <f t="shared" si="25"/>
        <v>2023</v>
      </c>
    </row>
    <row r="817" spans="1:7" x14ac:dyDescent="0.25">
      <c r="A817" s="4" t="s">
        <v>70</v>
      </c>
      <c r="B817" s="1">
        <v>45047</v>
      </c>
      <c r="C817" s="2" t="s">
        <v>71</v>
      </c>
      <c r="D817" s="7">
        <v>3557.5</v>
      </c>
      <c r="E817" s="13">
        <v>11999.27</v>
      </c>
      <c r="F817" t="str">
        <f t="shared" si="24"/>
        <v>maio</v>
      </c>
      <c r="G817">
        <f t="shared" si="25"/>
        <v>2023</v>
      </c>
    </row>
    <row r="818" spans="1:7" x14ac:dyDescent="0.25">
      <c r="A818" s="5" t="s">
        <v>72</v>
      </c>
      <c r="B818" s="1">
        <v>45047</v>
      </c>
      <c r="C818" s="3" t="s">
        <v>73</v>
      </c>
      <c r="D818" s="8">
        <v>9297.9</v>
      </c>
      <c r="E818" s="12">
        <v>28652.21</v>
      </c>
      <c r="F818" t="str">
        <f t="shared" si="24"/>
        <v>maio</v>
      </c>
      <c r="G818">
        <f t="shared" si="25"/>
        <v>2023</v>
      </c>
    </row>
    <row r="819" spans="1:7" x14ac:dyDescent="0.25">
      <c r="A819" s="4" t="s">
        <v>74</v>
      </c>
      <c r="B819" s="1">
        <v>45047</v>
      </c>
      <c r="C819" s="2" t="s">
        <v>75</v>
      </c>
      <c r="D819" s="7">
        <v>220.14</v>
      </c>
      <c r="E819" s="13">
        <v>710.99</v>
      </c>
      <c r="F819" t="str">
        <f t="shared" si="24"/>
        <v>maio</v>
      </c>
      <c r="G819">
        <f t="shared" si="25"/>
        <v>2023</v>
      </c>
    </row>
    <row r="820" spans="1:7" x14ac:dyDescent="0.25">
      <c r="A820" s="5" t="s">
        <v>76</v>
      </c>
      <c r="B820" s="1">
        <v>45047</v>
      </c>
      <c r="C820" s="3" t="s">
        <v>77</v>
      </c>
      <c r="D820" s="8">
        <v>11757.37</v>
      </c>
      <c r="E820" s="12">
        <v>42470.63</v>
      </c>
      <c r="F820" t="str">
        <f t="shared" si="24"/>
        <v>maio</v>
      </c>
      <c r="G820">
        <f t="shared" si="25"/>
        <v>2023</v>
      </c>
    </row>
    <row r="821" spans="1:7" x14ac:dyDescent="0.25">
      <c r="A821" s="4" t="s">
        <v>78</v>
      </c>
      <c r="B821" s="1">
        <v>45047</v>
      </c>
      <c r="C821" s="2" t="s">
        <v>79</v>
      </c>
      <c r="D821" s="7">
        <v>303.56</v>
      </c>
      <c r="E821" s="13">
        <v>1730.71</v>
      </c>
      <c r="F821" t="str">
        <f t="shared" si="24"/>
        <v>maio</v>
      </c>
      <c r="G821">
        <f t="shared" si="25"/>
        <v>2023</v>
      </c>
    </row>
    <row r="822" spans="1:7" x14ac:dyDescent="0.25">
      <c r="A822" s="5" t="s">
        <v>80</v>
      </c>
      <c r="B822" s="1">
        <v>45047</v>
      </c>
      <c r="C822" s="3" t="s">
        <v>81</v>
      </c>
      <c r="D822" s="8">
        <v>6613.83</v>
      </c>
      <c r="E822" s="12">
        <v>23660.44</v>
      </c>
      <c r="F822" t="str">
        <f t="shared" si="24"/>
        <v>maio</v>
      </c>
      <c r="G822">
        <f t="shared" si="25"/>
        <v>2023</v>
      </c>
    </row>
    <row r="823" spans="1:7" x14ac:dyDescent="0.25">
      <c r="A823" s="4" t="s">
        <v>82</v>
      </c>
      <c r="B823" s="1">
        <v>45047</v>
      </c>
      <c r="C823" s="2" t="s">
        <v>83</v>
      </c>
      <c r="D823" s="7">
        <v>12759.74</v>
      </c>
      <c r="E823" s="13">
        <v>46154.85</v>
      </c>
      <c r="F823" t="str">
        <f t="shared" si="24"/>
        <v>maio</v>
      </c>
      <c r="G823">
        <f t="shared" si="25"/>
        <v>2023</v>
      </c>
    </row>
    <row r="824" spans="1:7" x14ac:dyDescent="0.25">
      <c r="A824" s="5" t="s">
        <v>85</v>
      </c>
      <c r="B824" s="1">
        <v>45047</v>
      </c>
      <c r="C824" s="3" t="s">
        <v>86</v>
      </c>
      <c r="D824" s="8">
        <v>2786.2</v>
      </c>
      <c r="E824" s="12">
        <v>11794.87</v>
      </c>
      <c r="F824" t="str">
        <f t="shared" si="24"/>
        <v>maio</v>
      </c>
      <c r="G824">
        <f t="shared" si="25"/>
        <v>2023</v>
      </c>
    </row>
    <row r="825" spans="1:7" x14ac:dyDescent="0.25">
      <c r="A825" s="4" t="s">
        <v>87</v>
      </c>
      <c r="B825" s="1">
        <v>45047</v>
      </c>
      <c r="C825" s="2" t="s">
        <v>88</v>
      </c>
      <c r="D825" s="7">
        <v>225.77</v>
      </c>
      <c r="E825" s="13">
        <v>360.1</v>
      </c>
      <c r="F825" t="str">
        <f t="shared" si="24"/>
        <v>maio</v>
      </c>
      <c r="G825">
        <f t="shared" si="25"/>
        <v>2023</v>
      </c>
    </row>
    <row r="826" spans="1:7" x14ac:dyDescent="0.25">
      <c r="A826" s="5" t="s">
        <v>89</v>
      </c>
      <c r="B826" s="1">
        <v>45047</v>
      </c>
      <c r="C826" s="3" t="s">
        <v>90</v>
      </c>
      <c r="D826" s="8">
        <v>17897.400000000001</v>
      </c>
      <c r="E826" s="12">
        <v>60048.93</v>
      </c>
      <c r="F826" t="str">
        <f t="shared" si="24"/>
        <v>maio</v>
      </c>
      <c r="G826">
        <f t="shared" si="25"/>
        <v>2023</v>
      </c>
    </row>
    <row r="827" spans="1:7" x14ac:dyDescent="0.25">
      <c r="A827" s="4" t="s">
        <v>91</v>
      </c>
      <c r="B827" s="1">
        <v>45047</v>
      </c>
      <c r="C827" s="2" t="s">
        <v>92</v>
      </c>
      <c r="D827" s="7">
        <v>1091</v>
      </c>
      <c r="E827" s="13">
        <v>3873.05</v>
      </c>
      <c r="F827" t="str">
        <f t="shared" si="24"/>
        <v>maio</v>
      </c>
      <c r="G827">
        <f t="shared" si="25"/>
        <v>2023</v>
      </c>
    </row>
    <row r="828" spans="1:7" x14ac:dyDescent="0.25">
      <c r="A828" s="5" t="s">
        <v>93</v>
      </c>
      <c r="B828" s="1">
        <v>45047</v>
      </c>
      <c r="C828" s="3" t="s">
        <v>94</v>
      </c>
      <c r="D828" s="8">
        <v>788.38</v>
      </c>
      <c r="E828" s="12">
        <v>4952</v>
      </c>
      <c r="F828" t="str">
        <f t="shared" si="24"/>
        <v>maio</v>
      </c>
      <c r="G828">
        <f t="shared" si="25"/>
        <v>2023</v>
      </c>
    </row>
    <row r="829" spans="1:7" x14ac:dyDescent="0.25">
      <c r="A829" s="4" t="s">
        <v>95</v>
      </c>
      <c r="B829" s="1">
        <v>45047</v>
      </c>
      <c r="C829" s="2" t="s">
        <v>96</v>
      </c>
      <c r="D829" s="7">
        <v>11598.21</v>
      </c>
      <c r="E829" s="13">
        <v>45378.06</v>
      </c>
      <c r="F829" t="str">
        <f t="shared" si="24"/>
        <v>maio</v>
      </c>
      <c r="G829">
        <f t="shared" si="25"/>
        <v>2023</v>
      </c>
    </row>
    <row r="830" spans="1:7" x14ac:dyDescent="0.25">
      <c r="A830" s="5" t="s">
        <v>97</v>
      </c>
      <c r="B830" s="1">
        <v>45047</v>
      </c>
      <c r="C830" s="3" t="s">
        <v>98</v>
      </c>
      <c r="D830" s="8">
        <v>2.6</v>
      </c>
      <c r="E830" s="12">
        <v>12.9</v>
      </c>
      <c r="F830" t="str">
        <f t="shared" si="24"/>
        <v>maio</v>
      </c>
      <c r="G830">
        <f t="shared" si="25"/>
        <v>2023</v>
      </c>
    </row>
    <row r="831" spans="1:7" x14ac:dyDescent="0.25">
      <c r="A831" s="4" t="s">
        <v>99</v>
      </c>
      <c r="B831" s="1">
        <v>45047</v>
      </c>
      <c r="C831" s="2" t="s">
        <v>100</v>
      </c>
      <c r="D831" s="7">
        <v>38166.050000000003</v>
      </c>
      <c r="E831" s="13">
        <v>145119.97</v>
      </c>
      <c r="F831" t="str">
        <f t="shared" si="24"/>
        <v>maio</v>
      </c>
      <c r="G831">
        <f t="shared" si="25"/>
        <v>2023</v>
      </c>
    </row>
    <row r="832" spans="1:7" x14ac:dyDescent="0.25">
      <c r="A832" s="5" t="s">
        <v>541</v>
      </c>
      <c r="B832" s="1">
        <v>45047</v>
      </c>
      <c r="C832" s="3" t="s">
        <v>542</v>
      </c>
      <c r="D832" s="8">
        <v>203.4</v>
      </c>
      <c r="E832" s="12">
        <v>996.66</v>
      </c>
      <c r="F832" t="str">
        <f t="shared" si="24"/>
        <v>maio</v>
      </c>
      <c r="G832">
        <f t="shared" si="25"/>
        <v>2023</v>
      </c>
    </row>
    <row r="833" spans="1:7" x14ac:dyDescent="0.25">
      <c r="A833" s="4" t="s">
        <v>101</v>
      </c>
      <c r="B833" s="1">
        <v>45047</v>
      </c>
      <c r="C833" s="2" t="s">
        <v>102</v>
      </c>
      <c r="D833" s="7">
        <v>257</v>
      </c>
      <c r="E833" s="13">
        <v>1029.82</v>
      </c>
      <c r="F833" t="str">
        <f t="shared" si="24"/>
        <v>maio</v>
      </c>
      <c r="G833">
        <f t="shared" si="25"/>
        <v>2023</v>
      </c>
    </row>
    <row r="834" spans="1:7" x14ac:dyDescent="0.25">
      <c r="A834" s="5" t="s">
        <v>103</v>
      </c>
      <c r="B834" s="1">
        <v>45047</v>
      </c>
      <c r="C834" s="3" t="s">
        <v>104</v>
      </c>
      <c r="D834" s="8">
        <v>12738.89</v>
      </c>
      <c r="E834" s="12">
        <v>38574.019999999997</v>
      </c>
      <c r="F834" t="str">
        <f t="shared" si="24"/>
        <v>maio</v>
      </c>
      <c r="G834">
        <f t="shared" si="25"/>
        <v>2023</v>
      </c>
    </row>
    <row r="835" spans="1:7" x14ac:dyDescent="0.25">
      <c r="A835" s="4" t="s">
        <v>105</v>
      </c>
      <c r="B835" s="1">
        <v>45047</v>
      </c>
      <c r="C835" s="2" t="s">
        <v>106</v>
      </c>
      <c r="D835" s="7">
        <v>464.9</v>
      </c>
      <c r="E835" s="13">
        <v>1454.97</v>
      </c>
      <c r="F835" t="str">
        <f t="shared" ref="F835:F898" si="26">TEXT(B835,"mmmm")</f>
        <v>maio</v>
      </c>
      <c r="G835">
        <f t="shared" ref="G835:G898" si="27">YEAR(B835)</f>
        <v>2023</v>
      </c>
    </row>
    <row r="836" spans="1:7" x14ac:dyDescent="0.25">
      <c r="A836" s="5" t="s">
        <v>107</v>
      </c>
      <c r="B836" s="1">
        <v>45047</v>
      </c>
      <c r="C836" s="3" t="s">
        <v>108</v>
      </c>
      <c r="D836" s="8">
        <v>6.3</v>
      </c>
      <c r="E836" s="12">
        <v>19.72</v>
      </c>
      <c r="F836" t="str">
        <f t="shared" si="26"/>
        <v>maio</v>
      </c>
      <c r="G836">
        <f t="shared" si="27"/>
        <v>2023</v>
      </c>
    </row>
    <row r="837" spans="1:7" x14ac:dyDescent="0.25">
      <c r="A837" s="4" t="s">
        <v>109</v>
      </c>
      <c r="B837" s="1">
        <v>45047</v>
      </c>
      <c r="C837" s="2" t="s">
        <v>110</v>
      </c>
      <c r="D837" s="7">
        <v>7467.5</v>
      </c>
      <c r="E837" s="13">
        <v>22017.99</v>
      </c>
      <c r="F837" t="str">
        <f t="shared" si="26"/>
        <v>maio</v>
      </c>
      <c r="G837">
        <f t="shared" si="27"/>
        <v>2023</v>
      </c>
    </row>
    <row r="838" spans="1:7" x14ac:dyDescent="0.25">
      <c r="A838" s="5" t="s">
        <v>111</v>
      </c>
      <c r="B838" s="1">
        <v>45047</v>
      </c>
      <c r="C838" s="3" t="s">
        <v>112</v>
      </c>
      <c r="D838" s="8">
        <v>1670.39</v>
      </c>
      <c r="E838" s="12">
        <v>4763.46</v>
      </c>
      <c r="F838" t="str">
        <f t="shared" si="26"/>
        <v>maio</v>
      </c>
      <c r="G838">
        <f t="shared" si="27"/>
        <v>2023</v>
      </c>
    </row>
    <row r="839" spans="1:7" x14ac:dyDescent="0.25">
      <c r="A839" s="4" t="s">
        <v>113</v>
      </c>
      <c r="B839" s="1">
        <v>45047</v>
      </c>
      <c r="C839" s="2" t="s">
        <v>114</v>
      </c>
      <c r="D839" s="7">
        <v>2937.5</v>
      </c>
      <c r="E839" s="13">
        <v>10809.13</v>
      </c>
      <c r="F839" t="str">
        <f t="shared" si="26"/>
        <v>maio</v>
      </c>
      <c r="G839">
        <f t="shared" si="27"/>
        <v>2023</v>
      </c>
    </row>
    <row r="840" spans="1:7" x14ac:dyDescent="0.25">
      <c r="A840" s="5" t="s">
        <v>447</v>
      </c>
      <c r="B840" s="1">
        <v>45047</v>
      </c>
      <c r="C840" s="3" t="s">
        <v>448</v>
      </c>
      <c r="D840" s="8">
        <v>889.04</v>
      </c>
      <c r="E840" s="12">
        <v>3142.37</v>
      </c>
      <c r="F840" t="str">
        <f t="shared" si="26"/>
        <v>maio</v>
      </c>
      <c r="G840">
        <f t="shared" si="27"/>
        <v>2023</v>
      </c>
    </row>
    <row r="841" spans="1:7" x14ac:dyDescent="0.25">
      <c r="A841" s="4" t="s">
        <v>449</v>
      </c>
      <c r="B841" s="1">
        <v>45047</v>
      </c>
      <c r="C841" s="2" t="s">
        <v>351</v>
      </c>
      <c r="D841" s="7">
        <v>2139.38</v>
      </c>
      <c r="E841" s="13">
        <v>8924.73</v>
      </c>
      <c r="F841" t="str">
        <f t="shared" si="26"/>
        <v>maio</v>
      </c>
      <c r="G841">
        <f t="shared" si="27"/>
        <v>2023</v>
      </c>
    </row>
    <row r="842" spans="1:7" x14ac:dyDescent="0.25">
      <c r="A842" s="5" t="s">
        <v>116</v>
      </c>
      <c r="B842" s="1">
        <v>45047</v>
      </c>
      <c r="C842" s="3" t="s">
        <v>117</v>
      </c>
      <c r="D842" s="8">
        <v>240.7</v>
      </c>
      <c r="E842" s="12">
        <v>893.72</v>
      </c>
      <c r="F842" t="str">
        <f t="shared" si="26"/>
        <v>maio</v>
      </c>
      <c r="G842">
        <f t="shared" si="27"/>
        <v>2023</v>
      </c>
    </row>
    <row r="843" spans="1:7" x14ac:dyDescent="0.25">
      <c r="A843" s="4" t="s">
        <v>118</v>
      </c>
      <c r="B843" s="1">
        <v>45047</v>
      </c>
      <c r="C843" s="2" t="s">
        <v>119</v>
      </c>
      <c r="D843" s="7">
        <v>7468.3</v>
      </c>
      <c r="E843" s="13">
        <v>24353.97</v>
      </c>
      <c r="F843" t="str">
        <f t="shared" si="26"/>
        <v>maio</v>
      </c>
      <c r="G843">
        <f t="shared" si="27"/>
        <v>2023</v>
      </c>
    </row>
    <row r="844" spans="1:7" x14ac:dyDescent="0.25">
      <c r="A844" s="5" t="s">
        <v>120</v>
      </c>
      <c r="B844" s="1">
        <v>45047</v>
      </c>
      <c r="C844" s="3" t="s">
        <v>121</v>
      </c>
      <c r="D844" s="8">
        <v>542.57000000000005</v>
      </c>
      <c r="E844" s="12">
        <v>1101.8900000000001</v>
      </c>
      <c r="F844" t="str">
        <f t="shared" si="26"/>
        <v>maio</v>
      </c>
      <c r="G844">
        <f t="shared" si="27"/>
        <v>2023</v>
      </c>
    </row>
    <row r="845" spans="1:7" x14ac:dyDescent="0.25">
      <c r="A845" s="4" t="s">
        <v>122</v>
      </c>
      <c r="B845" s="1">
        <v>45047</v>
      </c>
      <c r="C845" s="2" t="s">
        <v>123</v>
      </c>
      <c r="D845" s="7">
        <v>14.37</v>
      </c>
      <c r="E845" s="13">
        <v>27.3</v>
      </c>
      <c r="F845" t="str">
        <f t="shared" si="26"/>
        <v>maio</v>
      </c>
      <c r="G845">
        <f t="shared" si="27"/>
        <v>2023</v>
      </c>
    </row>
    <row r="846" spans="1:7" x14ac:dyDescent="0.25">
      <c r="A846" s="5" t="s">
        <v>124</v>
      </c>
      <c r="B846" s="1">
        <v>45047</v>
      </c>
      <c r="C846" s="3" t="s">
        <v>125</v>
      </c>
      <c r="D846" s="8">
        <v>20</v>
      </c>
      <c r="E846" s="12">
        <v>30</v>
      </c>
      <c r="F846" t="str">
        <f t="shared" si="26"/>
        <v>maio</v>
      </c>
      <c r="G846">
        <f t="shared" si="27"/>
        <v>2023</v>
      </c>
    </row>
    <row r="847" spans="1:7" x14ac:dyDescent="0.25">
      <c r="A847" s="4" t="s">
        <v>126</v>
      </c>
      <c r="B847" s="1">
        <v>45047</v>
      </c>
      <c r="C847" s="2" t="s">
        <v>127</v>
      </c>
      <c r="D847" s="7">
        <v>355</v>
      </c>
      <c r="E847" s="13">
        <v>321.5</v>
      </c>
      <c r="F847" t="str">
        <f t="shared" si="26"/>
        <v>maio</v>
      </c>
      <c r="G847">
        <f t="shared" si="27"/>
        <v>2023</v>
      </c>
    </row>
    <row r="848" spans="1:7" x14ac:dyDescent="0.25">
      <c r="A848" s="5" t="s">
        <v>543</v>
      </c>
      <c r="B848" s="1">
        <v>45047</v>
      </c>
      <c r="C848" s="3" t="s">
        <v>544</v>
      </c>
      <c r="D848" s="8">
        <v>1640</v>
      </c>
      <c r="E848" s="12">
        <v>1313.5</v>
      </c>
      <c r="F848" t="str">
        <f t="shared" si="26"/>
        <v>maio</v>
      </c>
      <c r="G848">
        <f t="shared" si="27"/>
        <v>2023</v>
      </c>
    </row>
    <row r="849" spans="1:7" x14ac:dyDescent="0.25">
      <c r="A849" s="4" t="s">
        <v>128</v>
      </c>
      <c r="B849" s="1">
        <v>45047</v>
      </c>
      <c r="C849" s="2" t="s">
        <v>129</v>
      </c>
      <c r="D849" s="7">
        <v>46.36</v>
      </c>
      <c r="E849" s="13">
        <v>117.19</v>
      </c>
      <c r="F849" t="str">
        <f t="shared" si="26"/>
        <v>maio</v>
      </c>
      <c r="G849">
        <f t="shared" si="27"/>
        <v>2023</v>
      </c>
    </row>
    <row r="850" spans="1:7" x14ac:dyDescent="0.25">
      <c r="A850" s="5" t="s">
        <v>450</v>
      </c>
      <c r="B850" s="1">
        <v>45047</v>
      </c>
      <c r="C850" s="3" t="s">
        <v>451</v>
      </c>
      <c r="D850" s="8">
        <v>180.74</v>
      </c>
      <c r="E850" s="12">
        <v>940.21</v>
      </c>
      <c r="F850" t="str">
        <f t="shared" si="26"/>
        <v>maio</v>
      </c>
      <c r="G850">
        <f t="shared" si="27"/>
        <v>2023</v>
      </c>
    </row>
    <row r="851" spans="1:7" x14ac:dyDescent="0.25">
      <c r="A851" s="4" t="s">
        <v>452</v>
      </c>
      <c r="B851" s="1">
        <v>45047</v>
      </c>
      <c r="C851" s="2" t="s">
        <v>453</v>
      </c>
      <c r="D851" s="7">
        <v>315</v>
      </c>
      <c r="E851" s="13">
        <v>1417.5</v>
      </c>
      <c r="F851" t="str">
        <f t="shared" si="26"/>
        <v>maio</v>
      </c>
      <c r="G851">
        <f t="shared" si="27"/>
        <v>2023</v>
      </c>
    </row>
    <row r="852" spans="1:7" x14ac:dyDescent="0.25">
      <c r="A852" s="5" t="s">
        <v>130</v>
      </c>
      <c r="B852" s="1">
        <v>45047</v>
      </c>
      <c r="C852" s="3" t="s">
        <v>131</v>
      </c>
      <c r="D852" s="8">
        <v>6771.5</v>
      </c>
      <c r="E852" s="12">
        <v>22494.21</v>
      </c>
      <c r="F852" t="str">
        <f t="shared" si="26"/>
        <v>maio</v>
      </c>
      <c r="G852">
        <f t="shared" si="27"/>
        <v>2023</v>
      </c>
    </row>
    <row r="853" spans="1:7" x14ac:dyDescent="0.25">
      <c r="A853" s="4" t="s">
        <v>132</v>
      </c>
      <c r="B853" s="1">
        <v>45047</v>
      </c>
      <c r="C853" s="2" t="s">
        <v>133</v>
      </c>
      <c r="D853" s="7">
        <v>2158.7399999999998</v>
      </c>
      <c r="E853" s="13">
        <v>8170.92</v>
      </c>
      <c r="F853" t="str">
        <f t="shared" si="26"/>
        <v>maio</v>
      </c>
      <c r="G853">
        <f t="shared" si="27"/>
        <v>2023</v>
      </c>
    </row>
    <row r="854" spans="1:7" x14ac:dyDescent="0.25">
      <c r="A854" s="5" t="s">
        <v>134</v>
      </c>
      <c r="B854" s="1">
        <v>45047</v>
      </c>
      <c r="C854" s="3" t="s">
        <v>135</v>
      </c>
      <c r="D854" s="8">
        <v>868.08</v>
      </c>
      <c r="E854" s="12">
        <v>3205.15</v>
      </c>
      <c r="F854" t="str">
        <f t="shared" si="26"/>
        <v>maio</v>
      </c>
      <c r="G854">
        <f t="shared" si="27"/>
        <v>2023</v>
      </c>
    </row>
    <row r="855" spans="1:7" x14ac:dyDescent="0.25">
      <c r="A855" s="4" t="s">
        <v>136</v>
      </c>
      <c r="B855" s="1">
        <v>45047</v>
      </c>
      <c r="C855" s="2" t="s">
        <v>137</v>
      </c>
      <c r="D855" s="7">
        <v>3226.12</v>
      </c>
      <c r="E855" s="13">
        <v>11819.84</v>
      </c>
      <c r="F855" t="str">
        <f t="shared" si="26"/>
        <v>maio</v>
      </c>
      <c r="G855">
        <f t="shared" si="27"/>
        <v>2023</v>
      </c>
    </row>
    <row r="856" spans="1:7" x14ac:dyDescent="0.25">
      <c r="A856" s="5" t="s">
        <v>138</v>
      </c>
      <c r="B856" s="1">
        <v>45047</v>
      </c>
      <c r="C856" s="3" t="s">
        <v>139</v>
      </c>
      <c r="D856" s="8">
        <v>177.98</v>
      </c>
      <c r="E856" s="12">
        <v>565.98</v>
      </c>
      <c r="F856" t="str">
        <f t="shared" si="26"/>
        <v>maio</v>
      </c>
      <c r="G856">
        <f t="shared" si="27"/>
        <v>2023</v>
      </c>
    </row>
    <row r="857" spans="1:7" x14ac:dyDescent="0.25">
      <c r="A857" s="4" t="s">
        <v>140</v>
      </c>
      <c r="B857" s="1">
        <v>45047</v>
      </c>
      <c r="C857" s="2" t="s">
        <v>141</v>
      </c>
      <c r="D857" s="7">
        <v>2517.9</v>
      </c>
      <c r="E857" s="13">
        <v>9270.41</v>
      </c>
      <c r="F857" t="str">
        <f t="shared" si="26"/>
        <v>maio</v>
      </c>
      <c r="G857">
        <f t="shared" si="27"/>
        <v>2023</v>
      </c>
    </row>
    <row r="858" spans="1:7" x14ac:dyDescent="0.25">
      <c r="A858" s="5" t="s">
        <v>142</v>
      </c>
      <c r="B858" s="1">
        <v>45047</v>
      </c>
      <c r="C858" s="3" t="s">
        <v>143</v>
      </c>
      <c r="D858" s="8">
        <v>703.13</v>
      </c>
      <c r="E858" s="12">
        <v>2653.99</v>
      </c>
      <c r="F858" t="str">
        <f t="shared" si="26"/>
        <v>maio</v>
      </c>
      <c r="G858">
        <f t="shared" si="27"/>
        <v>2023</v>
      </c>
    </row>
    <row r="859" spans="1:7" x14ac:dyDescent="0.25">
      <c r="A859" s="4" t="s">
        <v>144</v>
      </c>
      <c r="B859" s="1">
        <v>45047</v>
      </c>
      <c r="C859" s="2" t="s">
        <v>145</v>
      </c>
      <c r="D859" s="7">
        <v>7738.13</v>
      </c>
      <c r="E859" s="13">
        <v>28395.63</v>
      </c>
      <c r="F859" t="str">
        <f t="shared" si="26"/>
        <v>maio</v>
      </c>
      <c r="G859">
        <f t="shared" si="27"/>
        <v>2023</v>
      </c>
    </row>
    <row r="860" spans="1:7" x14ac:dyDescent="0.25">
      <c r="A860" s="5" t="s">
        <v>146</v>
      </c>
      <c r="B860" s="1">
        <v>45047</v>
      </c>
      <c r="C860" s="3" t="s">
        <v>147</v>
      </c>
      <c r="D860" s="8">
        <v>958.14</v>
      </c>
      <c r="E860" s="12">
        <v>3715.68</v>
      </c>
      <c r="F860" t="str">
        <f t="shared" si="26"/>
        <v>maio</v>
      </c>
      <c r="G860">
        <f t="shared" si="27"/>
        <v>2023</v>
      </c>
    </row>
    <row r="861" spans="1:7" x14ac:dyDescent="0.25">
      <c r="A861" s="4" t="s">
        <v>148</v>
      </c>
      <c r="B861" s="1">
        <v>45047</v>
      </c>
      <c r="C861" s="2" t="s">
        <v>149</v>
      </c>
      <c r="D861" s="7">
        <v>454.16</v>
      </c>
      <c r="E861" s="13">
        <v>1749.07</v>
      </c>
      <c r="F861" t="str">
        <f t="shared" si="26"/>
        <v>maio</v>
      </c>
      <c r="G861">
        <f t="shared" si="27"/>
        <v>2023</v>
      </c>
    </row>
    <row r="862" spans="1:7" x14ac:dyDescent="0.25">
      <c r="A862" s="5" t="s">
        <v>150</v>
      </c>
      <c r="B862" s="1">
        <v>45047</v>
      </c>
      <c r="C862" s="3" t="s">
        <v>151</v>
      </c>
      <c r="D862" s="8">
        <v>1550.92</v>
      </c>
      <c r="E862" s="12">
        <v>5940.15</v>
      </c>
      <c r="F862" t="str">
        <f t="shared" si="26"/>
        <v>maio</v>
      </c>
      <c r="G862">
        <f t="shared" si="27"/>
        <v>2023</v>
      </c>
    </row>
    <row r="863" spans="1:7" x14ac:dyDescent="0.25">
      <c r="A863" s="4" t="s">
        <v>152</v>
      </c>
      <c r="B863" s="1">
        <v>45047</v>
      </c>
      <c r="C863" s="2" t="s">
        <v>153</v>
      </c>
      <c r="D863" s="7">
        <v>2274.61</v>
      </c>
      <c r="E863" s="13">
        <v>8460.2000000000007</v>
      </c>
      <c r="F863" t="str">
        <f t="shared" si="26"/>
        <v>maio</v>
      </c>
      <c r="G863">
        <f t="shared" si="27"/>
        <v>2023</v>
      </c>
    </row>
    <row r="864" spans="1:7" x14ac:dyDescent="0.25">
      <c r="A864" s="5" t="s">
        <v>454</v>
      </c>
      <c r="B864" s="1">
        <v>45047</v>
      </c>
      <c r="C864" s="3" t="s">
        <v>455</v>
      </c>
      <c r="D864" s="8">
        <v>260.35000000000002</v>
      </c>
      <c r="E864" s="12">
        <v>1041.42</v>
      </c>
      <c r="F864" t="str">
        <f t="shared" si="26"/>
        <v>maio</v>
      </c>
      <c r="G864">
        <f t="shared" si="27"/>
        <v>2023</v>
      </c>
    </row>
    <row r="865" spans="1:7" x14ac:dyDescent="0.25">
      <c r="A865" s="4" t="s">
        <v>154</v>
      </c>
      <c r="B865" s="1">
        <v>45047</v>
      </c>
      <c r="C865" s="2" t="s">
        <v>155</v>
      </c>
      <c r="D865" s="7">
        <v>1469.62</v>
      </c>
      <c r="E865" s="13">
        <v>5644.74</v>
      </c>
      <c r="F865" t="str">
        <f t="shared" si="26"/>
        <v>maio</v>
      </c>
      <c r="G865">
        <f t="shared" si="27"/>
        <v>2023</v>
      </c>
    </row>
    <row r="866" spans="1:7" x14ac:dyDescent="0.25">
      <c r="A866" s="5" t="s">
        <v>156</v>
      </c>
      <c r="B866" s="1">
        <v>45047</v>
      </c>
      <c r="C866" s="3" t="s">
        <v>157</v>
      </c>
      <c r="D866" s="8">
        <v>2164</v>
      </c>
      <c r="E866" s="12">
        <v>8210.23</v>
      </c>
      <c r="F866" t="str">
        <f t="shared" si="26"/>
        <v>maio</v>
      </c>
      <c r="G866">
        <f t="shared" si="27"/>
        <v>2023</v>
      </c>
    </row>
    <row r="867" spans="1:7" x14ac:dyDescent="0.25">
      <c r="A867" s="4" t="s">
        <v>158</v>
      </c>
      <c r="B867" s="1">
        <v>45047</v>
      </c>
      <c r="C867" s="2" t="s">
        <v>159</v>
      </c>
      <c r="D867" s="7">
        <v>730.05</v>
      </c>
      <c r="E867" s="13">
        <v>2380.5500000000002</v>
      </c>
      <c r="F867" t="str">
        <f t="shared" si="26"/>
        <v>maio</v>
      </c>
      <c r="G867">
        <f t="shared" si="27"/>
        <v>2023</v>
      </c>
    </row>
    <row r="868" spans="1:7" x14ac:dyDescent="0.25">
      <c r="A868" s="5" t="s">
        <v>545</v>
      </c>
      <c r="B868" s="1">
        <v>45047</v>
      </c>
      <c r="C868" s="3" t="s">
        <v>546</v>
      </c>
      <c r="D868" s="8">
        <v>287.01</v>
      </c>
      <c r="E868" s="12">
        <v>924.65</v>
      </c>
      <c r="F868" t="str">
        <f t="shared" si="26"/>
        <v>maio</v>
      </c>
      <c r="G868">
        <f t="shared" si="27"/>
        <v>2023</v>
      </c>
    </row>
    <row r="869" spans="1:7" x14ac:dyDescent="0.25">
      <c r="A869" s="4" t="s">
        <v>160</v>
      </c>
      <c r="B869" s="1">
        <v>45047</v>
      </c>
      <c r="C869" s="2" t="s">
        <v>161</v>
      </c>
      <c r="D869" s="7">
        <v>22.65</v>
      </c>
      <c r="E869" s="13">
        <v>75.5</v>
      </c>
      <c r="F869" t="str">
        <f t="shared" si="26"/>
        <v>maio</v>
      </c>
      <c r="G869">
        <f t="shared" si="27"/>
        <v>2023</v>
      </c>
    </row>
    <row r="870" spans="1:7" x14ac:dyDescent="0.25">
      <c r="A870" s="5" t="s">
        <v>547</v>
      </c>
      <c r="B870" s="1">
        <v>45047</v>
      </c>
      <c r="C870" s="3" t="s">
        <v>548</v>
      </c>
      <c r="D870" s="8">
        <v>41.73</v>
      </c>
      <c r="E870" s="12">
        <v>118.93</v>
      </c>
      <c r="F870" t="str">
        <f t="shared" si="26"/>
        <v>maio</v>
      </c>
      <c r="G870">
        <f t="shared" si="27"/>
        <v>2023</v>
      </c>
    </row>
    <row r="871" spans="1:7" x14ac:dyDescent="0.25">
      <c r="A871" s="4" t="s">
        <v>162</v>
      </c>
      <c r="B871" s="1">
        <v>45047</v>
      </c>
      <c r="C871" s="2" t="s">
        <v>163</v>
      </c>
      <c r="D871" s="7">
        <v>34.04</v>
      </c>
      <c r="E871" s="13">
        <v>114.1</v>
      </c>
      <c r="F871" t="str">
        <f t="shared" si="26"/>
        <v>maio</v>
      </c>
      <c r="G871">
        <f t="shared" si="27"/>
        <v>2023</v>
      </c>
    </row>
    <row r="872" spans="1:7" x14ac:dyDescent="0.25">
      <c r="A872" s="5" t="s">
        <v>456</v>
      </c>
      <c r="B872" s="1">
        <v>45047</v>
      </c>
      <c r="C872" s="3" t="s">
        <v>457</v>
      </c>
      <c r="D872" s="8">
        <v>28.35</v>
      </c>
      <c r="E872" s="12">
        <v>83.35</v>
      </c>
      <c r="F872" t="str">
        <f t="shared" si="26"/>
        <v>maio</v>
      </c>
      <c r="G872">
        <f t="shared" si="27"/>
        <v>2023</v>
      </c>
    </row>
    <row r="873" spans="1:7" x14ac:dyDescent="0.25">
      <c r="A873" s="4" t="s">
        <v>164</v>
      </c>
      <c r="B873" s="1">
        <v>45047</v>
      </c>
      <c r="C873" s="2" t="s">
        <v>165</v>
      </c>
      <c r="D873" s="7">
        <v>273.25</v>
      </c>
      <c r="E873" s="13">
        <v>776.54</v>
      </c>
      <c r="F873" t="str">
        <f t="shared" si="26"/>
        <v>maio</v>
      </c>
      <c r="G873">
        <f t="shared" si="27"/>
        <v>2023</v>
      </c>
    </row>
    <row r="874" spans="1:7" x14ac:dyDescent="0.25">
      <c r="A874" s="5" t="s">
        <v>458</v>
      </c>
      <c r="B874" s="1">
        <v>45047</v>
      </c>
      <c r="C874" s="3" t="s">
        <v>459</v>
      </c>
      <c r="D874" s="8">
        <v>166.26</v>
      </c>
      <c r="E874" s="12">
        <v>485.64</v>
      </c>
      <c r="F874" t="str">
        <f t="shared" si="26"/>
        <v>maio</v>
      </c>
      <c r="G874">
        <f t="shared" si="27"/>
        <v>2023</v>
      </c>
    </row>
    <row r="875" spans="1:7" x14ac:dyDescent="0.25">
      <c r="A875" s="4" t="s">
        <v>166</v>
      </c>
      <c r="B875" s="1">
        <v>45047</v>
      </c>
      <c r="C875" s="2" t="s">
        <v>167</v>
      </c>
      <c r="D875" s="7">
        <v>1382.39</v>
      </c>
      <c r="E875" s="13">
        <v>3479.41</v>
      </c>
      <c r="F875" t="str">
        <f t="shared" si="26"/>
        <v>maio</v>
      </c>
      <c r="G875">
        <f t="shared" si="27"/>
        <v>2023</v>
      </c>
    </row>
    <row r="876" spans="1:7" x14ac:dyDescent="0.25">
      <c r="A876" s="5" t="s">
        <v>168</v>
      </c>
      <c r="B876" s="1">
        <v>45047</v>
      </c>
      <c r="C876" s="3" t="s">
        <v>169</v>
      </c>
      <c r="D876" s="8">
        <v>719.65</v>
      </c>
      <c r="E876" s="12">
        <v>1808.92</v>
      </c>
      <c r="F876" t="str">
        <f t="shared" si="26"/>
        <v>maio</v>
      </c>
      <c r="G876">
        <f t="shared" si="27"/>
        <v>2023</v>
      </c>
    </row>
    <row r="877" spans="1:7" x14ac:dyDescent="0.25">
      <c r="A877" s="4" t="s">
        <v>170</v>
      </c>
      <c r="B877" s="1">
        <v>45047</v>
      </c>
      <c r="C877" s="2" t="s">
        <v>171</v>
      </c>
      <c r="D877" s="7">
        <v>725.21</v>
      </c>
      <c r="E877" s="13">
        <v>1703.54</v>
      </c>
      <c r="F877" t="str">
        <f t="shared" si="26"/>
        <v>maio</v>
      </c>
      <c r="G877">
        <f t="shared" si="27"/>
        <v>2023</v>
      </c>
    </row>
    <row r="878" spans="1:7" x14ac:dyDescent="0.25">
      <c r="A878" s="5" t="s">
        <v>172</v>
      </c>
      <c r="B878" s="1">
        <v>45047</v>
      </c>
      <c r="C878" s="3" t="s">
        <v>173</v>
      </c>
      <c r="D878" s="8">
        <v>220.5</v>
      </c>
      <c r="E878" s="12">
        <v>842.84</v>
      </c>
      <c r="F878" t="str">
        <f t="shared" si="26"/>
        <v>maio</v>
      </c>
      <c r="G878">
        <f t="shared" si="27"/>
        <v>2023</v>
      </c>
    </row>
    <row r="879" spans="1:7" x14ac:dyDescent="0.25">
      <c r="A879" s="4" t="s">
        <v>174</v>
      </c>
      <c r="B879" s="1">
        <v>45047</v>
      </c>
      <c r="C879" s="2" t="s">
        <v>173</v>
      </c>
      <c r="D879" s="7">
        <v>392.59</v>
      </c>
      <c r="E879" s="13">
        <v>1497.23</v>
      </c>
      <c r="F879" t="str">
        <f t="shared" si="26"/>
        <v>maio</v>
      </c>
      <c r="G879">
        <f t="shared" si="27"/>
        <v>2023</v>
      </c>
    </row>
    <row r="880" spans="1:7" x14ac:dyDescent="0.25">
      <c r="A880" s="5" t="s">
        <v>175</v>
      </c>
      <c r="B880" s="1">
        <v>45047</v>
      </c>
      <c r="C880" s="3" t="s">
        <v>176</v>
      </c>
      <c r="D880" s="8">
        <v>2568.9299999999998</v>
      </c>
      <c r="E880" s="12">
        <v>6132.18</v>
      </c>
      <c r="F880" t="str">
        <f t="shared" si="26"/>
        <v>maio</v>
      </c>
      <c r="G880">
        <f t="shared" si="27"/>
        <v>2023</v>
      </c>
    </row>
    <row r="881" spans="1:7" x14ac:dyDescent="0.25">
      <c r="A881" s="4" t="s">
        <v>177</v>
      </c>
      <c r="B881" s="1">
        <v>45047</v>
      </c>
      <c r="C881" s="2" t="s">
        <v>178</v>
      </c>
      <c r="D881" s="7">
        <v>75.55</v>
      </c>
      <c r="E881" s="13">
        <v>204.12</v>
      </c>
      <c r="F881" t="str">
        <f t="shared" si="26"/>
        <v>maio</v>
      </c>
      <c r="G881">
        <f t="shared" si="27"/>
        <v>2023</v>
      </c>
    </row>
    <row r="882" spans="1:7" x14ac:dyDescent="0.25">
      <c r="A882" s="5" t="s">
        <v>179</v>
      </c>
      <c r="B882" s="1">
        <v>45047</v>
      </c>
      <c r="C882" s="3" t="s">
        <v>180</v>
      </c>
      <c r="D882" s="8">
        <v>8.5299999999999994</v>
      </c>
      <c r="E882" s="12">
        <v>22.14</v>
      </c>
      <c r="F882" t="str">
        <f t="shared" si="26"/>
        <v>maio</v>
      </c>
      <c r="G882">
        <f t="shared" si="27"/>
        <v>2023</v>
      </c>
    </row>
    <row r="883" spans="1:7" x14ac:dyDescent="0.25">
      <c r="A883" s="4" t="s">
        <v>181</v>
      </c>
      <c r="B883" s="1">
        <v>45047</v>
      </c>
      <c r="C883" s="2" t="s">
        <v>182</v>
      </c>
      <c r="D883" s="7">
        <v>276.25</v>
      </c>
      <c r="E883" s="13">
        <v>1150.53</v>
      </c>
      <c r="F883" t="str">
        <f t="shared" si="26"/>
        <v>maio</v>
      </c>
      <c r="G883">
        <f t="shared" si="27"/>
        <v>2023</v>
      </c>
    </row>
    <row r="884" spans="1:7" x14ac:dyDescent="0.25">
      <c r="A884" s="5" t="s">
        <v>183</v>
      </c>
      <c r="B884" s="1">
        <v>45047</v>
      </c>
      <c r="C884" s="3" t="s">
        <v>184</v>
      </c>
      <c r="D884" s="8">
        <v>765</v>
      </c>
      <c r="E884" s="12">
        <v>2018.6</v>
      </c>
      <c r="F884" t="str">
        <f t="shared" si="26"/>
        <v>maio</v>
      </c>
      <c r="G884">
        <f t="shared" si="27"/>
        <v>2023</v>
      </c>
    </row>
    <row r="885" spans="1:7" x14ac:dyDescent="0.25">
      <c r="A885" s="4" t="s">
        <v>185</v>
      </c>
      <c r="B885" s="1">
        <v>45047</v>
      </c>
      <c r="C885" s="2" t="s">
        <v>186</v>
      </c>
      <c r="D885" s="7">
        <v>4865</v>
      </c>
      <c r="E885" s="13">
        <v>10257.9</v>
      </c>
      <c r="F885" t="str">
        <f t="shared" si="26"/>
        <v>maio</v>
      </c>
      <c r="G885">
        <f t="shared" si="27"/>
        <v>2023</v>
      </c>
    </row>
    <row r="886" spans="1:7" x14ac:dyDescent="0.25">
      <c r="A886" s="5" t="s">
        <v>187</v>
      </c>
      <c r="B886" s="1">
        <v>45047</v>
      </c>
      <c r="C886" s="3" t="s">
        <v>188</v>
      </c>
      <c r="D886" s="8">
        <v>4340</v>
      </c>
      <c r="E886" s="12">
        <v>8879.73</v>
      </c>
      <c r="F886" t="str">
        <f t="shared" si="26"/>
        <v>maio</v>
      </c>
      <c r="G886">
        <f t="shared" si="27"/>
        <v>2023</v>
      </c>
    </row>
    <row r="887" spans="1:7" x14ac:dyDescent="0.25">
      <c r="A887" s="4" t="s">
        <v>189</v>
      </c>
      <c r="B887" s="1">
        <v>45047</v>
      </c>
      <c r="C887" s="2" t="s">
        <v>190</v>
      </c>
      <c r="D887" s="7">
        <v>2880</v>
      </c>
      <c r="E887" s="13">
        <v>5880.6</v>
      </c>
      <c r="F887" t="str">
        <f t="shared" si="26"/>
        <v>maio</v>
      </c>
      <c r="G887">
        <f t="shared" si="27"/>
        <v>2023</v>
      </c>
    </row>
    <row r="888" spans="1:7" x14ac:dyDescent="0.25">
      <c r="A888" s="5" t="s">
        <v>191</v>
      </c>
      <c r="B888" s="1">
        <v>45047</v>
      </c>
      <c r="C888" s="3" t="s">
        <v>192</v>
      </c>
      <c r="D888" s="8">
        <v>1253.8599999999999</v>
      </c>
      <c r="E888" s="12">
        <v>4767.2299999999996</v>
      </c>
      <c r="F888" t="str">
        <f t="shared" si="26"/>
        <v>maio</v>
      </c>
      <c r="G888">
        <f t="shared" si="27"/>
        <v>2023</v>
      </c>
    </row>
    <row r="889" spans="1:7" x14ac:dyDescent="0.25">
      <c r="A889" s="4" t="s">
        <v>193</v>
      </c>
      <c r="B889" s="1">
        <v>45047</v>
      </c>
      <c r="C889" s="2" t="s">
        <v>194</v>
      </c>
      <c r="D889" s="7">
        <v>1.2</v>
      </c>
      <c r="E889" s="13">
        <v>4.8</v>
      </c>
      <c r="F889" t="str">
        <f t="shared" si="26"/>
        <v>maio</v>
      </c>
      <c r="G889">
        <f t="shared" si="27"/>
        <v>2023</v>
      </c>
    </row>
    <row r="890" spans="1:7" x14ac:dyDescent="0.25">
      <c r="A890" s="5" t="s">
        <v>195</v>
      </c>
      <c r="B890" s="1">
        <v>45047</v>
      </c>
      <c r="C890" s="3" t="s">
        <v>196</v>
      </c>
      <c r="D890" s="8">
        <v>356.1</v>
      </c>
      <c r="E890" s="12">
        <v>1009.69</v>
      </c>
      <c r="F890" t="str">
        <f t="shared" si="26"/>
        <v>maio</v>
      </c>
      <c r="G890">
        <f t="shared" si="27"/>
        <v>2023</v>
      </c>
    </row>
    <row r="891" spans="1:7" x14ac:dyDescent="0.25">
      <c r="A891" s="4" t="s">
        <v>197</v>
      </c>
      <c r="B891" s="1">
        <v>45047</v>
      </c>
      <c r="C891" s="2" t="s">
        <v>198</v>
      </c>
      <c r="D891" s="7">
        <v>1277.3399999999999</v>
      </c>
      <c r="E891" s="13">
        <v>1267.21</v>
      </c>
      <c r="F891" t="str">
        <f t="shared" si="26"/>
        <v>maio</v>
      </c>
      <c r="G891">
        <f t="shared" si="27"/>
        <v>2023</v>
      </c>
    </row>
    <row r="892" spans="1:7" x14ac:dyDescent="0.25">
      <c r="A892" s="5" t="s">
        <v>199</v>
      </c>
      <c r="B892" s="1">
        <v>45047</v>
      </c>
      <c r="C892" s="3" t="s">
        <v>200</v>
      </c>
      <c r="D892" s="8">
        <v>425.37</v>
      </c>
      <c r="E892" s="12">
        <v>2607.4899999999998</v>
      </c>
      <c r="F892" t="str">
        <f t="shared" si="26"/>
        <v>maio</v>
      </c>
      <c r="G892">
        <f t="shared" si="27"/>
        <v>2023</v>
      </c>
    </row>
    <row r="893" spans="1:7" x14ac:dyDescent="0.25">
      <c r="A893" s="4" t="s">
        <v>201</v>
      </c>
      <c r="B893" s="1">
        <v>45047</v>
      </c>
      <c r="C893" s="2" t="s">
        <v>202</v>
      </c>
      <c r="D893" s="7">
        <v>350.2</v>
      </c>
      <c r="E893" s="13">
        <v>2180.5700000000002</v>
      </c>
      <c r="F893" t="str">
        <f t="shared" si="26"/>
        <v>maio</v>
      </c>
      <c r="G893">
        <f t="shared" si="27"/>
        <v>2023</v>
      </c>
    </row>
    <row r="894" spans="1:7" x14ac:dyDescent="0.25">
      <c r="A894" s="5" t="s">
        <v>203</v>
      </c>
      <c r="B894" s="1">
        <v>45047</v>
      </c>
      <c r="C894" s="3" t="s">
        <v>204</v>
      </c>
      <c r="D894" s="8">
        <v>310.35000000000002</v>
      </c>
      <c r="E894" s="12">
        <v>2091.2800000000002</v>
      </c>
      <c r="F894" t="str">
        <f t="shared" si="26"/>
        <v>maio</v>
      </c>
      <c r="G894">
        <f t="shared" si="27"/>
        <v>2023</v>
      </c>
    </row>
    <row r="895" spans="1:7" x14ac:dyDescent="0.25">
      <c r="A895" s="4" t="s">
        <v>205</v>
      </c>
      <c r="B895" s="1">
        <v>45047</v>
      </c>
      <c r="C895" s="2" t="s">
        <v>206</v>
      </c>
      <c r="D895" s="7">
        <v>822.69</v>
      </c>
      <c r="E895" s="13">
        <v>4207.8</v>
      </c>
      <c r="F895" t="str">
        <f t="shared" si="26"/>
        <v>maio</v>
      </c>
      <c r="G895">
        <f t="shared" si="27"/>
        <v>2023</v>
      </c>
    </row>
    <row r="896" spans="1:7" x14ac:dyDescent="0.25">
      <c r="A896" s="5" t="s">
        <v>207</v>
      </c>
      <c r="B896" s="1">
        <v>45047</v>
      </c>
      <c r="C896" s="3" t="s">
        <v>208</v>
      </c>
      <c r="D896" s="8">
        <v>15.4</v>
      </c>
      <c r="E896" s="12">
        <v>61.72</v>
      </c>
      <c r="F896" t="str">
        <f t="shared" si="26"/>
        <v>maio</v>
      </c>
      <c r="G896">
        <f t="shared" si="27"/>
        <v>2023</v>
      </c>
    </row>
    <row r="897" spans="1:7" x14ac:dyDescent="0.25">
      <c r="A897" s="4" t="s">
        <v>209</v>
      </c>
      <c r="B897" s="1">
        <v>45047</v>
      </c>
      <c r="C897" s="2" t="s">
        <v>210</v>
      </c>
      <c r="D897" s="7">
        <v>27.7</v>
      </c>
      <c r="E897" s="13">
        <v>145.76</v>
      </c>
      <c r="F897" t="str">
        <f t="shared" si="26"/>
        <v>maio</v>
      </c>
      <c r="G897">
        <f t="shared" si="27"/>
        <v>2023</v>
      </c>
    </row>
    <row r="898" spans="1:7" x14ac:dyDescent="0.25">
      <c r="A898" s="5" t="s">
        <v>211</v>
      </c>
      <c r="B898" s="1">
        <v>45047</v>
      </c>
      <c r="C898" s="3" t="s">
        <v>212</v>
      </c>
      <c r="D898" s="8">
        <v>632</v>
      </c>
      <c r="E898" s="12">
        <v>1998.65</v>
      </c>
      <c r="F898" t="str">
        <f t="shared" si="26"/>
        <v>maio</v>
      </c>
      <c r="G898">
        <f t="shared" si="27"/>
        <v>2023</v>
      </c>
    </row>
    <row r="899" spans="1:7" x14ac:dyDescent="0.25">
      <c r="A899" s="4" t="s">
        <v>213</v>
      </c>
      <c r="B899" s="1">
        <v>45047</v>
      </c>
      <c r="C899" s="2" t="s">
        <v>214</v>
      </c>
      <c r="D899" s="7">
        <v>1071.02</v>
      </c>
      <c r="E899" s="13">
        <v>3554.68</v>
      </c>
      <c r="F899" t="str">
        <f t="shared" ref="F899:F962" si="28">TEXT(B899,"mmmm")</f>
        <v>maio</v>
      </c>
      <c r="G899">
        <f t="shared" ref="G899:G962" si="29">YEAR(B899)</f>
        <v>2023</v>
      </c>
    </row>
    <row r="900" spans="1:7" x14ac:dyDescent="0.25">
      <c r="A900" s="5" t="s">
        <v>215</v>
      </c>
      <c r="B900" s="1">
        <v>45047</v>
      </c>
      <c r="C900" s="3" t="s">
        <v>216</v>
      </c>
      <c r="D900" s="8">
        <v>2129.85</v>
      </c>
      <c r="E900" s="12">
        <v>6693.4</v>
      </c>
      <c r="F900" t="str">
        <f t="shared" si="28"/>
        <v>maio</v>
      </c>
      <c r="G900">
        <f t="shared" si="29"/>
        <v>2023</v>
      </c>
    </row>
    <row r="901" spans="1:7" x14ac:dyDescent="0.25">
      <c r="A901" s="4" t="s">
        <v>217</v>
      </c>
      <c r="B901" s="1">
        <v>45047</v>
      </c>
      <c r="C901" s="2" t="s">
        <v>218</v>
      </c>
      <c r="D901" s="7">
        <v>1877.88</v>
      </c>
      <c r="E901" s="13">
        <v>5614.58</v>
      </c>
      <c r="F901" t="str">
        <f t="shared" si="28"/>
        <v>maio</v>
      </c>
      <c r="G901">
        <f t="shared" si="29"/>
        <v>2023</v>
      </c>
    </row>
    <row r="902" spans="1:7" x14ac:dyDescent="0.25">
      <c r="A902" s="5" t="s">
        <v>219</v>
      </c>
      <c r="B902" s="1">
        <v>45047</v>
      </c>
      <c r="C902" s="3" t="s">
        <v>220</v>
      </c>
      <c r="D902" s="8">
        <v>5397.71</v>
      </c>
      <c r="E902" s="12">
        <v>16420.66</v>
      </c>
      <c r="F902" t="str">
        <f t="shared" si="28"/>
        <v>maio</v>
      </c>
      <c r="G902">
        <f t="shared" si="29"/>
        <v>2023</v>
      </c>
    </row>
    <row r="903" spans="1:7" x14ac:dyDescent="0.25">
      <c r="A903" s="4" t="s">
        <v>221</v>
      </c>
      <c r="B903" s="1">
        <v>45047</v>
      </c>
      <c r="C903" s="2" t="s">
        <v>222</v>
      </c>
      <c r="D903" s="7">
        <v>420.42</v>
      </c>
      <c r="E903" s="13">
        <v>1273.08</v>
      </c>
      <c r="F903" t="str">
        <f t="shared" si="28"/>
        <v>maio</v>
      </c>
      <c r="G903">
        <f t="shared" si="29"/>
        <v>2023</v>
      </c>
    </row>
    <row r="904" spans="1:7" x14ac:dyDescent="0.25">
      <c r="A904" s="5" t="s">
        <v>223</v>
      </c>
      <c r="B904" s="1">
        <v>45047</v>
      </c>
      <c r="C904" s="3" t="s">
        <v>224</v>
      </c>
      <c r="D904" s="8">
        <v>1229.3599999999999</v>
      </c>
      <c r="E904" s="12">
        <v>3760</v>
      </c>
      <c r="F904" t="str">
        <f t="shared" si="28"/>
        <v>maio</v>
      </c>
      <c r="G904">
        <f t="shared" si="29"/>
        <v>2023</v>
      </c>
    </row>
    <row r="905" spans="1:7" x14ac:dyDescent="0.25">
      <c r="A905" s="4" t="s">
        <v>225</v>
      </c>
      <c r="B905" s="1">
        <v>45047</v>
      </c>
      <c r="C905" s="2" t="s">
        <v>226</v>
      </c>
      <c r="D905" s="7">
        <v>4475</v>
      </c>
      <c r="E905" s="13">
        <v>2974.75</v>
      </c>
      <c r="F905" t="str">
        <f t="shared" si="28"/>
        <v>maio</v>
      </c>
      <c r="G905">
        <f t="shared" si="29"/>
        <v>2023</v>
      </c>
    </row>
    <row r="906" spans="1:7" x14ac:dyDescent="0.25">
      <c r="A906" s="5" t="s">
        <v>549</v>
      </c>
      <c r="B906" s="1">
        <v>45047</v>
      </c>
      <c r="C906" s="3" t="s">
        <v>550</v>
      </c>
      <c r="D906" s="8">
        <v>350</v>
      </c>
      <c r="E906" s="12">
        <v>234.5</v>
      </c>
      <c r="F906" t="str">
        <f t="shared" si="28"/>
        <v>maio</v>
      </c>
      <c r="G906">
        <f t="shared" si="29"/>
        <v>2023</v>
      </c>
    </row>
    <row r="907" spans="1:7" x14ac:dyDescent="0.25">
      <c r="A907" s="4" t="s">
        <v>227</v>
      </c>
      <c r="B907" s="1">
        <v>45047</v>
      </c>
      <c r="C907" s="2" t="s">
        <v>228</v>
      </c>
      <c r="D907" s="7">
        <v>12085.77</v>
      </c>
      <c r="E907" s="13">
        <v>35552.769999999997</v>
      </c>
      <c r="F907" t="str">
        <f t="shared" si="28"/>
        <v>maio</v>
      </c>
      <c r="G907">
        <f t="shared" si="29"/>
        <v>2023</v>
      </c>
    </row>
    <row r="908" spans="1:7" x14ac:dyDescent="0.25">
      <c r="A908" s="5" t="s">
        <v>229</v>
      </c>
      <c r="B908" s="1">
        <v>45047</v>
      </c>
      <c r="C908" s="3" t="s">
        <v>230</v>
      </c>
      <c r="D908" s="8">
        <v>1258.5</v>
      </c>
      <c r="E908" s="12">
        <v>3763.26</v>
      </c>
      <c r="F908" t="str">
        <f t="shared" si="28"/>
        <v>maio</v>
      </c>
      <c r="G908">
        <f t="shared" si="29"/>
        <v>2023</v>
      </c>
    </row>
    <row r="909" spans="1:7" x14ac:dyDescent="0.25">
      <c r="A909" s="4" t="s">
        <v>231</v>
      </c>
      <c r="B909" s="1">
        <v>45047</v>
      </c>
      <c r="C909" s="2" t="s">
        <v>232</v>
      </c>
      <c r="D909" s="7">
        <v>1288.5999999999999</v>
      </c>
      <c r="E909" s="13">
        <v>3753.58</v>
      </c>
      <c r="F909" t="str">
        <f t="shared" si="28"/>
        <v>maio</v>
      </c>
      <c r="G909">
        <f t="shared" si="29"/>
        <v>2023</v>
      </c>
    </row>
    <row r="910" spans="1:7" x14ac:dyDescent="0.25">
      <c r="A910" s="5" t="s">
        <v>233</v>
      </c>
      <c r="B910" s="1">
        <v>45047</v>
      </c>
      <c r="C910" s="3" t="s">
        <v>234</v>
      </c>
      <c r="D910" s="8">
        <v>98.74</v>
      </c>
      <c r="E910" s="12">
        <v>302</v>
      </c>
      <c r="F910" t="str">
        <f t="shared" si="28"/>
        <v>maio</v>
      </c>
      <c r="G910">
        <f t="shared" si="29"/>
        <v>2023</v>
      </c>
    </row>
    <row r="911" spans="1:7" x14ac:dyDescent="0.25">
      <c r="A911" s="4" t="s">
        <v>235</v>
      </c>
      <c r="B911" s="1">
        <v>45047</v>
      </c>
      <c r="C911" s="2" t="s">
        <v>236</v>
      </c>
      <c r="D911" s="7">
        <v>6544.86</v>
      </c>
      <c r="E911" s="13">
        <v>18603.87</v>
      </c>
      <c r="F911" t="str">
        <f t="shared" si="28"/>
        <v>maio</v>
      </c>
      <c r="G911">
        <f t="shared" si="29"/>
        <v>2023</v>
      </c>
    </row>
    <row r="912" spans="1:7" x14ac:dyDescent="0.25">
      <c r="A912" s="5" t="s">
        <v>237</v>
      </c>
      <c r="B912" s="1">
        <v>45047</v>
      </c>
      <c r="C912" s="3" t="s">
        <v>238</v>
      </c>
      <c r="D912" s="8">
        <v>6939.55</v>
      </c>
      <c r="E912" s="12">
        <v>18783.97</v>
      </c>
      <c r="F912" t="str">
        <f t="shared" si="28"/>
        <v>maio</v>
      </c>
      <c r="G912">
        <f t="shared" si="29"/>
        <v>2023</v>
      </c>
    </row>
    <row r="913" spans="1:7" x14ac:dyDescent="0.25">
      <c r="A913" s="4" t="s">
        <v>239</v>
      </c>
      <c r="B913" s="1">
        <v>45047</v>
      </c>
      <c r="C913" s="2" t="s">
        <v>240</v>
      </c>
      <c r="D913" s="7">
        <v>89.29</v>
      </c>
      <c r="E913" s="13">
        <v>287.08</v>
      </c>
      <c r="F913" t="str">
        <f t="shared" si="28"/>
        <v>maio</v>
      </c>
      <c r="G913">
        <f t="shared" si="29"/>
        <v>2023</v>
      </c>
    </row>
    <row r="914" spans="1:7" x14ac:dyDescent="0.25">
      <c r="A914" s="5" t="s">
        <v>241</v>
      </c>
      <c r="B914" s="1">
        <v>45047</v>
      </c>
      <c r="C914" s="3" t="s">
        <v>242</v>
      </c>
      <c r="D914" s="8">
        <v>840.64</v>
      </c>
      <c r="E914" s="12">
        <v>2491.9699999999998</v>
      </c>
      <c r="F914" t="str">
        <f t="shared" si="28"/>
        <v>maio</v>
      </c>
      <c r="G914">
        <f t="shared" si="29"/>
        <v>2023</v>
      </c>
    </row>
    <row r="915" spans="1:7" x14ac:dyDescent="0.25">
      <c r="A915" s="4" t="s">
        <v>243</v>
      </c>
      <c r="B915" s="1">
        <v>45047</v>
      </c>
      <c r="C915" s="2" t="s">
        <v>244</v>
      </c>
      <c r="D915" s="7">
        <v>514.76</v>
      </c>
      <c r="E915" s="13">
        <v>1592.1</v>
      </c>
      <c r="F915" t="str">
        <f t="shared" si="28"/>
        <v>maio</v>
      </c>
      <c r="G915">
        <f t="shared" si="29"/>
        <v>2023</v>
      </c>
    </row>
    <row r="916" spans="1:7" x14ac:dyDescent="0.25">
      <c r="A916" s="5" t="s">
        <v>463</v>
      </c>
      <c r="B916" s="1">
        <v>45047</v>
      </c>
      <c r="C916" s="3" t="s">
        <v>551</v>
      </c>
      <c r="D916" s="8">
        <v>350</v>
      </c>
      <c r="E916" s="12">
        <v>234.5</v>
      </c>
      <c r="F916" t="str">
        <f t="shared" si="28"/>
        <v>maio</v>
      </c>
      <c r="G916">
        <f t="shared" si="29"/>
        <v>2023</v>
      </c>
    </row>
    <row r="917" spans="1:7" x14ac:dyDescent="0.25">
      <c r="A917" s="4" t="s">
        <v>245</v>
      </c>
      <c r="B917" s="1">
        <v>45047</v>
      </c>
      <c r="C917" s="2" t="s">
        <v>246</v>
      </c>
      <c r="D917" s="7">
        <v>1063.1600000000001</v>
      </c>
      <c r="E917" s="13">
        <v>3097.75</v>
      </c>
      <c r="F917" t="str">
        <f t="shared" si="28"/>
        <v>maio</v>
      </c>
      <c r="G917">
        <f t="shared" si="29"/>
        <v>2023</v>
      </c>
    </row>
    <row r="918" spans="1:7" x14ac:dyDescent="0.25">
      <c r="A918" s="5" t="s">
        <v>247</v>
      </c>
      <c r="B918" s="1">
        <v>45047</v>
      </c>
      <c r="C918" s="3" t="s">
        <v>248</v>
      </c>
      <c r="D918" s="8">
        <v>65.55</v>
      </c>
      <c r="E918" s="12">
        <v>341.68</v>
      </c>
      <c r="F918" t="str">
        <f t="shared" si="28"/>
        <v>maio</v>
      </c>
      <c r="G918">
        <f t="shared" si="29"/>
        <v>2023</v>
      </c>
    </row>
    <row r="919" spans="1:7" x14ac:dyDescent="0.25">
      <c r="A919" s="4" t="s">
        <v>249</v>
      </c>
      <c r="B919" s="1">
        <v>45047</v>
      </c>
      <c r="C919" s="2" t="s">
        <v>250</v>
      </c>
      <c r="D919" s="7">
        <v>187.78</v>
      </c>
      <c r="E919" s="13">
        <v>955.86</v>
      </c>
      <c r="F919" t="str">
        <f t="shared" si="28"/>
        <v>maio</v>
      </c>
      <c r="G919">
        <f t="shared" si="29"/>
        <v>2023</v>
      </c>
    </row>
    <row r="920" spans="1:7" x14ac:dyDescent="0.25">
      <c r="A920" s="5" t="s">
        <v>552</v>
      </c>
      <c r="B920" s="1">
        <v>45047</v>
      </c>
      <c r="C920" s="3" t="s">
        <v>553</v>
      </c>
      <c r="D920" s="8">
        <v>95.84</v>
      </c>
      <c r="E920" s="12">
        <v>488.82</v>
      </c>
      <c r="F920" t="str">
        <f t="shared" si="28"/>
        <v>maio</v>
      </c>
      <c r="G920">
        <f t="shared" si="29"/>
        <v>2023</v>
      </c>
    </row>
    <row r="921" spans="1:7" x14ac:dyDescent="0.25">
      <c r="A921" s="4" t="s">
        <v>554</v>
      </c>
      <c r="B921" s="1">
        <v>45047</v>
      </c>
      <c r="C921" s="2" t="s">
        <v>555</v>
      </c>
      <c r="D921" s="7">
        <v>21.31</v>
      </c>
      <c r="E921" s="13">
        <v>108.71</v>
      </c>
      <c r="F921" t="str">
        <f t="shared" si="28"/>
        <v>maio</v>
      </c>
      <c r="G921">
        <f t="shared" si="29"/>
        <v>2023</v>
      </c>
    </row>
    <row r="922" spans="1:7" x14ac:dyDescent="0.25">
      <c r="A922" s="5" t="s">
        <v>251</v>
      </c>
      <c r="B922" s="1">
        <v>45047</v>
      </c>
      <c r="C922" s="3" t="s">
        <v>252</v>
      </c>
      <c r="D922" s="8">
        <v>623.72</v>
      </c>
      <c r="E922" s="12">
        <v>2626.29</v>
      </c>
      <c r="F922" t="str">
        <f t="shared" si="28"/>
        <v>maio</v>
      </c>
      <c r="G922">
        <f t="shared" si="29"/>
        <v>2023</v>
      </c>
    </row>
    <row r="923" spans="1:7" x14ac:dyDescent="0.25">
      <c r="A923" s="4" t="s">
        <v>253</v>
      </c>
      <c r="B923" s="1">
        <v>45047</v>
      </c>
      <c r="C923" s="2" t="s">
        <v>254</v>
      </c>
      <c r="D923" s="7">
        <v>86.98</v>
      </c>
      <c r="E923" s="13">
        <v>385.84</v>
      </c>
      <c r="F923" t="str">
        <f t="shared" si="28"/>
        <v>maio</v>
      </c>
      <c r="G923">
        <f t="shared" si="29"/>
        <v>2023</v>
      </c>
    </row>
    <row r="924" spans="1:7" x14ac:dyDescent="0.25">
      <c r="A924" s="5" t="s">
        <v>255</v>
      </c>
      <c r="B924" s="1">
        <v>45047</v>
      </c>
      <c r="C924" s="3" t="s">
        <v>256</v>
      </c>
      <c r="D924" s="8">
        <v>730.81</v>
      </c>
      <c r="E924" s="12">
        <v>1984.19</v>
      </c>
      <c r="F924" t="str">
        <f t="shared" si="28"/>
        <v>maio</v>
      </c>
      <c r="G924">
        <f t="shared" si="29"/>
        <v>2023</v>
      </c>
    </row>
    <row r="925" spans="1:7" x14ac:dyDescent="0.25">
      <c r="A925" s="4" t="s">
        <v>257</v>
      </c>
      <c r="B925" s="1">
        <v>45047</v>
      </c>
      <c r="C925" s="2" t="s">
        <v>258</v>
      </c>
      <c r="D925" s="7">
        <v>73.86</v>
      </c>
      <c r="E925" s="13">
        <v>232.52</v>
      </c>
      <c r="F925" t="str">
        <f t="shared" si="28"/>
        <v>maio</v>
      </c>
      <c r="G925">
        <f t="shared" si="29"/>
        <v>2023</v>
      </c>
    </row>
    <row r="926" spans="1:7" x14ac:dyDescent="0.25">
      <c r="A926" s="5" t="s">
        <v>259</v>
      </c>
      <c r="B926" s="1">
        <v>45047</v>
      </c>
      <c r="C926" s="3" t="s">
        <v>260</v>
      </c>
      <c r="D926" s="8">
        <v>398</v>
      </c>
      <c r="E926" s="12">
        <v>1189.1400000000001</v>
      </c>
      <c r="F926" t="str">
        <f t="shared" si="28"/>
        <v>maio</v>
      </c>
      <c r="G926">
        <f t="shared" si="29"/>
        <v>2023</v>
      </c>
    </row>
    <row r="927" spans="1:7" x14ac:dyDescent="0.25">
      <c r="A927" s="4" t="s">
        <v>261</v>
      </c>
      <c r="B927" s="1">
        <v>45047</v>
      </c>
      <c r="C927" s="2" t="s">
        <v>262</v>
      </c>
      <c r="D927" s="7">
        <v>158.66999999999999</v>
      </c>
      <c r="E927" s="13">
        <v>862.36</v>
      </c>
      <c r="F927" t="str">
        <f t="shared" si="28"/>
        <v>maio</v>
      </c>
      <c r="G927">
        <f t="shared" si="29"/>
        <v>2023</v>
      </c>
    </row>
    <row r="928" spans="1:7" x14ac:dyDescent="0.25">
      <c r="A928" s="5" t="s">
        <v>263</v>
      </c>
      <c r="B928" s="1">
        <v>45047</v>
      </c>
      <c r="C928" s="3" t="s">
        <v>264</v>
      </c>
      <c r="D928" s="8">
        <v>156.22999999999999</v>
      </c>
      <c r="E928" s="12">
        <v>812.07</v>
      </c>
      <c r="F928" t="str">
        <f t="shared" si="28"/>
        <v>maio</v>
      </c>
      <c r="G928">
        <f t="shared" si="29"/>
        <v>2023</v>
      </c>
    </row>
    <row r="929" spans="1:7" x14ac:dyDescent="0.25">
      <c r="A929" s="4" t="s">
        <v>265</v>
      </c>
      <c r="B929" s="1">
        <v>45047</v>
      </c>
      <c r="C929" s="2" t="s">
        <v>266</v>
      </c>
      <c r="D929" s="7">
        <v>168.66</v>
      </c>
      <c r="E929" s="13">
        <v>868.67</v>
      </c>
      <c r="F929" t="str">
        <f t="shared" si="28"/>
        <v>maio</v>
      </c>
      <c r="G929">
        <f t="shared" si="29"/>
        <v>2023</v>
      </c>
    </row>
    <row r="930" spans="1:7" x14ac:dyDescent="0.25">
      <c r="A930" s="5" t="s">
        <v>267</v>
      </c>
      <c r="B930" s="1">
        <v>45047</v>
      </c>
      <c r="C930" s="3" t="s">
        <v>268</v>
      </c>
      <c r="D930" s="8">
        <v>571.54999999999995</v>
      </c>
      <c r="E930" s="12">
        <v>2406.59</v>
      </c>
      <c r="F930" t="str">
        <f t="shared" si="28"/>
        <v>maio</v>
      </c>
      <c r="G930">
        <f t="shared" si="29"/>
        <v>2023</v>
      </c>
    </row>
    <row r="931" spans="1:7" x14ac:dyDescent="0.25">
      <c r="A931" s="4" t="s">
        <v>269</v>
      </c>
      <c r="B931" s="1">
        <v>45047</v>
      </c>
      <c r="C931" s="2" t="s">
        <v>270</v>
      </c>
      <c r="D931" s="7">
        <v>61.22</v>
      </c>
      <c r="E931" s="13">
        <v>273.35000000000002</v>
      </c>
      <c r="F931" t="str">
        <f t="shared" si="28"/>
        <v>maio</v>
      </c>
      <c r="G931">
        <f t="shared" si="29"/>
        <v>2023</v>
      </c>
    </row>
    <row r="932" spans="1:7" x14ac:dyDescent="0.25">
      <c r="A932" s="5" t="s">
        <v>271</v>
      </c>
      <c r="B932" s="1">
        <v>45047</v>
      </c>
      <c r="C932" s="3" t="s">
        <v>272</v>
      </c>
      <c r="D932" s="8">
        <v>46.69</v>
      </c>
      <c r="E932" s="13">
        <v>283</v>
      </c>
      <c r="F932" t="str">
        <f t="shared" si="28"/>
        <v>maio</v>
      </c>
      <c r="G932">
        <f t="shared" si="29"/>
        <v>2023</v>
      </c>
    </row>
    <row r="933" spans="1:7" x14ac:dyDescent="0.25">
      <c r="A933" s="4" t="s">
        <v>273</v>
      </c>
      <c r="B933" s="1">
        <v>45047</v>
      </c>
      <c r="C933" s="2" t="s">
        <v>274</v>
      </c>
      <c r="D933" s="7">
        <v>759.46</v>
      </c>
      <c r="E933" s="13">
        <v>2257.7800000000002</v>
      </c>
      <c r="F933" t="str">
        <f t="shared" si="28"/>
        <v>maio</v>
      </c>
      <c r="G933">
        <f t="shared" si="29"/>
        <v>2023</v>
      </c>
    </row>
    <row r="934" spans="1:7" x14ac:dyDescent="0.25">
      <c r="A934" s="5" t="s">
        <v>275</v>
      </c>
      <c r="B934" s="1">
        <v>45047</v>
      </c>
      <c r="C934" s="3" t="s">
        <v>276</v>
      </c>
      <c r="D934" s="8">
        <v>1507.22</v>
      </c>
      <c r="E934" s="12">
        <v>4831.34</v>
      </c>
      <c r="F934" t="str">
        <f t="shared" si="28"/>
        <v>maio</v>
      </c>
      <c r="G934">
        <f t="shared" si="29"/>
        <v>2023</v>
      </c>
    </row>
    <row r="935" spans="1:7" x14ac:dyDescent="0.25">
      <c r="A935" s="4" t="s">
        <v>277</v>
      </c>
      <c r="B935" s="1">
        <v>45047</v>
      </c>
      <c r="C935" s="2" t="s">
        <v>278</v>
      </c>
      <c r="D935" s="7">
        <v>65.31</v>
      </c>
      <c r="E935" s="13">
        <v>334.53</v>
      </c>
      <c r="F935" t="str">
        <f t="shared" si="28"/>
        <v>maio</v>
      </c>
      <c r="G935">
        <f t="shared" si="29"/>
        <v>2023</v>
      </c>
    </row>
    <row r="936" spans="1:7" x14ac:dyDescent="0.25">
      <c r="A936" s="5" t="s">
        <v>279</v>
      </c>
      <c r="B936" s="1">
        <v>45047</v>
      </c>
      <c r="C936" s="3" t="s">
        <v>280</v>
      </c>
      <c r="D936" s="8">
        <v>830.38</v>
      </c>
      <c r="E936" s="12">
        <v>4308</v>
      </c>
      <c r="F936" t="str">
        <f t="shared" si="28"/>
        <v>maio</v>
      </c>
      <c r="G936">
        <f t="shared" si="29"/>
        <v>2023</v>
      </c>
    </row>
    <row r="937" spans="1:7" x14ac:dyDescent="0.25">
      <c r="A937" s="4" t="s">
        <v>281</v>
      </c>
      <c r="B937" s="1">
        <v>45047</v>
      </c>
      <c r="C937" s="2" t="s">
        <v>282</v>
      </c>
      <c r="D937" s="7">
        <v>134</v>
      </c>
      <c r="E937" s="12">
        <v>580</v>
      </c>
      <c r="F937" t="str">
        <f t="shared" si="28"/>
        <v>maio</v>
      </c>
      <c r="G937">
        <f t="shared" si="29"/>
        <v>2023</v>
      </c>
    </row>
    <row r="938" spans="1:7" x14ac:dyDescent="0.25">
      <c r="A938" s="5" t="s">
        <v>283</v>
      </c>
      <c r="B938" s="1">
        <v>45047</v>
      </c>
      <c r="C938" s="3" t="s">
        <v>284</v>
      </c>
      <c r="D938" s="8">
        <v>137</v>
      </c>
      <c r="E938" s="12">
        <v>364</v>
      </c>
      <c r="F938" t="str">
        <f t="shared" si="28"/>
        <v>maio</v>
      </c>
      <c r="G938">
        <f t="shared" si="29"/>
        <v>2023</v>
      </c>
    </row>
    <row r="939" spans="1:7" x14ac:dyDescent="0.25">
      <c r="A939" s="4" t="s">
        <v>285</v>
      </c>
      <c r="B939" s="1">
        <v>45047</v>
      </c>
      <c r="C939" s="2" t="s">
        <v>286</v>
      </c>
      <c r="D939" s="7">
        <v>20</v>
      </c>
      <c r="E939" s="13">
        <v>58</v>
      </c>
      <c r="F939" t="str">
        <f t="shared" si="28"/>
        <v>maio</v>
      </c>
      <c r="G939">
        <f t="shared" si="29"/>
        <v>2023</v>
      </c>
    </row>
    <row r="940" spans="1:7" x14ac:dyDescent="0.25">
      <c r="A940" s="4" t="s">
        <v>556</v>
      </c>
      <c r="B940" s="1">
        <v>45047</v>
      </c>
      <c r="C940" s="2" t="s">
        <v>557</v>
      </c>
      <c r="D940" s="7">
        <v>162</v>
      </c>
      <c r="E940" s="13">
        <v>835</v>
      </c>
      <c r="F940" t="str">
        <f t="shared" si="28"/>
        <v>maio</v>
      </c>
      <c r="G940">
        <f t="shared" si="29"/>
        <v>2023</v>
      </c>
    </row>
    <row r="941" spans="1:7" x14ac:dyDescent="0.25">
      <c r="A941" s="5" t="s">
        <v>558</v>
      </c>
      <c r="B941" s="1">
        <v>45047</v>
      </c>
      <c r="C941" s="3" t="s">
        <v>318</v>
      </c>
      <c r="D941" s="8">
        <v>1</v>
      </c>
      <c r="E941" s="12">
        <v>19</v>
      </c>
      <c r="F941" t="str">
        <f t="shared" si="28"/>
        <v>maio</v>
      </c>
      <c r="G941">
        <f t="shared" si="29"/>
        <v>2023</v>
      </c>
    </row>
    <row r="942" spans="1:7" x14ac:dyDescent="0.25">
      <c r="A942" s="4" t="s">
        <v>559</v>
      </c>
      <c r="B942" s="1">
        <v>45047</v>
      </c>
      <c r="C942" s="2" t="s">
        <v>560</v>
      </c>
      <c r="D942" s="7">
        <v>11</v>
      </c>
      <c r="E942" s="13">
        <v>39.94</v>
      </c>
      <c r="F942" t="str">
        <f t="shared" si="28"/>
        <v>maio</v>
      </c>
      <c r="G942">
        <f t="shared" si="29"/>
        <v>2023</v>
      </c>
    </row>
    <row r="943" spans="1:7" x14ac:dyDescent="0.25">
      <c r="A943" s="5" t="s">
        <v>465</v>
      </c>
      <c r="B943" s="1">
        <v>45047</v>
      </c>
      <c r="C943" s="3" t="s">
        <v>561</v>
      </c>
      <c r="D943" s="8">
        <v>141</v>
      </c>
      <c r="E943" s="12">
        <v>408</v>
      </c>
      <c r="F943" t="str">
        <f t="shared" si="28"/>
        <v>maio</v>
      </c>
      <c r="G943">
        <f t="shared" si="29"/>
        <v>2023</v>
      </c>
    </row>
    <row r="944" spans="1:7" x14ac:dyDescent="0.25">
      <c r="A944" s="4" t="s">
        <v>471</v>
      </c>
      <c r="B944" s="1">
        <v>45047</v>
      </c>
      <c r="C944" s="2" t="s">
        <v>562</v>
      </c>
      <c r="D944" s="7">
        <v>36.799999999999997</v>
      </c>
      <c r="E944" s="13">
        <v>425.4</v>
      </c>
      <c r="F944" t="str">
        <f t="shared" si="28"/>
        <v>maio</v>
      </c>
      <c r="G944">
        <f t="shared" si="29"/>
        <v>2023</v>
      </c>
    </row>
    <row r="945" spans="1:7" x14ac:dyDescent="0.25">
      <c r="A945" s="5" t="s">
        <v>563</v>
      </c>
      <c r="B945" s="1">
        <v>45047</v>
      </c>
      <c r="C945" s="3" t="s">
        <v>564</v>
      </c>
      <c r="D945" s="8">
        <v>455.85</v>
      </c>
      <c r="E945" s="12">
        <v>4779.1000000000004</v>
      </c>
      <c r="F945" t="str">
        <f t="shared" si="28"/>
        <v>maio</v>
      </c>
      <c r="G945">
        <f t="shared" si="29"/>
        <v>2023</v>
      </c>
    </row>
    <row r="946" spans="1:7" x14ac:dyDescent="0.25">
      <c r="A946" s="4" t="s">
        <v>565</v>
      </c>
      <c r="B946" s="1">
        <v>45047</v>
      </c>
      <c r="C946" s="2" t="s">
        <v>566</v>
      </c>
      <c r="D946" s="7">
        <v>1008</v>
      </c>
      <c r="E946" s="13">
        <v>5080.32</v>
      </c>
      <c r="F946" t="str">
        <f t="shared" si="28"/>
        <v>maio</v>
      </c>
      <c r="G946">
        <f t="shared" si="29"/>
        <v>2023</v>
      </c>
    </row>
    <row r="947" spans="1:7" x14ac:dyDescent="0.25">
      <c r="A947" s="5" t="s">
        <v>567</v>
      </c>
      <c r="B947" s="1">
        <v>45047</v>
      </c>
      <c r="C947" s="3" t="s">
        <v>568</v>
      </c>
      <c r="D947" s="8">
        <v>432</v>
      </c>
      <c r="E947" s="12">
        <v>1209.5999999999999</v>
      </c>
      <c r="F947" t="str">
        <f t="shared" si="28"/>
        <v>maio</v>
      </c>
      <c r="G947">
        <f t="shared" si="29"/>
        <v>2023</v>
      </c>
    </row>
    <row r="948" spans="1:7" x14ac:dyDescent="0.25">
      <c r="A948" s="4" t="s">
        <v>569</v>
      </c>
      <c r="B948" s="1">
        <v>45047</v>
      </c>
      <c r="C948" s="2" t="s">
        <v>570</v>
      </c>
      <c r="D948" s="7">
        <v>504</v>
      </c>
      <c r="E948" s="13">
        <v>2671.2</v>
      </c>
      <c r="F948" t="str">
        <f t="shared" si="28"/>
        <v>maio</v>
      </c>
      <c r="G948">
        <f t="shared" si="29"/>
        <v>2023</v>
      </c>
    </row>
    <row r="949" spans="1:7" x14ac:dyDescent="0.25">
      <c r="A949" s="5" t="s">
        <v>571</v>
      </c>
      <c r="B949" s="1">
        <v>45047</v>
      </c>
      <c r="C949" s="3" t="s">
        <v>572</v>
      </c>
      <c r="D949" s="8">
        <v>1248</v>
      </c>
      <c r="E949" s="12">
        <v>5491.2</v>
      </c>
      <c r="F949" t="str">
        <f t="shared" si="28"/>
        <v>maio</v>
      </c>
      <c r="G949">
        <f t="shared" si="29"/>
        <v>2023</v>
      </c>
    </row>
    <row r="950" spans="1:7" x14ac:dyDescent="0.25">
      <c r="A950" s="4" t="s">
        <v>573</v>
      </c>
      <c r="B950" s="1">
        <v>45047</v>
      </c>
      <c r="C950" s="2" t="s">
        <v>574</v>
      </c>
      <c r="D950" s="7">
        <v>1036.8</v>
      </c>
      <c r="E950" s="13">
        <v>14256</v>
      </c>
      <c r="F950" t="str">
        <f t="shared" si="28"/>
        <v>maio</v>
      </c>
      <c r="G950">
        <f t="shared" si="29"/>
        <v>2023</v>
      </c>
    </row>
    <row r="951" spans="1:7" x14ac:dyDescent="0.25">
      <c r="A951" s="5" t="s">
        <v>575</v>
      </c>
      <c r="B951" s="1">
        <v>45047</v>
      </c>
      <c r="C951" s="3" t="s">
        <v>576</v>
      </c>
      <c r="D951" s="8">
        <v>24</v>
      </c>
      <c r="E951" s="12">
        <v>297.60000000000002</v>
      </c>
      <c r="F951" t="str">
        <f t="shared" si="28"/>
        <v>maio</v>
      </c>
      <c r="G951">
        <f t="shared" si="29"/>
        <v>2023</v>
      </c>
    </row>
    <row r="952" spans="1:7" x14ac:dyDescent="0.25">
      <c r="A952" s="4" t="s">
        <v>577</v>
      </c>
      <c r="B952" s="1">
        <v>45047</v>
      </c>
      <c r="C952" s="2" t="s">
        <v>578</v>
      </c>
      <c r="D952" s="7">
        <v>8</v>
      </c>
      <c r="E952" s="13">
        <v>92</v>
      </c>
      <c r="F952" t="str">
        <f t="shared" si="28"/>
        <v>maio</v>
      </c>
      <c r="G952">
        <f t="shared" si="29"/>
        <v>2023</v>
      </c>
    </row>
    <row r="953" spans="1:7" x14ac:dyDescent="0.25">
      <c r="A953" s="5" t="s">
        <v>473</v>
      </c>
      <c r="B953" s="1">
        <v>45047</v>
      </c>
      <c r="C953" s="3" t="s">
        <v>322</v>
      </c>
      <c r="D953" s="8">
        <v>3</v>
      </c>
      <c r="E953" s="12">
        <v>19.38</v>
      </c>
      <c r="F953" t="str">
        <f t="shared" si="28"/>
        <v>maio</v>
      </c>
      <c r="G953">
        <f t="shared" si="29"/>
        <v>2023</v>
      </c>
    </row>
    <row r="954" spans="1:7" x14ac:dyDescent="0.25">
      <c r="A954" s="4" t="s">
        <v>475</v>
      </c>
      <c r="B954" s="1">
        <v>45047</v>
      </c>
      <c r="C954" s="2" t="s">
        <v>323</v>
      </c>
      <c r="D954" s="7">
        <v>4</v>
      </c>
      <c r="E954" s="13">
        <v>20.16</v>
      </c>
      <c r="F954" t="str">
        <f t="shared" si="28"/>
        <v>maio</v>
      </c>
      <c r="G954">
        <f t="shared" si="29"/>
        <v>2023</v>
      </c>
    </row>
    <row r="955" spans="1:7" x14ac:dyDescent="0.25">
      <c r="A955" s="5" t="s">
        <v>476</v>
      </c>
      <c r="B955" s="1">
        <v>45047</v>
      </c>
      <c r="C955" s="3" t="s">
        <v>579</v>
      </c>
      <c r="D955" s="8">
        <v>1</v>
      </c>
      <c r="E955" s="12">
        <v>5.5</v>
      </c>
      <c r="F955" t="str">
        <f t="shared" si="28"/>
        <v>maio</v>
      </c>
      <c r="G955">
        <f t="shared" si="29"/>
        <v>2023</v>
      </c>
    </row>
    <row r="956" spans="1:7" x14ac:dyDescent="0.25">
      <c r="A956" s="5" t="s">
        <v>480</v>
      </c>
      <c r="B956" s="1">
        <v>45047</v>
      </c>
      <c r="C956" s="3" t="s">
        <v>328</v>
      </c>
      <c r="D956" s="8">
        <v>4810</v>
      </c>
      <c r="E956" s="12">
        <v>30069</v>
      </c>
      <c r="F956" t="str">
        <f t="shared" si="28"/>
        <v>maio</v>
      </c>
      <c r="G956">
        <f t="shared" si="29"/>
        <v>2023</v>
      </c>
    </row>
    <row r="957" spans="1:7" x14ac:dyDescent="0.25">
      <c r="A957" s="4" t="s">
        <v>580</v>
      </c>
      <c r="B957" s="1">
        <v>45047</v>
      </c>
      <c r="C957" s="2" t="s">
        <v>581</v>
      </c>
      <c r="D957" s="7">
        <v>1071</v>
      </c>
      <c r="E957" s="13">
        <v>3534.3</v>
      </c>
      <c r="F957" t="str">
        <f t="shared" si="28"/>
        <v>maio</v>
      </c>
      <c r="G957">
        <f t="shared" si="29"/>
        <v>2023</v>
      </c>
    </row>
    <row r="958" spans="1:7" x14ac:dyDescent="0.25">
      <c r="A958" s="5" t="s">
        <v>582</v>
      </c>
      <c r="B958" s="1">
        <v>45047</v>
      </c>
      <c r="C958" s="3" t="s">
        <v>583</v>
      </c>
      <c r="D958" s="8">
        <v>1806</v>
      </c>
      <c r="E958" s="12">
        <v>4696.74</v>
      </c>
      <c r="F958" t="str">
        <f t="shared" si="28"/>
        <v>maio</v>
      </c>
      <c r="G958">
        <f t="shared" si="29"/>
        <v>2023</v>
      </c>
    </row>
    <row r="959" spans="1:7" x14ac:dyDescent="0.25">
      <c r="A959" s="4" t="s">
        <v>484</v>
      </c>
      <c r="B959" s="1">
        <v>45047</v>
      </c>
      <c r="C959" s="2" t="s">
        <v>584</v>
      </c>
      <c r="D959" s="7">
        <v>2000</v>
      </c>
      <c r="E959" s="13">
        <v>6417.5</v>
      </c>
      <c r="F959" t="str">
        <f t="shared" si="28"/>
        <v>maio</v>
      </c>
      <c r="G959">
        <f t="shared" si="29"/>
        <v>2023</v>
      </c>
    </row>
    <row r="960" spans="1:7" x14ac:dyDescent="0.25">
      <c r="A960" s="4" t="s">
        <v>585</v>
      </c>
      <c r="B960" s="1">
        <v>45047</v>
      </c>
      <c r="C960" s="2" t="s">
        <v>586</v>
      </c>
      <c r="D960" s="7">
        <v>56</v>
      </c>
      <c r="E960" s="13">
        <v>448</v>
      </c>
      <c r="F960" t="str">
        <f t="shared" si="28"/>
        <v>maio</v>
      </c>
      <c r="G960">
        <f t="shared" si="29"/>
        <v>2023</v>
      </c>
    </row>
    <row r="961" spans="1:7" x14ac:dyDescent="0.25">
      <c r="A961" s="5" t="s">
        <v>587</v>
      </c>
      <c r="B961" s="1">
        <v>45047</v>
      </c>
      <c r="C961" s="3" t="s">
        <v>588</v>
      </c>
      <c r="D961" s="8">
        <v>4000</v>
      </c>
      <c r="E961" s="12">
        <v>6320</v>
      </c>
      <c r="F961" t="str">
        <f t="shared" si="28"/>
        <v>maio</v>
      </c>
      <c r="G961">
        <f t="shared" si="29"/>
        <v>2023</v>
      </c>
    </row>
    <row r="962" spans="1:7" x14ac:dyDescent="0.25">
      <c r="A962" s="4" t="s">
        <v>589</v>
      </c>
      <c r="B962" s="1">
        <v>45047</v>
      </c>
      <c r="C962" s="2" t="s">
        <v>590</v>
      </c>
      <c r="D962" s="7">
        <v>1900</v>
      </c>
      <c r="E962" s="13">
        <v>14250</v>
      </c>
      <c r="F962" t="str">
        <f t="shared" si="28"/>
        <v>maio</v>
      </c>
      <c r="G962">
        <f t="shared" si="29"/>
        <v>2023</v>
      </c>
    </row>
    <row r="963" spans="1:7" x14ac:dyDescent="0.25">
      <c r="A963" s="5" t="s">
        <v>591</v>
      </c>
      <c r="B963" s="1">
        <v>45047</v>
      </c>
      <c r="C963" s="3" t="s">
        <v>592</v>
      </c>
      <c r="D963" s="8">
        <v>511</v>
      </c>
      <c r="E963" s="12">
        <v>1458.5</v>
      </c>
      <c r="F963" t="str">
        <f t="shared" ref="F963:F1026" si="30">TEXT(B963,"mmmm")</f>
        <v>maio</v>
      </c>
      <c r="G963">
        <f t="shared" ref="G963:G1026" si="31">YEAR(B963)</f>
        <v>2023</v>
      </c>
    </row>
    <row r="964" spans="1:7" x14ac:dyDescent="0.25">
      <c r="A964" s="4" t="s">
        <v>505</v>
      </c>
      <c r="B964" s="1">
        <v>45047</v>
      </c>
      <c r="C964" s="2" t="s">
        <v>506</v>
      </c>
      <c r="D964" s="7">
        <v>188.83</v>
      </c>
      <c r="E964" s="13">
        <v>2260.25</v>
      </c>
      <c r="F964" t="str">
        <f t="shared" si="30"/>
        <v>maio</v>
      </c>
      <c r="G964">
        <f t="shared" si="31"/>
        <v>2023</v>
      </c>
    </row>
    <row r="965" spans="1:7" x14ac:dyDescent="0.25">
      <c r="A965" s="5" t="s">
        <v>593</v>
      </c>
      <c r="B965" s="1">
        <v>45047</v>
      </c>
      <c r="C965" s="3" t="s">
        <v>594</v>
      </c>
      <c r="D965" s="8">
        <v>13.19</v>
      </c>
      <c r="E965" s="12">
        <v>168.83</v>
      </c>
      <c r="F965" t="str">
        <f t="shared" si="30"/>
        <v>maio</v>
      </c>
      <c r="G965">
        <f t="shared" si="31"/>
        <v>2023</v>
      </c>
    </row>
    <row r="966" spans="1:7" x14ac:dyDescent="0.25">
      <c r="A966" s="4" t="s">
        <v>595</v>
      </c>
      <c r="B966" s="1">
        <v>45047</v>
      </c>
      <c r="C966" s="2" t="s">
        <v>410</v>
      </c>
      <c r="D966" s="7">
        <v>768</v>
      </c>
      <c r="E966" s="13">
        <v>6912</v>
      </c>
      <c r="F966" t="str">
        <f t="shared" si="30"/>
        <v>maio</v>
      </c>
      <c r="G966">
        <f t="shared" si="31"/>
        <v>2023</v>
      </c>
    </row>
    <row r="967" spans="1:7" x14ac:dyDescent="0.25">
      <c r="A967" s="5" t="s">
        <v>507</v>
      </c>
      <c r="B967" s="1">
        <v>45047</v>
      </c>
      <c r="C967" s="3" t="s">
        <v>412</v>
      </c>
      <c r="D967" s="8">
        <v>2</v>
      </c>
      <c r="E967" s="12">
        <v>8.1999999999999993</v>
      </c>
      <c r="F967" t="str">
        <f t="shared" si="30"/>
        <v>maio</v>
      </c>
      <c r="G967">
        <f t="shared" si="31"/>
        <v>2023</v>
      </c>
    </row>
    <row r="968" spans="1:7" x14ac:dyDescent="0.25">
      <c r="A968" s="4" t="s">
        <v>509</v>
      </c>
      <c r="B968" s="1">
        <v>45047</v>
      </c>
      <c r="C968" s="2" t="s">
        <v>510</v>
      </c>
      <c r="D968" s="7">
        <v>1395.49</v>
      </c>
      <c r="E968" s="13">
        <v>9349.7800000000007</v>
      </c>
      <c r="F968" t="str">
        <f t="shared" si="30"/>
        <v>maio</v>
      </c>
      <c r="G968">
        <f t="shared" si="31"/>
        <v>2023</v>
      </c>
    </row>
    <row r="969" spans="1:7" x14ac:dyDescent="0.25">
      <c r="A969" s="5" t="s">
        <v>596</v>
      </c>
      <c r="B969" s="1">
        <v>45047</v>
      </c>
      <c r="C969" s="3" t="s">
        <v>597</v>
      </c>
      <c r="D969" s="8">
        <v>805.16</v>
      </c>
      <c r="E969" s="12">
        <v>7654.7</v>
      </c>
      <c r="F969" t="str">
        <f t="shared" si="30"/>
        <v>maio</v>
      </c>
      <c r="G969">
        <f t="shared" si="31"/>
        <v>2023</v>
      </c>
    </row>
    <row r="970" spans="1:7" x14ac:dyDescent="0.25">
      <c r="A970" s="4" t="s">
        <v>513</v>
      </c>
      <c r="B970" s="1">
        <v>45047</v>
      </c>
      <c r="C970" s="2" t="s">
        <v>598</v>
      </c>
      <c r="D970" s="7">
        <v>6.07</v>
      </c>
      <c r="E970" s="13">
        <v>56.45</v>
      </c>
      <c r="F970" t="str">
        <f t="shared" si="30"/>
        <v>maio</v>
      </c>
      <c r="G970">
        <f t="shared" si="31"/>
        <v>2023</v>
      </c>
    </row>
    <row r="971" spans="1:7" x14ac:dyDescent="0.25">
      <c r="A971" s="5" t="s">
        <v>599</v>
      </c>
      <c r="B971" s="1">
        <v>45047</v>
      </c>
      <c r="C971" s="3" t="s">
        <v>600</v>
      </c>
      <c r="D971" s="8">
        <v>480</v>
      </c>
      <c r="E971" s="12">
        <v>3840</v>
      </c>
      <c r="F971" t="str">
        <f t="shared" si="30"/>
        <v>maio</v>
      </c>
      <c r="G971">
        <f t="shared" si="31"/>
        <v>2023</v>
      </c>
    </row>
    <row r="972" spans="1:7" x14ac:dyDescent="0.25">
      <c r="A972" s="4" t="s">
        <v>601</v>
      </c>
      <c r="B972" s="1">
        <v>45047</v>
      </c>
      <c r="C972" s="2" t="s">
        <v>602</v>
      </c>
      <c r="D972" s="7">
        <v>920</v>
      </c>
      <c r="E972" s="13">
        <v>5096.8</v>
      </c>
      <c r="F972" t="str">
        <f t="shared" si="30"/>
        <v>maio</v>
      </c>
      <c r="G972">
        <f t="shared" si="31"/>
        <v>2023</v>
      </c>
    </row>
    <row r="973" spans="1:7" x14ac:dyDescent="0.25">
      <c r="A973" s="5" t="s">
        <v>603</v>
      </c>
      <c r="B973" s="1">
        <v>45047</v>
      </c>
      <c r="C973" s="3" t="s">
        <v>604</v>
      </c>
      <c r="D973" s="8">
        <v>2200</v>
      </c>
      <c r="E973" s="12">
        <v>11330</v>
      </c>
      <c r="F973" t="str">
        <f t="shared" si="30"/>
        <v>maio</v>
      </c>
      <c r="G973">
        <f t="shared" si="31"/>
        <v>2023</v>
      </c>
    </row>
    <row r="974" spans="1:7" x14ac:dyDescent="0.25">
      <c r="A974" s="4" t="s">
        <v>605</v>
      </c>
      <c r="B974" s="1">
        <v>45047</v>
      </c>
      <c r="C974" s="2" t="s">
        <v>606</v>
      </c>
      <c r="D974" s="7">
        <v>3630</v>
      </c>
      <c r="E974" s="13">
        <v>18004.8</v>
      </c>
      <c r="F974" t="str">
        <f t="shared" si="30"/>
        <v>maio</v>
      </c>
      <c r="G974">
        <f t="shared" si="31"/>
        <v>2023</v>
      </c>
    </row>
    <row r="975" spans="1:7" x14ac:dyDescent="0.25">
      <c r="A975" s="5" t="s">
        <v>607</v>
      </c>
      <c r="B975" s="1">
        <v>45047</v>
      </c>
      <c r="C975" s="3" t="s">
        <v>608</v>
      </c>
      <c r="D975" s="8">
        <v>2680</v>
      </c>
      <c r="E975" s="12">
        <v>13024.8</v>
      </c>
      <c r="F975" t="str">
        <f t="shared" si="30"/>
        <v>maio</v>
      </c>
      <c r="G975">
        <f t="shared" si="31"/>
        <v>2023</v>
      </c>
    </row>
    <row r="976" spans="1:7" x14ac:dyDescent="0.25">
      <c r="A976" s="4" t="s">
        <v>609</v>
      </c>
      <c r="B976" s="1">
        <v>45047</v>
      </c>
      <c r="C976" s="2" t="s">
        <v>610</v>
      </c>
      <c r="D976" s="7">
        <v>90</v>
      </c>
      <c r="E976" s="13">
        <v>551.70000000000005</v>
      </c>
      <c r="F976" t="str">
        <f t="shared" si="30"/>
        <v>maio</v>
      </c>
      <c r="G976">
        <f t="shared" si="31"/>
        <v>2023</v>
      </c>
    </row>
    <row r="977" spans="1:7" x14ac:dyDescent="0.25">
      <c r="A977" s="5" t="s">
        <v>611</v>
      </c>
      <c r="B977" s="1">
        <v>45047</v>
      </c>
      <c r="C977" s="3" t="s">
        <v>612</v>
      </c>
      <c r="D977" s="8">
        <v>900</v>
      </c>
      <c r="E977" s="12">
        <v>4635</v>
      </c>
      <c r="F977" t="str">
        <f t="shared" si="30"/>
        <v>maio</v>
      </c>
      <c r="G977">
        <f t="shared" si="31"/>
        <v>2023</v>
      </c>
    </row>
    <row r="978" spans="1:7" x14ac:dyDescent="0.25">
      <c r="A978" s="4" t="s">
        <v>613</v>
      </c>
      <c r="B978" s="1">
        <v>45047</v>
      </c>
      <c r="C978" s="2" t="s">
        <v>614</v>
      </c>
      <c r="D978" s="7">
        <v>4550</v>
      </c>
      <c r="E978" s="13">
        <v>19019</v>
      </c>
      <c r="F978" t="str">
        <f t="shared" si="30"/>
        <v>maio</v>
      </c>
      <c r="G978">
        <f t="shared" si="31"/>
        <v>2023</v>
      </c>
    </row>
    <row r="979" spans="1:7" x14ac:dyDescent="0.25">
      <c r="A979" s="5" t="s">
        <v>615</v>
      </c>
      <c r="B979" s="1">
        <v>45047</v>
      </c>
      <c r="C979" s="3" t="s">
        <v>616</v>
      </c>
      <c r="D979" s="8">
        <v>3380</v>
      </c>
      <c r="E979" s="12">
        <v>11154</v>
      </c>
      <c r="F979" t="str">
        <f t="shared" si="30"/>
        <v>maio</v>
      </c>
      <c r="G979">
        <f t="shared" si="31"/>
        <v>2023</v>
      </c>
    </row>
    <row r="980" spans="1:7" x14ac:dyDescent="0.25">
      <c r="A980" s="4" t="s">
        <v>617</v>
      </c>
      <c r="B980" s="1">
        <v>45047</v>
      </c>
      <c r="C980" s="2" t="s">
        <v>380</v>
      </c>
      <c r="D980" s="7">
        <v>3380</v>
      </c>
      <c r="E980" s="13">
        <v>7427</v>
      </c>
      <c r="F980" t="str">
        <f t="shared" si="30"/>
        <v>maio</v>
      </c>
      <c r="G980">
        <f t="shared" si="31"/>
        <v>2023</v>
      </c>
    </row>
    <row r="981" spans="1:7" x14ac:dyDescent="0.25">
      <c r="A981" s="5" t="s">
        <v>618</v>
      </c>
      <c r="B981" s="1">
        <v>45047</v>
      </c>
      <c r="C981" s="3" t="s">
        <v>619</v>
      </c>
      <c r="D981" s="8">
        <v>970</v>
      </c>
      <c r="E981" s="12">
        <v>1437.6</v>
      </c>
      <c r="F981" t="str">
        <f t="shared" si="30"/>
        <v>maio</v>
      </c>
      <c r="G981">
        <f t="shared" si="31"/>
        <v>2023</v>
      </c>
    </row>
    <row r="982" spans="1:7" x14ac:dyDescent="0.25">
      <c r="A982" s="4" t="s">
        <v>620</v>
      </c>
      <c r="B982" s="1">
        <v>45047</v>
      </c>
      <c r="C982" s="2" t="s">
        <v>416</v>
      </c>
      <c r="D982" s="7">
        <v>3200</v>
      </c>
      <c r="E982" s="13">
        <v>8000</v>
      </c>
      <c r="F982" t="str">
        <f t="shared" si="30"/>
        <v>maio</v>
      </c>
      <c r="G982">
        <f t="shared" si="31"/>
        <v>2023</v>
      </c>
    </row>
    <row r="983" spans="1:7" x14ac:dyDescent="0.25">
      <c r="A983" s="5" t="s">
        <v>621</v>
      </c>
      <c r="B983" s="1">
        <v>45047</v>
      </c>
      <c r="C983" s="3" t="s">
        <v>622</v>
      </c>
      <c r="D983" s="8">
        <v>19.2</v>
      </c>
      <c r="E983" s="12">
        <v>67.2</v>
      </c>
      <c r="F983" t="str">
        <f t="shared" si="30"/>
        <v>maio</v>
      </c>
      <c r="G983">
        <f t="shared" si="31"/>
        <v>2023</v>
      </c>
    </row>
    <row r="984" spans="1:7" x14ac:dyDescent="0.25">
      <c r="A984" s="4" t="s">
        <v>522</v>
      </c>
      <c r="B984" s="1">
        <v>45047</v>
      </c>
      <c r="C984" s="2" t="s">
        <v>381</v>
      </c>
      <c r="D984" s="7">
        <v>2860</v>
      </c>
      <c r="E984" s="13">
        <v>12441</v>
      </c>
      <c r="F984" t="str">
        <f t="shared" si="30"/>
        <v>maio</v>
      </c>
      <c r="G984">
        <f t="shared" si="31"/>
        <v>2023</v>
      </c>
    </row>
    <row r="985" spans="1:7" x14ac:dyDescent="0.25">
      <c r="A985" s="5" t="s">
        <v>523</v>
      </c>
      <c r="B985" s="1">
        <v>45047</v>
      </c>
      <c r="C985" s="3" t="s">
        <v>423</v>
      </c>
      <c r="D985" s="8">
        <v>3</v>
      </c>
      <c r="E985" s="12">
        <v>11.41</v>
      </c>
      <c r="F985" t="str">
        <f t="shared" si="30"/>
        <v>maio</v>
      </c>
      <c r="G985">
        <f t="shared" si="31"/>
        <v>2023</v>
      </c>
    </row>
    <row r="986" spans="1:7" x14ac:dyDescent="0.25">
      <c r="A986" s="4" t="s">
        <v>623</v>
      </c>
      <c r="B986" s="1">
        <v>45047</v>
      </c>
      <c r="C986" s="2" t="s">
        <v>424</v>
      </c>
      <c r="D986" s="7">
        <v>800</v>
      </c>
      <c r="E986" s="13">
        <v>2224</v>
      </c>
      <c r="F986" t="str">
        <f t="shared" si="30"/>
        <v>maio</v>
      </c>
      <c r="G986">
        <f t="shared" si="31"/>
        <v>2023</v>
      </c>
    </row>
    <row r="987" spans="1:7" x14ac:dyDescent="0.25">
      <c r="A987" s="5" t="s">
        <v>624</v>
      </c>
      <c r="B987" s="1">
        <v>45047</v>
      </c>
      <c r="C987" s="3" t="s">
        <v>382</v>
      </c>
      <c r="D987" s="8">
        <v>500</v>
      </c>
      <c r="E987" s="12">
        <v>6125</v>
      </c>
      <c r="F987" t="str">
        <f t="shared" si="30"/>
        <v>maio</v>
      </c>
      <c r="G987">
        <f t="shared" si="31"/>
        <v>2023</v>
      </c>
    </row>
    <row r="988" spans="1:7" x14ac:dyDescent="0.25">
      <c r="A988" s="4" t="s">
        <v>524</v>
      </c>
      <c r="B988" s="1">
        <v>45047</v>
      </c>
      <c r="C988" s="2" t="s">
        <v>383</v>
      </c>
      <c r="D988" s="7">
        <v>17</v>
      </c>
      <c r="E988" s="13">
        <v>137.69999999999999</v>
      </c>
      <c r="F988" t="str">
        <f t="shared" si="30"/>
        <v>maio</v>
      </c>
      <c r="G988">
        <f t="shared" si="31"/>
        <v>2023</v>
      </c>
    </row>
    <row r="989" spans="1:7" x14ac:dyDescent="0.25">
      <c r="A989" s="5" t="s">
        <v>526</v>
      </c>
      <c r="B989" s="1">
        <v>45047</v>
      </c>
      <c r="C989" s="3" t="s">
        <v>384</v>
      </c>
      <c r="D989" s="8">
        <v>1260</v>
      </c>
      <c r="E989" s="12">
        <v>10458</v>
      </c>
      <c r="F989" t="str">
        <f t="shared" si="30"/>
        <v>maio</v>
      </c>
      <c r="G989">
        <f t="shared" si="31"/>
        <v>2023</v>
      </c>
    </row>
    <row r="990" spans="1:7" x14ac:dyDescent="0.25">
      <c r="A990" s="4" t="s">
        <v>527</v>
      </c>
      <c r="B990" s="1">
        <v>45047</v>
      </c>
      <c r="C990" s="2" t="s">
        <v>625</v>
      </c>
      <c r="D990" s="7">
        <v>3155</v>
      </c>
      <c r="E990" s="13">
        <v>20827.5</v>
      </c>
      <c r="F990" t="str">
        <f t="shared" si="30"/>
        <v>maio</v>
      </c>
      <c r="G990">
        <f t="shared" si="31"/>
        <v>2023</v>
      </c>
    </row>
    <row r="991" spans="1:7" x14ac:dyDescent="0.25">
      <c r="A991" s="5" t="s">
        <v>529</v>
      </c>
      <c r="B991" s="1">
        <v>45047</v>
      </c>
      <c r="C991" s="3" t="s">
        <v>386</v>
      </c>
      <c r="D991" s="8">
        <v>1270</v>
      </c>
      <c r="E991" s="12">
        <v>7050</v>
      </c>
      <c r="F991" t="str">
        <f t="shared" si="30"/>
        <v>maio</v>
      </c>
      <c r="G991">
        <f t="shared" si="31"/>
        <v>2023</v>
      </c>
    </row>
    <row r="992" spans="1:7" x14ac:dyDescent="0.25">
      <c r="A992" s="4" t="s">
        <v>531</v>
      </c>
      <c r="B992" s="1">
        <v>45047</v>
      </c>
      <c r="C992" s="2" t="s">
        <v>532</v>
      </c>
      <c r="D992" s="7">
        <v>50</v>
      </c>
      <c r="E992" s="13">
        <v>300</v>
      </c>
      <c r="F992" t="str">
        <f t="shared" si="30"/>
        <v>maio</v>
      </c>
      <c r="G992">
        <f t="shared" si="31"/>
        <v>2023</v>
      </c>
    </row>
    <row r="993" spans="1:7" x14ac:dyDescent="0.25">
      <c r="A993" s="5" t="s">
        <v>533</v>
      </c>
      <c r="B993" s="1">
        <v>45047</v>
      </c>
      <c r="C993" s="3" t="s">
        <v>626</v>
      </c>
      <c r="D993" s="8">
        <v>500</v>
      </c>
      <c r="E993" s="12">
        <v>2600</v>
      </c>
      <c r="F993" t="str">
        <f t="shared" si="30"/>
        <v>maio</v>
      </c>
      <c r="G993">
        <f t="shared" si="31"/>
        <v>2023</v>
      </c>
    </row>
    <row r="994" spans="1:7" x14ac:dyDescent="0.25">
      <c r="A994" s="4" t="s">
        <v>627</v>
      </c>
      <c r="B994" s="1">
        <v>45047</v>
      </c>
      <c r="C994" s="2" t="s">
        <v>628</v>
      </c>
      <c r="D994" s="8">
        <v>130</v>
      </c>
      <c r="E994" s="12">
        <v>546.5</v>
      </c>
      <c r="F994" t="str">
        <f t="shared" si="30"/>
        <v>maio</v>
      </c>
      <c r="G994">
        <f t="shared" si="31"/>
        <v>2023</v>
      </c>
    </row>
    <row r="995" spans="1:7" x14ac:dyDescent="0.25">
      <c r="A995">
        <v>1010200</v>
      </c>
      <c r="B995" s="1">
        <v>45078</v>
      </c>
      <c r="C995" t="s">
        <v>331</v>
      </c>
      <c r="D995">
        <v>753.7</v>
      </c>
      <c r="E995" s="14">
        <v>226.11</v>
      </c>
      <c r="F995" t="str">
        <f t="shared" si="30"/>
        <v>junho</v>
      </c>
      <c r="G995">
        <f t="shared" si="31"/>
        <v>2023</v>
      </c>
    </row>
    <row r="996" spans="1:7" x14ac:dyDescent="0.25">
      <c r="A996">
        <v>1010300</v>
      </c>
      <c r="B996" s="1">
        <v>45078</v>
      </c>
      <c r="C996" t="s">
        <v>333</v>
      </c>
      <c r="D996">
        <v>468.5</v>
      </c>
      <c r="E996" s="14">
        <v>140.55000000000001</v>
      </c>
      <c r="F996" t="str">
        <f t="shared" si="30"/>
        <v>junho</v>
      </c>
      <c r="G996">
        <f t="shared" si="31"/>
        <v>2023</v>
      </c>
    </row>
    <row r="997" spans="1:7" x14ac:dyDescent="0.25">
      <c r="A997">
        <v>1010500</v>
      </c>
      <c r="B997" s="1">
        <v>45078</v>
      </c>
      <c r="C997" t="s">
        <v>6</v>
      </c>
      <c r="D997">
        <v>1363</v>
      </c>
      <c r="E997" s="14">
        <v>806.97</v>
      </c>
      <c r="F997" t="str">
        <f t="shared" si="30"/>
        <v>junho</v>
      </c>
      <c r="G997">
        <f t="shared" si="31"/>
        <v>2023</v>
      </c>
    </row>
    <row r="998" spans="1:7" x14ac:dyDescent="0.25">
      <c r="A998">
        <v>1010600</v>
      </c>
      <c r="B998" s="1">
        <v>45078</v>
      </c>
      <c r="C998" t="s">
        <v>334</v>
      </c>
      <c r="D998">
        <v>3498.53</v>
      </c>
      <c r="E998" s="14">
        <v>2933.54</v>
      </c>
      <c r="F998" t="str">
        <f t="shared" si="30"/>
        <v>junho</v>
      </c>
      <c r="G998">
        <f t="shared" si="31"/>
        <v>2023</v>
      </c>
    </row>
    <row r="999" spans="1:7" x14ac:dyDescent="0.25">
      <c r="A999">
        <v>1010700</v>
      </c>
      <c r="B999" s="1">
        <v>45078</v>
      </c>
      <c r="C999" t="s">
        <v>335</v>
      </c>
      <c r="D999">
        <v>307.36</v>
      </c>
      <c r="E999" s="14">
        <v>649.87</v>
      </c>
      <c r="F999" t="str">
        <f t="shared" si="30"/>
        <v>junho</v>
      </c>
      <c r="G999">
        <f t="shared" si="31"/>
        <v>2023</v>
      </c>
    </row>
    <row r="1000" spans="1:7" x14ac:dyDescent="0.25">
      <c r="A1000">
        <v>1010701</v>
      </c>
      <c r="B1000" s="1">
        <v>45078</v>
      </c>
      <c r="C1000" t="s">
        <v>12</v>
      </c>
      <c r="D1000">
        <v>85.96</v>
      </c>
      <c r="E1000" s="14">
        <v>648.72</v>
      </c>
      <c r="F1000" t="str">
        <f t="shared" si="30"/>
        <v>junho</v>
      </c>
      <c r="G1000">
        <f t="shared" si="31"/>
        <v>2023</v>
      </c>
    </row>
    <row r="1001" spans="1:7" x14ac:dyDescent="0.25">
      <c r="A1001">
        <v>1010732</v>
      </c>
      <c r="B1001" s="1">
        <v>45078</v>
      </c>
      <c r="C1001" t="s">
        <v>14</v>
      </c>
      <c r="D1001">
        <v>210</v>
      </c>
      <c r="E1001" s="14">
        <v>1670</v>
      </c>
      <c r="F1001" t="str">
        <f t="shared" si="30"/>
        <v>junho</v>
      </c>
      <c r="G1001">
        <f t="shared" si="31"/>
        <v>2023</v>
      </c>
    </row>
    <row r="1002" spans="1:7" x14ac:dyDescent="0.25">
      <c r="A1002">
        <v>1010800</v>
      </c>
      <c r="B1002" s="1">
        <v>45078</v>
      </c>
      <c r="C1002" t="s">
        <v>429</v>
      </c>
      <c r="D1002">
        <v>304</v>
      </c>
      <c r="E1002" s="14">
        <v>820.8</v>
      </c>
      <c r="F1002" t="str">
        <f t="shared" si="30"/>
        <v>junho</v>
      </c>
      <c r="G1002">
        <f t="shared" si="31"/>
        <v>2023</v>
      </c>
    </row>
    <row r="1003" spans="1:7" x14ac:dyDescent="0.25">
      <c r="A1003">
        <v>1010900</v>
      </c>
      <c r="B1003" s="1">
        <v>45078</v>
      </c>
      <c r="C1003" t="s">
        <v>336</v>
      </c>
      <c r="D1003">
        <v>149.38</v>
      </c>
      <c r="E1003" s="14">
        <v>220</v>
      </c>
      <c r="F1003" t="str">
        <f t="shared" si="30"/>
        <v>junho</v>
      </c>
      <c r="G1003">
        <f t="shared" si="31"/>
        <v>2023</v>
      </c>
    </row>
    <row r="1004" spans="1:7" x14ac:dyDescent="0.25">
      <c r="A1004">
        <v>1010901</v>
      </c>
      <c r="B1004" s="1">
        <v>45078</v>
      </c>
      <c r="C1004" t="s">
        <v>337</v>
      </c>
      <c r="D1004">
        <v>58.1</v>
      </c>
      <c r="E1004" s="14">
        <v>60.27</v>
      </c>
      <c r="F1004" t="str">
        <f t="shared" si="30"/>
        <v>junho</v>
      </c>
      <c r="G1004">
        <f t="shared" si="31"/>
        <v>2023</v>
      </c>
    </row>
    <row r="1005" spans="1:7" x14ac:dyDescent="0.25">
      <c r="A1005">
        <v>1010902</v>
      </c>
      <c r="B1005" s="1">
        <v>45078</v>
      </c>
      <c r="C1005" t="s">
        <v>431</v>
      </c>
      <c r="D1005">
        <v>161.18</v>
      </c>
      <c r="E1005" s="14">
        <v>220.92</v>
      </c>
      <c r="F1005" t="str">
        <f t="shared" si="30"/>
        <v>junho</v>
      </c>
      <c r="G1005">
        <f t="shared" si="31"/>
        <v>2023</v>
      </c>
    </row>
    <row r="1006" spans="1:7" x14ac:dyDescent="0.25">
      <c r="A1006">
        <v>1010903</v>
      </c>
      <c r="B1006" s="1">
        <v>45078</v>
      </c>
      <c r="C1006" t="s">
        <v>629</v>
      </c>
      <c r="D1006">
        <v>20.5</v>
      </c>
      <c r="E1006" s="14">
        <v>20.07</v>
      </c>
      <c r="F1006" t="str">
        <f t="shared" si="30"/>
        <v>junho</v>
      </c>
      <c r="G1006">
        <f t="shared" si="31"/>
        <v>2023</v>
      </c>
    </row>
    <row r="1007" spans="1:7" x14ac:dyDescent="0.25">
      <c r="A1007">
        <v>1011000</v>
      </c>
      <c r="B1007" s="1">
        <v>45078</v>
      </c>
      <c r="C1007" t="s">
        <v>20</v>
      </c>
      <c r="D1007">
        <v>1059.9000000000001</v>
      </c>
      <c r="E1007" s="14">
        <v>760.65</v>
      </c>
      <c r="F1007" t="str">
        <f t="shared" si="30"/>
        <v>junho</v>
      </c>
      <c r="G1007">
        <f t="shared" si="31"/>
        <v>2023</v>
      </c>
    </row>
    <row r="1008" spans="1:7" x14ac:dyDescent="0.25">
      <c r="A1008">
        <v>1011100</v>
      </c>
      <c r="B1008" s="1">
        <v>45078</v>
      </c>
      <c r="C1008" t="s">
        <v>293</v>
      </c>
      <c r="D1008">
        <v>64</v>
      </c>
      <c r="E1008" s="14">
        <v>32.409999999999997</v>
      </c>
      <c r="F1008" t="str">
        <f t="shared" si="30"/>
        <v>junho</v>
      </c>
      <c r="G1008">
        <f t="shared" si="31"/>
        <v>2023</v>
      </c>
    </row>
    <row r="1009" spans="1:7" x14ac:dyDescent="0.25">
      <c r="A1009">
        <v>1011200</v>
      </c>
      <c r="B1009" s="1">
        <v>45078</v>
      </c>
      <c r="C1009" t="s">
        <v>24</v>
      </c>
      <c r="D1009">
        <v>49.8</v>
      </c>
      <c r="E1009" s="14">
        <v>67.680000000000007</v>
      </c>
      <c r="F1009" t="str">
        <f t="shared" si="30"/>
        <v>junho</v>
      </c>
      <c r="G1009">
        <f t="shared" si="31"/>
        <v>2023</v>
      </c>
    </row>
    <row r="1010" spans="1:7" x14ac:dyDescent="0.25">
      <c r="A1010">
        <v>1011201</v>
      </c>
      <c r="B1010" s="1">
        <v>45078</v>
      </c>
      <c r="C1010" t="s">
        <v>338</v>
      </c>
      <c r="D1010">
        <v>106.7</v>
      </c>
      <c r="E1010" s="14">
        <v>288.08999999999997</v>
      </c>
      <c r="F1010" t="str">
        <f t="shared" si="30"/>
        <v>junho</v>
      </c>
      <c r="G1010">
        <f t="shared" si="31"/>
        <v>2023</v>
      </c>
    </row>
    <row r="1011" spans="1:7" x14ac:dyDescent="0.25">
      <c r="A1011">
        <v>1011202</v>
      </c>
      <c r="B1011" s="1">
        <v>45078</v>
      </c>
      <c r="C1011" t="s">
        <v>340</v>
      </c>
      <c r="D1011">
        <v>115.5</v>
      </c>
      <c r="E1011" s="14">
        <v>46.2</v>
      </c>
      <c r="F1011" t="str">
        <f t="shared" si="30"/>
        <v>junho</v>
      </c>
      <c r="G1011">
        <f t="shared" si="31"/>
        <v>2023</v>
      </c>
    </row>
    <row r="1012" spans="1:7" x14ac:dyDescent="0.25">
      <c r="A1012">
        <v>1011203</v>
      </c>
      <c r="B1012" s="1">
        <v>45078</v>
      </c>
      <c r="C1012" t="s">
        <v>342</v>
      </c>
      <c r="D1012">
        <v>423.1</v>
      </c>
      <c r="E1012" s="14">
        <v>253.86</v>
      </c>
      <c r="F1012" t="str">
        <f t="shared" si="30"/>
        <v>junho</v>
      </c>
      <c r="G1012">
        <f t="shared" si="31"/>
        <v>2023</v>
      </c>
    </row>
    <row r="1013" spans="1:7" x14ac:dyDescent="0.25">
      <c r="A1013">
        <v>1011204</v>
      </c>
      <c r="B1013" s="1">
        <v>45078</v>
      </c>
      <c r="C1013" t="s">
        <v>344</v>
      </c>
      <c r="D1013">
        <v>137.80000000000001</v>
      </c>
      <c r="E1013" s="14">
        <v>234.26</v>
      </c>
      <c r="F1013" t="str">
        <f t="shared" si="30"/>
        <v>junho</v>
      </c>
      <c r="G1013">
        <f t="shared" si="31"/>
        <v>2023</v>
      </c>
    </row>
    <row r="1014" spans="1:7" x14ac:dyDescent="0.25">
      <c r="A1014">
        <v>1011300</v>
      </c>
      <c r="B1014" s="1">
        <v>45078</v>
      </c>
      <c r="C1014" t="s">
        <v>295</v>
      </c>
      <c r="D1014">
        <v>6197.6</v>
      </c>
      <c r="E1014" s="14">
        <v>6242.23</v>
      </c>
      <c r="F1014" t="str">
        <f t="shared" si="30"/>
        <v>junho</v>
      </c>
      <c r="G1014">
        <f t="shared" si="31"/>
        <v>2023</v>
      </c>
    </row>
    <row r="1015" spans="1:7" x14ac:dyDescent="0.25">
      <c r="A1015">
        <v>1011500</v>
      </c>
      <c r="B1015" s="1">
        <v>45078</v>
      </c>
      <c r="C1015" t="s">
        <v>27</v>
      </c>
      <c r="D1015">
        <v>2819.61</v>
      </c>
      <c r="E1015" s="14">
        <v>2245.29</v>
      </c>
      <c r="F1015" t="str">
        <f t="shared" si="30"/>
        <v>junho</v>
      </c>
      <c r="G1015">
        <f t="shared" si="31"/>
        <v>2023</v>
      </c>
    </row>
    <row r="1016" spans="1:7" x14ac:dyDescent="0.25">
      <c r="A1016">
        <v>1011501</v>
      </c>
      <c r="B1016" s="1">
        <v>45078</v>
      </c>
      <c r="C1016" t="s">
        <v>297</v>
      </c>
      <c r="D1016">
        <v>525</v>
      </c>
      <c r="E1016" s="14">
        <v>262.5</v>
      </c>
      <c r="F1016" t="str">
        <f t="shared" si="30"/>
        <v>junho</v>
      </c>
      <c r="G1016">
        <f t="shared" si="31"/>
        <v>2023</v>
      </c>
    </row>
    <row r="1017" spans="1:7" x14ac:dyDescent="0.25">
      <c r="A1017">
        <v>1011604</v>
      </c>
      <c r="B1017" s="1">
        <v>45078</v>
      </c>
      <c r="C1017" t="s">
        <v>29</v>
      </c>
      <c r="D1017">
        <v>20831</v>
      </c>
      <c r="E1017" s="14">
        <v>1666.48</v>
      </c>
      <c r="F1017" t="str">
        <f t="shared" si="30"/>
        <v>junho</v>
      </c>
      <c r="G1017">
        <f t="shared" si="31"/>
        <v>2023</v>
      </c>
    </row>
    <row r="1018" spans="1:7" x14ac:dyDescent="0.25">
      <c r="A1018">
        <v>1011700</v>
      </c>
      <c r="B1018" s="1">
        <v>45078</v>
      </c>
      <c r="C1018" t="s">
        <v>31</v>
      </c>
      <c r="D1018">
        <v>223.94</v>
      </c>
      <c r="E1018" s="14">
        <v>372.39</v>
      </c>
      <c r="F1018" t="str">
        <f t="shared" si="30"/>
        <v>junho</v>
      </c>
      <c r="G1018">
        <f t="shared" si="31"/>
        <v>2023</v>
      </c>
    </row>
    <row r="1019" spans="1:7" x14ac:dyDescent="0.25">
      <c r="A1019">
        <v>1011800</v>
      </c>
      <c r="B1019" s="1">
        <v>45078</v>
      </c>
      <c r="C1019" t="s">
        <v>33</v>
      </c>
      <c r="D1019">
        <v>2151.34</v>
      </c>
      <c r="E1019" s="14">
        <v>4477.6000000000004</v>
      </c>
      <c r="F1019" t="str">
        <f t="shared" si="30"/>
        <v>junho</v>
      </c>
      <c r="G1019">
        <f t="shared" si="31"/>
        <v>2023</v>
      </c>
    </row>
    <row r="1020" spans="1:7" x14ac:dyDescent="0.25">
      <c r="A1020">
        <v>1011801</v>
      </c>
      <c r="B1020" s="1">
        <v>45078</v>
      </c>
      <c r="C1020" t="s">
        <v>35</v>
      </c>
      <c r="D1020">
        <v>49.96</v>
      </c>
      <c r="E1020" s="14">
        <v>74.94</v>
      </c>
      <c r="F1020" t="str">
        <f t="shared" si="30"/>
        <v>junho</v>
      </c>
      <c r="G1020">
        <f t="shared" si="31"/>
        <v>2023</v>
      </c>
    </row>
    <row r="1021" spans="1:7" x14ac:dyDescent="0.25">
      <c r="A1021">
        <v>1011901</v>
      </c>
      <c r="B1021" s="1">
        <v>45078</v>
      </c>
      <c r="C1021" t="s">
        <v>37</v>
      </c>
      <c r="D1021">
        <v>34.1</v>
      </c>
      <c r="E1021" s="14">
        <v>34.1</v>
      </c>
      <c r="F1021" t="str">
        <f t="shared" si="30"/>
        <v>junho</v>
      </c>
      <c r="G1021">
        <f t="shared" si="31"/>
        <v>2023</v>
      </c>
    </row>
    <row r="1022" spans="1:7" x14ac:dyDescent="0.25">
      <c r="A1022">
        <v>1012100</v>
      </c>
      <c r="B1022" s="1">
        <v>45078</v>
      </c>
      <c r="C1022" t="s">
        <v>302</v>
      </c>
      <c r="D1022">
        <v>629</v>
      </c>
      <c r="E1022" s="14">
        <v>1761.2</v>
      </c>
      <c r="F1022" t="str">
        <f t="shared" si="30"/>
        <v>junho</v>
      </c>
      <c r="G1022">
        <f t="shared" si="31"/>
        <v>2023</v>
      </c>
    </row>
    <row r="1023" spans="1:7" x14ac:dyDescent="0.25">
      <c r="A1023">
        <v>1012200</v>
      </c>
      <c r="B1023" s="1">
        <v>45078</v>
      </c>
      <c r="C1023" t="s">
        <v>39</v>
      </c>
      <c r="D1023">
        <v>335</v>
      </c>
      <c r="E1023" s="14">
        <v>557.47</v>
      </c>
      <c r="F1023" t="str">
        <f t="shared" si="30"/>
        <v>junho</v>
      </c>
      <c r="G1023">
        <f t="shared" si="31"/>
        <v>2023</v>
      </c>
    </row>
    <row r="1024" spans="1:7" x14ac:dyDescent="0.25">
      <c r="A1024">
        <v>1012201</v>
      </c>
      <c r="B1024" s="1">
        <v>45078</v>
      </c>
      <c r="C1024" t="s">
        <v>41</v>
      </c>
      <c r="D1024">
        <v>280.60000000000002</v>
      </c>
      <c r="E1024" s="14">
        <v>521.70000000000005</v>
      </c>
      <c r="F1024" t="str">
        <f t="shared" si="30"/>
        <v>junho</v>
      </c>
      <c r="G1024">
        <f t="shared" si="31"/>
        <v>2023</v>
      </c>
    </row>
    <row r="1025" spans="1:7" x14ac:dyDescent="0.25">
      <c r="A1025">
        <v>1012203</v>
      </c>
      <c r="B1025" s="1">
        <v>45078</v>
      </c>
      <c r="C1025" t="s">
        <v>43</v>
      </c>
      <c r="D1025">
        <v>1585.08</v>
      </c>
      <c r="E1025" s="14">
        <v>2742.94</v>
      </c>
      <c r="F1025" t="str">
        <f t="shared" si="30"/>
        <v>junho</v>
      </c>
      <c r="G1025">
        <f t="shared" si="31"/>
        <v>2023</v>
      </c>
    </row>
    <row r="1026" spans="1:7" x14ac:dyDescent="0.25">
      <c r="A1026">
        <v>1012300</v>
      </c>
      <c r="B1026" s="1">
        <v>45078</v>
      </c>
      <c r="C1026" t="s">
        <v>45</v>
      </c>
      <c r="D1026">
        <v>224.36</v>
      </c>
      <c r="E1026" s="14">
        <v>332.97</v>
      </c>
      <c r="F1026" t="str">
        <f t="shared" si="30"/>
        <v>junho</v>
      </c>
      <c r="G1026">
        <f t="shared" si="31"/>
        <v>2023</v>
      </c>
    </row>
    <row r="1027" spans="1:7" x14ac:dyDescent="0.25">
      <c r="A1027">
        <v>1012301</v>
      </c>
      <c r="B1027" s="1">
        <v>45078</v>
      </c>
      <c r="C1027" t="s">
        <v>47</v>
      </c>
      <c r="D1027">
        <v>100</v>
      </c>
      <c r="E1027" s="14">
        <v>125</v>
      </c>
      <c r="F1027" t="str">
        <f t="shared" ref="F1027:F1090" si="32">TEXT(B1027,"mmmm")</f>
        <v>junho</v>
      </c>
      <c r="G1027">
        <f t="shared" ref="G1027:G1090" si="33">YEAR(B1027)</f>
        <v>2023</v>
      </c>
    </row>
    <row r="1028" spans="1:7" x14ac:dyDescent="0.25">
      <c r="A1028">
        <v>1012400</v>
      </c>
      <c r="B1028" s="1">
        <v>45078</v>
      </c>
      <c r="C1028" t="s">
        <v>49</v>
      </c>
      <c r="D1028">
        <v>664.66</v>
      </c>
      <c r="E1028" s="14">
        <v>1057.24</v>
      </c>
      <c r="F1028" t="str">
        <f t="shared" si="32"/>
        <v>junho</v>
      </c>
      <c r="G1028">
        <f t="shared" si="33"/>
        <v>2023</v>
      </c>
    </row>
    <row r="1029" spans="1:7" x14ac:dyDescent="0.25">
      <c r="A1029">
        <v>1012500</v>
      </c>
      <c r="B1029" s="1">
        <v>45078</v>
      </c>
      <c r="C1029" t="s">
        <v>53</v>
      </c>
      <c r="D1029">
        <v>1172.8</v>
      </c>
      <c r="E1029" s="14">
        <v>471.47</v>
      </c>
      <c r="F1029" t="str">
        <f t="shared" si="32"/>
        <v>junho</v>
      </c>
      <c r="G1029">
        <f t="shared" si="33"/>
        <v>2023</v>
      </c>
    </row>
    <row r="1030" spans="1:7" x14ac:dyDescent="0.25">
      <c r="A1030">
        <v>1012601</v>
      </c>
      <c r="B1030" s="1">
        <v>45078</v>
      </c>
      <c r="C1030" t="s">
        <v>55</v>
      </c>
      <c r="D1030">
        <v>133</v>
      </c>
      <c r="E1030" s="14">
        <v>133</v>
      </c>
      <c r="F1030" t="str">
        <f t="shared" si="32"/>
        <v>junho</v>
      </c>
      <c r="G1030">
        <f t="shared" si="33"/>
        <v>2023</v>
      </c>
    </row>
    <row r="1031" spans="1:7" x14ac:dyDescent="0.25">
      <c r="A1031">
        <v>1012700</v>
      </c>
      <c r="B1031" s="1">
        <v>45078</v>
      </c>
      <c r="C1031" t="s">
        <v>630</v>
      </c>
      <c r="D1031">
        <v>29.8</v>
      </c>
      <c r="E1031" s="14">
        <v>38.74</v>
      </c>
      <c r="F1031" t="str">
        <f t="shared" si="32"/>
        <v>junho</v>
      </c>
      <c r="G1031">
        <f t="shared" si="33"/>
        <v>2023</v>
      </c>
    </row>
    <row r="1032" spans="1:7" x14ac:dyDescent="0.25">
      <c r="A1032">
        <v>1013100</v>
      </c>
      <c r="B1032" s="1">
        <v>45078</v>
      </c>
      <c r="C1032" t="s">
        <v>57</v>
      </c>
      <c r="D1032">
        <v>100.7</v>
      </c>
      <c r="E1032" s="14">
        <v>130.91</v>
      </c>
      <c r="F1032" t="str">
        <f t="shared" si="32"/>
        <v>junho</v>
      </c>
      <c r="G1032">
        <f t="shared" si="33"/>
        <v>2023</v>
      </c>
    </row>
    <row r="1033" spans="1:7" x14ac:dyDescent="0.25">
      <c r="A1033">
        <v>1013101</v>
      </c>
      <c r="B1033" s="1">
        <v>45078</v>
      </c>
      <c r="C1033" t="s">
        <v>346</v>
      </c>
      <c r="D1033">
        <v>4248</v>
      </c>
      <c r="E1033" s="14">
        <v>9770.4</v>
      </c>
      <c r="F1033" t="str">
        <f t="shared" si="32"/>
        <v>junho</v>
      </c>
      <c r="G1033">
        <f t="shared" si="33"/>
        <v>2023</v>
      </c>
    </row>
    <row r="1034" spans="1:7" x14ac:dyDescent="0.25">
      <c r="A1034">
        <v>1013200</v>
      </c>
      <c r="B1034" s="1">
        <v>45078</v>
      </c>
      <c r="C1034" t="s">
        <v>59</v>
      </c>
      <c r="D1034">
        <v>1034.5999999999999</v>
      </c>
      <c r="E1034" s="14">
        <v>1063.25</v>
      </c>
      <c r="F1034" t="str">
        <f t="shared" si="32"/>
        <v>junho</v>
      </c>
      <c r="G1034">
        <f t="shared" si="33"/>
        <v>2023</v>
      </c>
    </row>
    <row r="1035" spans="1:7" x14ac:dyDescent="0.25">
      <c r="A1035">
        <v>1013201</v>
      </c>
      <c r="B1035" s="1">
        <v>45078</v>
      </c>
      <c r="C1035" t="s">
        <v>347</v>
      </c>
      <c r="D1035">
        <v>500</v>
      </c>
      <c r="E1035" s="14">
        <v>650</v>
      </c>
      <c r="F1035" t="str">
        <f t="shared" si="32"/>
        <v>junho</v>
      </c>
      <c r="G1035">
        <f t="shared" si="33"/>
        <v>2023</v>
      </c>
    </row>
    <row r="1036" spans="1:7" x14ac:dyDescent="0.25">
      <c r="A1036">
        <v>1013202</v>
      </c>
      <c r="B1036" s="1">
        <v>45078</v>
      </c>
      <c r="C1036" t="s">
        <v>443</v>
      </c>
      <c r="D1036">
        <v>87.9</v>
      </c>
      <c r="E1036" s="14">
        <v>87.9</v>
      </c>
      <c r="F1036" t="str">
        <f t="shared" si="32"/>
        <v>junho</v>
      </c>
      <c r="G1036">
        <f t="shared" si="33"/>
        <v>2023</v>
      </c>
    </row>
    <row r="1037" spans="1:7" x14ac:dyDescent="0.25">
      <c r="A1037">
        <v>1013300</v>
      </c>
      <c r="B1037" s="1">
        <v>45078</v>
      </c>
      <c r="C1037" t="s">
        <v>348</v>
      </c>
      <c r="D1037">
        <v>862.4</v>
      </c>
      <c r="E1037" s="14">
        <v>258.72000000000003</v>
      </c>
      <c r="F1037" t="str">
        <f t="shared" si="32"/>
        <v>junho</v>
      </c>
      <c r="G1037">
        <f t="shared" si="33"/>
        <v>2023</v>
      </c>
    </row>
    <row r="1038" spans="1:7" x14ac:dyDescent="0.25">
      <c r="A1038">
        <v>1013500</v>
      </c>
      <c r="B1038" s="1">
        <v>45078</v>
      </c>
      <c r="C1038" t="s">
        <v>61</v>
      </c>
      <c r="D1038">
        <v>49.7</v>
      </c>
      <c r="E1038" s="14">
        <v>24.85</v>
      </c>
      <c r="F1038" t="str">
        <f t="shared" si="32"/>
        <v>junho</v>
      </c>
      <c r="G1038">
        <f t="shared" si="33"/>
        <v>2023</v>
      </c>
    </row>
    <row r="1039" spans="1:7" x14ac:dyDescent="0.25">
      <c r="A1039">
        <v>1100100</v>
      </c>
      <c r="B1039" s="1">
        <v>45078</v>
      </c>
      <c r="C1039" t="s">
        <v>63</v>
      </c>
      <c r="D1039">
        <v>64446.17</v>
      </c>
      <c r="E1039" s="14">
        <v>191798.31</v>
      </c>
      <c r="F1039" t="str">
        <f t="shared" si="32"/>
        <v>junho</v>
      </c>
      <c r="G1039">
        <f t="shared" si="33"/>
        <v>2023</v>
      </c>
    </row>
    <row r="1040" spans="1:7" x14ac:dyDescent="0.25">
      <c r="A1040">
        <v>1100101</v>
      </c>
      <c r="B1040" s="1">
        <v>45078</v>
      </c>
      <c r="C1040" t="s">
        <v>65</v>
      </c>
      <c r="D1040">
        <v>361.4</v>
      </c>
      <c r="E1040" s="14">
        <v>1109.5</v>
      </c>
      <c r="F1040" t="str">
        <f t="shared" si="32"/>
        <v>junho</v>
      </c>
      <c r="G1040">
        <f t="shared" si="33"/>
        <v>2023</v>
      </c>
    </row>
    <row r="1041" spans="1:7" x14ac:dyDescent="0.25">
      <c r="A1041">
        <v>1100200</v>
      </c>
      <c r="B1041" s="1">
        <v>45078</v>
      </c>
      <c r="C1041" t="s">
        <v>67</v>
      </c>
      <c r="D1041">
        <v>53201.49</v>
      </c>
      <c r="E1041" s="14">
        <v>175061.2</v>
      </c>
      <c r="F1041" t="str">
        <f t="shared" si="32"/>
        <v>junho</v>
      </c>
      <c r="G1041">
        <f t="shared" si="33"/>
        <v>2023</v>
      </c>
    </row>
    <row r="1042" spans="1:7" x14ac:dyDescent="0.25">
      <c r="A1042">
        <v>1100300</v>
      </c>
      <c r="B1042" s="1">
        <v>45078</v>
      </c>
      <c r="C1042" t="s">
        <v>69</v>
      </c>
      <c r="D1042">
        <v>16257.16</v>
      </c>
      <c r="E1042" s="14">
        <v>53281.17</v>
      </c>
      <c r="F1042" t="str">
        <f t="shared" si="32"/>
        <v>junho</v>
      </c>
      <c r="G1042">
        <f t="shared" si="33"/>
        <v>2023</v>
      </c>
    </row>
    <row r="1043" spans="1:7" x14ac:dyDescent="0.25">
      <c r="A1043">
        <v>1100301</v>
      </c>
      <c r="B1043" s="1">
        <v>45078</v>
      </c>
      <c r="C1043" t="s">
        <v>71</v>
      </c>
      <c r="D1043">
        <v>3758.5</v>
      </c>
      <c r="E1043" s="14">
        <v>12726.53</v>
      </c>
      <c r="F1043" t="str">
        <f t="shared" si="32"/>
        <v>junho</v>
      </c>
      <c r="G1043">
        <f t="shared" si="33"/>
        <v>2023</v>
      </c>
    </row>
    <row r="1044" spans="1:7" x14ac:dyDescent="0.25">
      <c r="A1044">
        <v>1100400</v>
      </c>
      <c r="B1044" s="1">
        <v>45078</v>
      </c>
      <c r="C1044" t="s">
        <v>73</v>
      </c>
      <c r="D1044">
        <v>11947.11</v>
      </c>
      <c r="E1044" s="14">
        <v>36180.480000000003</v>
      </c>
      <c r="F1044" t="str">
        <f t="shared" si="32"/>
        <v>junho</v>
      </c>
      <c r="G1044">
        <f t="shared" si="33"/>
        <v>2023</v>
      </c>
    </row>
    <row r="1045" spans="1:7" x14ac:dyDescent="0.25">
      <c r="A1045">
        <v>1100500</v>
      </c>
      <c r="B1045" s="1">
        <v>45078</v>
      </c>
      <c r="C1045" t="s">
        <v>75</v>
      </c>
      <c r="D1045">
        <v>159.82</v>
      </c>
      <c r="E1045" s="14">
        <v>516.04999999999995</v>
      </c>
      <c r="F1045" t="str">
        <f t="shared" si="32"/>
        <v>junho</v>
      </c>
      <c r="G1045">
        <f t="shared" si="33"/>
        <v>2023</v>
      </c>
    </row>
    <row r="1046" spans="1:7" x14ac:dyDescent="0.25">
      <c r="A1046">
        <v>1100600</v>
      </c>
      <c r="B1046" s="1">
        <v>45078</v>
      </c>
      <c r="C1046" t="s">
        <v>77</v>
      </c>
      <c r="D1046">
        <v>8254.9</v>
      </c>
      <c r="E1046" s="14">
        <v>30134.560000000001</v>
      </c>
      <c r="F1046" t="str">
        <f t="shared" si="32"/>
        <v>junho</v>
      </c>
      <c r="G1046">
        <f t="shared" si="33"/>
        <v>2023</v>
      </c>
    </row>
    <row r="1047" spans="1:7" x14ac:dyDescent="0.25">
      <c r="A1047">
        <v>1100602</v>
      </c>
      <c r="B1047" s="1">
        <v>45078</v>
      </c>
      <c r="C1047" t="s">
        <v>79</v>
      </c>
      <c r="D1047">
        <v>209.34</v>
      </c>
      <c r="E1047" s="14">
        <v>1207.3599999999999</v>
      </c>
      <c r="F1047" t="str">
        <f t="shared" si="32"/>
        <v>junho</v>
      </c>
      <c r="G1047">
        <f t="shared" si="33"/>
        <v>2023</v>
      </c>
    </row>
    <row r="1048" spans="1:7" x14ac:dyDescent="0.25">
      <c r="A1048">
        <v>1100603</v>
      </c>
      <c r="B1048" s="1">
        <v>45078</v>
      </c>
      <c r="C1048" t="s">
        <v>304</v>
      </c>
      <c r="D1048">
        <v>350</v>
      </c>
      <c r="E1048" s="14">
        <v>2049</v>
      </c>
      <c r="F1048" t="str">
        <f t="shared" si="32"/>
        <v>junho</v>
      </c>
      <c r="G1048">
        <f t="shared" si="33"/>
        <v>2023</v>
      </c>
    </row>
    <row r="1049" spans="1:7" x14ac:dyDescent="0.25">
      <c r="A1049">
        <v>1100605</v>
      </c>
      <c r="B1049" s="1">
        <v>45078</v>
      </c>
      <c r="C1049" t="s">
        <v>631</v>
      </c>
      <c r="D1049">
        <v>917.64</v>
      </c>
      <c r="E1049" s="14">
        <v>3367.41</v>
      </c>
      <c r="F1049" t="str">
        <f t="shared" si="32"/>
        <v>junho</v>
      </c>
      <c r="G1049">
        <f t="shared" si="33"/>
        <v>2023</v>
      </c>
    </row>
    <row r="1050" spans="1:7" x14ac:dyDescent="0.25">
      <c r="A1050">
        <v>1100608</v>
      </c>
      <c r="B1050" s="1">
        <v>45078</v>
      </c>
      <c r="C1050" t="s">
        <v>349</v>
      </c>
      <c r="D1050">
        <v>14894.46</v>
      </c>
      <c r="E1050" s="14">
        <v>53427.8</v>
      </c>
      <c r="F1050" t="str">
        <f t="shared" si="32"/>
        <v>junho</v>
      </c>
      <c r="G1050">
        <f t="shared" si="33"/>
        <v>2023</v>
      </c>
    </row>
    <row r="1051" spans="1:7" x14ac:dyDescent="0.25">
      <c r="A1051">
        <v>1100700</v>
      </c>
      <c r="B1051" s="1">
        <v>45078</v>
      </c>
      <c r="C1051" t="s">
        <v>83</v>
      </c>
      <c r="D1051">
        <v>16281.93</v>
      </c>
      <c r="E1051" s="14">
        <v>58571.47</v>
      </c>
      <c r="F1051" t="str">
        <f t="shared" si="32"/>
        <v>junho</v>
      </c>
      <c r="G1051">
        <f t="shared" si="33"/>
        <v>2023</v>
      </c>
    </row>
    <row r="1052" spans="1:7" x14ac:dyDescent="0.25">
      <c r="A1052">
        <v>1100703</v>
      </c>
      <c r="B1052" s="1">
        <v>45078</v>
      </c>
      <c r="C1052" t="s">
        <v>86</v>
      </c>
      <c r="D1052">
        <v>2474.2800000000002</v>
      </c>
      <c r="E1052" s="14">
        <v>10455.81</v>
      </c>
      <c r="F1052" t="str">
        <f t="shared" si="32"/>
        <v>junho</v>
      </c>
      <c r="G1052">
        <f t="shared" si="33"/>
        <v>2023</v>
      </c>
    </row>
    <row r="1053" spans="1:7" x14ac:dyDescent="0.25">
      <c r="A1053">
        <v>1100705</v>
      </c>
      <c r="B1053" s="1">
        <v>45078</v>
      </c>
      <c r="C1053" t="s">
        <v>88</v>
      </c>
      <c r="D1053">
        <v>161.34</v>
      </c>
      <c r="E1053" s="14">
        <v>254.92</v>
      </c>
      <c r="F1053" t="str">
        <f t="shared" si="32"/>
        <v>junho</v>
      </c>
      <c r="G1053">
        <f t="shared" si="33"/>
        <v>2023</v>
      </c>
    </row>
    <row r="1054" spans="1:7" x14ac:dyDescent="0.25">
      <c r="A1054">
        <v>1100800</v>
      </c>
      <c r="B1054" s="1">
        <v>45078</v>
      </c>
      <c r="C1054" t="s">
        <v>90</v>
      </c>
      <c r="D1054">
        <v>12289.47</v>
      </c>
      <c r="E1054" s="14">
        <v>41514.22</v>
      </c>
      <c r="F1054" t="str">
        <f t="shared" si="32"/>
        <v>junho</v>
      </c>
      <c r="G1054">
        <f t="shared" si="33"/>
        <v>2023</v>
      </c>
    </row>
    <row r="1055" spans="1:7" x14ac:dyDescent="0.25">
      <c r="A1055">
        <v>1100802</v>
      </c>
      <c r="B1055" s="1">
        <v>45078</v>
      </c>
      <c r="C1055" t="s">
        <v>306</v>
      </c>
      <c r="D1055">
        <v>391.2</v>
      </c>
      <c r="E1055" s="14">
        <v>1339.75</v>
      </c>
      <c r="F1055" t="str">
        <f t="shared" si="32"/>
        <v>junho</v>
      </c>
      <c r="G1055">
        <f t="shared" si="33"/>
        <v>2023</v>
      </c>
    </row>
    <row r="1056" spans="1:7" x14ac:dyDescent="0.25">
      <c r="A1056">
        <v>1100900</v>
      </c>
      <c r="B1056" s="1">
        <v>45078</v>
      </c>
      <c r="C1056" t="s">
        <v>94</v>
      </c>
      <c r="D1056">
        <v>652.17999999999995</v>
      </c>
      <c r="E1056" s="14">
        <v>4100.29</v>
      </c>
      <c r="F1056" t="str">
        <f t="shared" si="32"/>
        <v>junho</v>
      </c>
      <c r="G1056">
        <f t="shared" si="33"/>
        <v>2023</v>
      </c>
    </row>
    <row r="1057" spans="1:7" x14ac:dyDescent="0.25">
      <c r="A1057">
        <v>1101000</v>
      </c>
      <c r="B1057" s="1">
        <v>45078</v>
      </c>
      <c r="C1057" t="s">
        <v>96</v>
      </c>
      <c r="D1057">
        <v>11221.26</v>
      </c>
      <c r="E1057" s="14">
        <v>43685.5</v>
      </c>
      <c r="F1057" t="str">
        <f t="shared" si="32"/>
        <v>junho</v>
      </c>
      <c r="G1057">
        <f t="shared" si="33"/>
        <v>2023</v>
      </c>
    </row>
    <row r="1058" spans="1:7" x14ac:dyDescent="0.25">
      <c r="A1058">
        <v>1101001</v>
      </c>
      <c r="B1058" s="1">
        <v>45078</v>
      </c>
      <c r="C1058" t="s">
        <v>98</v>
      </c>
      <c r="D1058">
        <v>101.6</v>
      </c>
      <c r="E1058" s="14">
        <v>457.2</v>
      </c>
      <c r="F1058" t="str">
        <f t="shared" si="32"/>
        <v>junho</v>
      </c>
      <c r="G1058">
        <f t="shared" si="33"/>
        <v>2023</v>
      </c>
    </row>
    <row r="1059" spans="1:7" x14ac:dyDescent="0.25">
      <c r="A1059">
        <v>1101100</v>
      </c>
      <c r="B1059" s="1">
        <v>45078</v>
      </c>
      <c r="C1059" t="s">
        <v>100</v>
      </c>
      <c r="D1059">
        <v>47629.73</v>
      </c>
      <c r="E1059" s="14">
        <v>181472.22</v>
      </c>
      <c r="F1059" t="str">
        <f t="shared" si="32"/>
        <v>junho</v>
      </c>
      <c r="G1059">
        <f t="shared" si="33"/>
        <v>2023</v>
      </c>
    </row>
    <row r="1060" spans="1:7" x14ac:dyDescent="0.25">
      <c r="A1060">
        <v>1101105</v>
      </c>
      <c r="B1060" s="1">
        <v>45078</v>
      </c>
      <c r="C1060" t="s">
        <v>542</v>
      </c>
      <c r="D1060">
        <v>381.44</v>
      </c>
      <c r="E1060" s="14">
        <v>1869.06</v>
      </c>
      <c r="F1060" t="str">
        <f t="shared" si="32"/>
        <v>junho</v>
      </c>
      <c r="G1060">
        <f t="shared" si="33"/>
        <v>2023</v>
      </c>
    </row>
    <row r="1061" spans="1:7" x14ac:dyDescent="0.25">
      <c r="A1061">
        <v>1101300</v>
      </c>
      <c r="B1061" s="1">
        <v>45078</v>
      </c>
      <c r="C1061" t="s">
        <v>102</v>
      </c>
      <c r="D1061">
        <v>181.5</v>
      </c>
      <c r="E1061" s="14">
        <v>792.8</v>
      </c>
      <c r="F1061" t="str">
        <f t="shared" si="32"/>
        <v>junho</v>
      </c>
      <c r="G1061">
        <f t="shared" si="33"/>
        <v>2023</v>
      </c>
    </row>
    <row r="1062" spans="1:7" x14ac:dyDescent="0.25">
      <c r="A1062">
        <v>1101400</v>
      </c>
      <c r="B1062" s="1">
        <v>45078</v>
      </c>
      <c r="C1062" t="s">
        <v>104</v>
      </c>
      <c r="D1062">
        <v>9036.68</v>
      </c>
      <c r="E1062" s="14">
        <v>27316.880000000001</v>
      </c>
      <c r="F1062" t="str">
        <f t="shared" si="32"/>
        <v>junho</v>
      </c>
      <c r="G1062">
        <f t="shared" si="33"/>
        <v>2023</v>
      </c>
    </row>
    <row r="1063" spans="1:7" x14ac:dyDescent="0.25">
      <c r="A1063">
        <v>1101500</v>
      </c>
      <c r="B1063" s="1">
        <v>45078</v>
      </c>
      <c r="C1063" t="s">
        <v>106</v>
      </c>
      <c r="D1063">
        <v>942.2</v>
      </c>
      <c r="E1063" s="14">
        <v>2809.34</v>
      </c>
      <c r="F1063" t="str">
        <f t="shared" si="32"/>
        <v>junho</v>
      </c>
      <c r="G1063">
        <f t="shared" si="33"/>
        <v>2023</v>
      </c>
    </row>
    <row r="1064" spans="1:7" x14ac:dyDescent="0.25">
      <c r="A1064">
        <v>1101600</v>
      </c>
      <c r="B1064" s="1">
        <v>45078</v>
      </c>
      <c r="C1064" t="s">
        <v>108</v>
      </c>
      <c r="D1064">
        <v>43.7</v>
      </c>
      <c r="E1064" s="14">
        <v>135.13</v>
      </c>
      <c r="F1064" t="str">
        <f t="shared" si="32"/>
        <v>junho</v>
      </c>
      <c r="G1064">
        <f t="shared" si="33"/>
        <v>2023</v>
      </c>
    </row>
    <row r="1065" spans="1:7" x14ac:dyDescent="0.25">
      <c r="A1065">
        <v>1101700</v>
      </c>
      <c r="B1065" s="1">
        <v>45078</v>
      </c>
      <c r="C1065" t="s">
        <v>110</v>
      </c>
      <c r="D1065">
        <v>5790</v>
      </c>
      <c r="E1065" s="14">
        <v>17063.509999999998</v>
      </c>
      <c r="F1065" t="str">
        <f t="shared" si="32"/>
        <v>junho</v>
      </c>
      <c r="G1065">
        <f t="shared" si="33"/>
        <v>2023</v>
      </c>
    </row>
    <row r="1066" spans="1:7" x14ac:dyDescent="0.25">
      <c r="A1066">
        <v>1101801</v>
      </c>
      <c r="B1066" s="1">
        <v>45078</v>
      </c>
      <c r="C1066" t="s">
        <v>112</v>
      </c>
      <c r="D1066">
        <v>1632.58</v>
      </c>
      <c r="E1066" s="14">
        <v>4680.17</v>
      </c>
      <c r="F1066" t="str">
        <f t="shared" si="32"/>
        <v>junho</v>
      </c>
      <c r="G1066">
        <f t="shared" si="33"/>
        <v>2023</v>
      </c>
    </row>
    <row r="1067" spans="1:7" x14ac:dyDescent="0.25">
      <c r="A1067">
        <v>1101900</v>
      </c>
      <c r="B1067" s="1">
        <v>45078</v>
      </c>
      <c r="C1067" t="s">
        <v>114</v>
      </c>
      <c r="D1067">
        <v>10209.34</v>
      </c>
      <c r="E1067" s="14">
        <v>35691.49</v>
      </c>
      <c r="F1067" t="str">
        <f t="shared" si="32"/>
        <v>junho</v>
      </c>
      <c r="G1067">
        <f t="shared" si="33"/>
        <v>2023</v>
      </c>
    </row>
    <row r="1068" spans="1:7" x14ac:dyDescent="0.25">
      <c r="A1068">
        <v>1101901</v>
      </c>
      <c r="B1068" s="1">
        <v>45078</v>
      </c>
      <c r="C1068" t="s">
        <v>448</v>
      </c>
      <c r="D1068">
        <v>1562.7</v>
      </c>
      <c r="E1068" s="14">
        <v>5349.62</v>
      </c>
      <c r="F1068" t="str">
        <f t="shared" si="32"/>
        <v>junho</v>
      </c>
      <c r="G1068">
        <f t="shared" si="33"/>
        <v>2023</v>
      </c>
    </row>
    <row r="1069" spans="1:7" x14ac:dyDescent="0.25">
      <c r="A1069">
        <v>1101906</v>
      </c>
      <c r="B1069" s="1">
        <v>45078</v>
      </c>
      <c r="C1069" t="s">
        <v>632</v>
      </c>
      <c r="D1069">
        <v>321.87</v>
      </c>
      <c r="E1069" s="14">
        <v>1094.3599999999999</v>
      </c>
      <c r="F1069" t="str">
        <f t="shared" si="32"/>
        <v>junho</v>
      </c>
      <c r="G1069">
        <f t="shared" si="33"/>
        <v>2023</v>
      </c>
    </row>
    <row r="1070" spans="1:7" x14ac:dyDescent="0.25">
      <c r="A1070">
        <v>1102000</v>
      </c>
      <c r="B1070" s="1">
        <v>45078</v>
      </c>
      <c r="C1070" t="s">
        <v>115</v>
      </c>
      <c r="D1070">
        <v>9.6999999999999993</v>
      </c>
      <c r="E1070" s="14">
        <v>41.71</v>
      </c>
      <c r="F1070" t="str">
        <f t="shared" si="32"/>
        <v>junho</v>
      </c>
      <c r="G1070">
        <f t="shared" si="33"/>
        <v>2023</v>
      </c>
    </row>
    <row r="1071" spans="1:7" x14ac:dyDescent="0.25">
      <c r="A1071">
        <v>1102200</v>
      </c>
      <c r="B1071" s="1">
        <v>45078</v>
      </c>
      <c r="C1071" t="s">
        <v>117</v>
      </c>
      <c r="D1071">
        <v>36.4</v>
      </c>
      <c r="E1071" s="14">
        <v>135.41</v>
      </c>
      <c r="F1071" t="str">
        <f t="shared" si="32"/>
        <v>junho</v>
      </c>
      <c r="G1071">
        <f t="shared" si="33"/>
        <v>2023</v>
      </c>
    </row>
    <row r="1072" spans="1:7" x14ac:dyDescent="0.25">
      <c r="A1072">
        <v>1102300</v>
      </c>
      <c r="B1072" s="1">
        <v>45078</v>
      </c>
      <c r="C1072" t="s">
        <v>119</v>
      </c>
      <c r="D1072">
        <v>7583</v>
      </c>
      <c r="E1072" s="14">
        <v>24515.54</v>
      </c>
      <c r="F1072" t="str">
        <f t="shared" si="32"/>
        <v>junho</v>
      </c>
      <c r="G1072">
        <f t="shared" si="33"/>
        <v>2023</v>
      </c>
    </row>
    <row r="1073" spans="1:7" x14ac:dyDescent="0.25">
      <c r="A1073">
        <v>1103000</v>
      </c>
      <c r="B1073" s="1">
        <v>45078</v>
      </c>
      <c r="C1073" t="s">
        <v>121</v>
      </c>
      <c r="D1073">
        <v>179</v>
      </c>
      <c r="E1073" s="14">
        <v>363.48</v>
      </c>
      <c r="F1073" t="str">
        <f t="shared" si="32"/>
        <v>junho</v>
      </c>
      <c r="G1073">
        <f t="shared" si="33"/>
        <v>2023</v>
      </c>
    </row>
    <row r="1074" spans="1:7" x14ac:dyDescent="0.25">
      <c r="A1074">
        <v>1103001</v>
      </c>
      <c r="B1074" s="1">
        <v>45078</v>
      </c>
      <c r="C1074" t="s">
        <v>123</v>
      </c>
      <c r="D1074">
        <v>24.49</v>
      </c>
      <c r="E1074" s="14">
        <v>46.53</v>
      </c>
      <c r="F1074" t="str">
        <f t="shared" si="32"/>
        <v>junho</v>
      </c>
      <c r="G1074">
        <f t="shared" si="33"/>
        <v>2023</v>
      </c>
    </row>
    <row r="1075" spans="1:7" x14ac:dyDescent="0.25">
      <c r="A1075">
        <v>2010900</v>
      </c>
      <c r="B1075" s="1">
        <v>45078</v>
      </c>
      <c r="C1075" t="s">
        <v>125</v>
      </c>
      <c r="D1075">
        <v>20</v>
      </c>
      <c r="E1075" s="14">
        <v>30</v>
      </c>
      <c r="F1075" t="str">
        <f t="shared" si="32"/>
        <v>junho</v>
      </c>
      <c r="G1075">
        <f t="shared" si="33"/>
        <v>2023</v>
      </c>
    </row>
    <row r="1076" spans="1:7" x14ac:dyDescent="0.25">
      <c r="A1076">
        <v>2010902</v>
      </c>
      <c r="B1076" s="1">
        <v>45078</v>
      </c>
      <c r="C1076" t="s">
        <v>127</v>
      </c>
      <c r="D1076">
        <v>22.5</v>
      </c>
      <c r="E1076" s="14">
        <v>21</v>
      </c>
      <c r="F1076" t="str">
        <f t="shared" si="32"/>
        <v>junho</v>
      </c>
      <c r="G1076">
        <f t="shared" si="33"/>
        <v>2023</v>
      </c>
    </row>
    <row r="1077" spans="1:7" x14ac:dyDescent="0.25">
      <c r="A1077">
        <v>2010904</v>
      </c>
      <c r="B1077" s="1">
        <v>45078</v>
      </c>
      <c r="C1077" t="s">
        <v>633</v>
      </c>
      <c r="D1077">
        <v>340</v>
      </c>
      <c r="E1077" s="14">
        <v>356</v>
      </c>
      <c r="F1077" t="str">
        <f t="shared" si="32"/>
        <v>junho</v>
      </c>
      <c r="G1077">
        <f t="shared" si="33"/>
        <v>2023</v>
      </c>
    </row>
    <row r="1078" spans="1:7" x14ac:dyDescent="0.25">
      <c r="A1078">
        <v>2010905</v>
      </c>
      <c r="B1078" s="1">
        <v>45078</v>
      </c>
      <c r="C1078" t="s">
        <v>544</v>
      </c>
      <c r="D1078">
        <v>70</v>
      </c>
      <c r="E1078" s="14">
        <v>60.75</v>
      </c>
      <c r="F1078" t="str">
        <f t="shared" si="32"/>
        <v>junho</v>
      </c>
      <c r="G1078">
        <f t="shared" si="33"/>
        <v>2023</v>
      </c>
    </row>
    <row r="1079" spans="1:7" x14ac:dyDescent="0.25">
      <c r="A1079">
        <v>2011700</v>
      </c>
      <c r="B1079" s="1">
        <v>45078</v>
      </c>
      <c r="C1079" t="s">
        <v>129</v>
      </c>
      <c r="D1079">
        <v>24.7</v>
      </c>
      <c r="E1079" s="14">
        <v>71.290000000000006</v>
      </c>
      <c r="F1079" t="str">
        <f t="shared" si="32"/>
        <v>junho</v>
      </c>
      <c r="G1079">
        <f t="shared" si="33"/>
        <v>2023</v>
      </c>
    </row>
    <row r="1080" spans="1:7" x14ac:dyDescent="0.25">
      <c r="A1080">
        <v>2090002</v>
      </c>
      <c r="B1080" s="1">
        <v>45078</v>
      </c>
      <c r="C1080" t="s">
        <v>451</v>
      </c>
      <c r="D1080">
        <v>178.71</v>
      </c>
      <c r="E1080" s="14">
        <v>761.52</v>
      </c>
      <c r="F1080" t="str">
        <f t="shared" si="32"/>
        <v>junho</v>
      </c>
      <c r="G1080">
        <f t="shared" si="33"/>
        <v>2023</v>
      </c>
    </row>
    <row r="1081" spans="1:7" x14ac:dyDescent="0.25">
      <c r="A1081">
        <v>2101100</v>
      </c>
      <c r="B1081" s="1">
        <v>45078</v>
      </c>
      <c r="C1081" t="s">
        <v>453</v>
      </c>
      <c r="D1081">
        <v>100</v>
      </c>
      <c r="E1081" s="14">
        <v>450</v>
      </c>
      <c r="F1081" t="str">
        <f t="shared" si="32"/>
        <v>junho</v>
      </c>
      <c r="G1081">
        <f t="shared" si="33"/>
        <v>2023</v>
      </c>
    </row>
    <row r="1082" spans="1:7" x14ac:dyDescent="0.25">
      <c r="A1082">
        <v>3020103</v>
      </c>
      <c r="B1082" s="1">
        <v>45078</v>
      </c>
      <c r="C1082" t="s">
        <v>131</v>
      </c>
      <c r="D1082">
        <v>8281.69</v>
      </c>
      <c r="E1082" s="14">
        <v>27021.040000000001</v>
      </c>
      <c r="F1082" t="str">
        <f t="shared" si="32"/>
        <v>junho</v>
      </c>
      <c r="G1082">
        <f t="shared" si="33"/>
        <v>2023</v>
      </c>
    </row>
    <row r="1083" spans="1:7" x14ac:dyDescent="0.25">
      <c r="A1083">
        <v>3020212</v>
      </c>
      <c r="B1083" s="1">
        <v>45078</v>
      </c>
      <c r="C1083" t="s">
        <v>133</v>
      </c>
      <c r="D1083">
        <v>2647.84</v>
      </c>
      <c r="E1083" s="14">
        <v>9866.57</v>
      </c>
      <c r="F1083" t="str">
        <f t="shared" si="32"/>
        <v>junho</v>
      </c>
      <c r="G1083">
        <f t="shared" si="33"/>
        <v>2023</v>
      </c>
    </row>
    <row r="1084" spans="1:7" x14ac:dyDescent="0.25">
      <c r="A1084">
        <v>3020214</v>
      </c>
      <c r="B1084" s="1">
        <v>45078</v>
      </c>
      <c r="C1084" t="s">
        <v>634</v>
      </c>
      <c r="D1084">
        <v>1328.66</v>
      </c>
      <c r="E1084" s="14">
        <v>4743.53</v>
      </c>
      <c r="F1084" t="str">
        <f t="shared" si="32"/>
        <v>junho</v>
      </c>
      <c r="G1084">
        <f t="shared" si="33"/>
        <v>2023</v>
      </c>
    </row>
    <row r="1085" spans="1:7" x14ac:dyDescent="0.25">
      <c r="A1085">
        <v>3020315</v>
      </c>
      <c r="B1085" s="1">
        <v>45078</v>
      </c>
      <c r="C1085" t="s">
        <v>137</v>
      </c>
      <c r="D1085">
        <v>4114.6099999999997</v>
      </c>
      <c r="E1085" s="14">
        <v>14985.47</v>
      </c>
      <c r="F1085" t="str">
        <f t="shared" si="32"/>
        <v>junho</v>
      </c>
      <c r="G1085">
        <f t="shared" si="33"/>
        <v>2023</v>
      </c>
    </row>
    <row r="1086" spans="1:7" x14ac:dyDescent="0.25">
      <c r="A1086">
        <v>3020316</v>
      </c>
      <c r="B1086" s="1">
        <v>45078</v>
      </c>
      <c r="C1086" t="s">
        <v>139</v>
      </c>
      <c r="D1086">
        <v>95.96</v>
      </c>
      <c r="E1086" s="14">
        <v>305.16000000000003</v>
      </c>
      <c r="F1086" t="str">
        <f t="shared" si="32"/>
        <v>junho</v>
      </c>
      <c r="G1086">
        <f t="shared" si="33"/>
        <v>2023</v>
      </c>
    </row>
    <row r="1087" spans="1:7" x14ac:dyDescent="0.25">
      <c r="A1087">
        <v>3020402</v>
      </c>
      <c r="B1087" s="1">
        <v>45078</v>
      </c>
      <c r="C1087" t="s">
        <v>141</v>
      </c>
      <c r="D1087">
        <v>2167.62</v>
      </c>
      <c r="E1087" s="14">
        <v>7682.54</v>
      </c>
      <c r="F1087" t="str">
        <f t="shared" si="32"/>
        <v>junho</v>
      </c>
      <c r="G1087">
        <f t="shared" si="33"/>
        <v>2023</v>
      </c>
    </row>
    <row r="1088" spans="1:7" x14ac:dyDescent="0.25">
      <c r="A1088">
        <v>3020504</v>
      </c>
      <c r="B1088" s="1">
        <v>45078</v>
      </c>
      <c r="C1088" t="s">
        <v>143</v>
      </c>
      <c r="D1088">
        <v>564.16</v>
      </c>
      <c r="E1088" s="14">
        <v>2135.06</v>
      </c>
      <c r="F1088" t="str">
        <f t="shared" si="32"/>
        <v>junho</v>
      </c>
      <c r="G1088">
        <f t="shared" si="33"/>
        <v>2023</v>
      </c>
    </row>
    <row r="1089" spans="1:7" x14ac:dyDescent="0.25">
      <c r="A1089">
        <v>3020622</v>
      </c>
      <c r="B1089" s="1">
        <v>45078</v>
      </c>
      <c r="C1089" t="s">
        <v>145</v>
      </c>
      <c r="D1089">
        <v>5660.88</v>
      </c>
      <c r="E1089" s="14">
        <v>20902.91</v>
      </c>
      <c r="F1089" t="str">
        <f t="shared" si="32"/>
        <v>junho</v>
      </c>
      <c r="G1089">
        <f t="shared" si="33"/>
        <v>2023</v>
      </c>
    </row>
    <row r="1090" spans="1:7" x14ac:dyDescent="0.25">
      <c r="A1090">
        <v>3020623</v>
      </c>
      <c r="B1090" s="1">
        <v>45078</v>
      </c>
      <c r="C1090" t="s">
        <v>147</v>
      </c>
      <c r="D1090">
        <v>876.12</v>
      </c>
      <c r="E1090" s="14">
        <v>3410.33</v>
      </c>
      <c r="F1090" t="str">
        <f t="shared" si="32"/>
        <v>junho</v>
      </c>
      <c r="G1090">
        <f t="shared" si="33"/>
        <v>2023</v>
      </c>
    </row>
    <row r="1091" spans="1:7" x14ac:dyDescent="0.25">
      <c r="A1091">
        <v>3020725</v>
      </c>
      <c r="B1091" s="1">
        <v>45078</v>
      </c>
      <c r="C1091" t="s">
        <v>149</v>
      </c>
      <c r="D1091">
        <v>335.71</v>
      </c>
      <c r="E1091" s="14">
        <v>1287.1600000000001</v>
      </c>
      <c r="F1091" t="str">
        <f t="shared" ref="F1091:F1154" si="34">TEXT(B1091,"mmmm")</f>
        <v>junho</v>
      </c>
      <c r="G1091">
        <f t="shared" ref="G1091:G1154" si="35">YEAR(B1091)</f>
        <v>2023</v>
      </c>
    </row>
    <row r="1092" spans="1:7" x14ac:dyDescent="0.25">
      <c r="A1092">
        <v>3020823</v>
      </c>
      <c r="B1092" s="1">
        <v>45078</v>
      </c>
      <c r="C1092" t="s">
        <v>151</v>
      </c>
      <c r="D1092">
        <v>1259.3900000000001</v>
      </c>
      <c r="E1092" s="14">
        <v>4805.47</v>
      </c>
      <c r="F1092" t="str">
        <f t="shared" si="34"/>
        <v>junho</v>
      </c>
      <c r="G1092">
        <f t="shared" si="35"/>
        <v>2023</v>
      </c>
    </row>
    <row r="1093" spans="1:7" x14ac:dyDescent="0.25">
      <c r="A1093">
        <v>3020824</v>
      </c>
      <c r="B1093" s="1">
        <v>45078</v>
      </c>
      <c r="C1093" t="s">
        <v>153</v>
      </c>
      <c r="D1093">
        <v>2300.6999999999998</v>
      </c>
      <c r="E1093" s="14">
        <v>8550.35</v>
      </c>
      <c r="F1093" t="str">
        <f t="shared" si="34"/>
        <v>junho</v>
      </c>
      <c r="G1093">
        <f t="shared" si="35"/>
        <v>2023</v>
      </c>
    </row>
    <row r="1094" spans="1:7" x14ac:dyDescent="0.25">
      <c r="A1094">
        <v>3020825</v>
      </c>
      <c r="B1094" s="1">
        <v>45078</v>
      </c>
      <c r="C1094" t="s">
        <v>455</v>
      </c>
      <c r="D1094">
        <v>294.42</v>
      </c>
      <c r="E1094" s="14">
        <v>1207.1500000000001</v>
      </c>
      <c r="F1094" t="str">
        <f t="shared" si="34"/>
        <v>junho</v>
      </c>
      <c r="G1094">
        <f t="shared" si="35"/>
        <v>2023</v>
      </c>
    </row>
    <row r="1095" spans="1:7" x14ac:dyDescent="0.25">
      <c r="A1095">
        <v>3020924</v>
      </c>
      <c r="B1095" s="1">
        <v>45078</v>
      </c>
      <c r="C1095" t="s">
        <v>155</v>
      </c>
      <c r="D1095">
        <v>1392.3</v>
      </c>
      <c r="E1095" s="14">
        <v>5423.31</v>
      </c>
      <c r="F1095" t="str">
        <f t="shared" si="34"/>
        <v>junho</v>
      </c>
      <c r="G1095">
        <f t="shared" si="35"/>
        <v>2023</v>
      </c>
    </row>
    <row r="1096" spans="1:7" x14ac:dyDescent="0.25">
      <c r="A1096">
        <v>3020925</v>
      </c>
      <c r="B1096" s="1">
        <v>45078</v>
      </c>
      <c r="C1096" t="s">
        <v>157</v>
      </c>
      <c r="D1096">
        <v>2514.4499999999998</v>
      </c>
      <c r="E1096" s="14">
        <v>9622.91</v>
      </c>
      <c r="F1096" t="str">
        <f t="shared" si="34"/>
        <v>junho</v>
      </c>
      <c r="G1096">
        <f t="shared" si="35"/>
        <v>2023</v>
      </c>
    </row>
    <row r="1097" spans="1:7" x14ac:dyDescent="0.25">
      <c r="A1097">
        <v>3021435</v>
      </c>
      <c r="B1097" s="1">
        <v>45078</v>
      </c>
      <c r="C1097" t="s">
        <v>159</v>
      </c>
      <c r="D1097">
        <v>22.7</v>
      </c>
      <c r="E1097" s="14">
        <v>69.239999999999995</v>
      </c>
      <c r="F1097" t="str">
        <f t="shared" si="34"/>
        <v>junho</v>
      </c>
      <c r="G1097">
        <f t="shared" si="35"/>
        <v>2023</v>
      </c>
    </row>
    <row r="1098" spans="1:7" x14ac:dyDescent="0.25">
      <c r="A1098">
        <v>3021436</v>
      </c>
      <c r="B1098" s="1">
        <v>45078</v>
      </c>
      <c r="C1098" t="s">
        <v>546</v>
      </c>
      <c r="D1098">
        <v>860.45</v>
      </c>
      <c r="E1098" s="14">
        <v>2755.8</v>
      </c>
      <c r="F1098" t="str">
        <f t="shared" si="34"/>
        <v>junho</v>
      </c>
      <c r="G1098">
        <f t="shared" si="35"/>
        <v>2023</v>
      </c>
    </row>
    <row r="1099" spans="1:7" x14ac:dyDescent="0.25">
      <c r="A1099">
        <v>3021537</v>
      </c>
      <c r="B1099" s="1">
        <v>45078</v>
      </c>
      <c r="C1099" t="s">
        <v>161</v>
      </c>
      <c r="D1099">
        <v>7.64</v>
      </c>
      <c r="E1099" s="14">
        <v>25.21</v>
      </c>
      <c r="F1099" t="str">
        <f t="shared" si="34"/>
        <v>junho</v>
      </c>
      <c r="G1099">
        <f t="shared" si="35"/>
        <v>2023</v>
      </c>
    </row>
    <row r="1100" spans="1:7" x14ac:dyDescent="0.25">
      <c r="A1100">
        <v>3021538</v>
      </c>
      <c r="B1100" s="1">
        <v>45078</v>
      </c>
      <c r="C1100" t="s">
        <v>548</v>
      </c>
      <c r="D1100">
        <v>122.08</v>
      </c>
      <c r="E1100" s="14">
        <v>371.12</v>
      </c>
      <c r="F1100" t="str">
        <f t="shared" si="34"/>
        <v>junho</v>
      </c>
      <c r="G1100">
        <f t="shared" si="35"/>
        <v>2023</v>
      </c>
    </row>
    <row r="1101" spans="1:7" x14ac:dyDescent="0.25">
      <c r="A1101">
        <v>3021639</v>
      </c>
      <c r="B1101" s="1">
        <v>45078</v>
      </c>
      <c r="C1101" t="s">
        <v>457</v>
      </c>
      <c r="D1101">
        <v>53.97</v>
      </c>
      <c r="E1101" s="14">
        <v>163.63999999999999</v>
      </c>
      <c r="F1101" t="str">
        <f t="shared" si="34"/>
        <v>junho</v>
      </c>
      <c r="G1101">
        <f t="shared" si="35"/>
        <v>2023</v>
      </c>
    </row>
    <row r="1102" spans="1:7" x14ac:dyDescent="0.25">
      <c r="A1102">
        <v>3021740</v>
      </c>
      <c r="B1102" s="1">
        <v>45078</v>
      </c>
      <c r="C1102" t="s">
        <v>635</v>
      </c>
      <c r="D1102">
        <v>890.52</v>
      </c>
      <c r="E1102" s="14">
        <v>2518.7600000000002</v>
      </c>
      <c r="F1102" t="str">
        <f t="shared" si="34"/>
        <v>junho</v>
      </c>
      <c r="G1102">
        <f t="shared" si="35"/>
        <v>2023</v>
      </c>
    </row>
    <row r="1103" spans="1:7" x14ac:dyDescent="0.25">
      <c r="A1103">
        <v>3021760</v>
      </c>
      <c r="B1103" s="1">
        <v>45078</v>
      </c>
      <c r="C1103" t="s">
        <v>167</v>
      </c>
      <c r="D1103">
        <v>872.46</v>
      </c>
      <c r="E1103" s="14">
        <v>2224.17</v>
      </c>
      <c r="F1103" t="str">
        <f t="shared" si="34"/>
        <v>junho</v>
      </c>
      <c r="G1103">
        <f t="shared" si="35"/>
        <v>2023</v>
      </c>
    </row>
    <row r="1104" spans="1:7" x14ac:dyDescent="0.25">
      <c r="A1104">
        <v>3021811</v>
      </c>
      <c r="B1104" s="1">
        <v>45078</v>
      </c>
      <c r="C1104" t="s">
        <v>169</v>
      </c>
      <c r="D1104">
        <v>769.23</v>
      </c>
      <c r="E1104" s="14">
        <v>1950.71</v>
      </c>
      <c r="F1104" t="str">
        <f t="shared" si="34"/>
        <v>junho</v>
      </c>
      <c r="G1104">
        <f t="shared" si="35"/>
        <v>2023</v>
      </c>
    </row>
    <row r="1105" spans="1:7" x14ac:dyDescent="0.25">
      <c r="A1105">
        <v>3021812</v>
      </c>
      <c r="B1105" s="1">
        <v>45078</v>
      </c>
      <c r="C1105" t="s">
        <v>171</v>
      </c>
      <c r="D1105">
        <v>1545.39</v>
      </c>
      <c r="E1105" s="14">
        <v>3623.5</v>
      </c>
      <c r="F1105" t="str">
        <f t="shared" si="34"/>
        <v>junho</v>
      </c>
      <c r="G1105">
        <f t="shared" si="35"/>
        <v>2023</v>
      </c>
    </row>
    <row r="1106" spans="1:7" x14ac:dyDescent="0.25">
      <c r="A1106">
        <v>3022100</v>
      </c>
      <c r="B1106" s="1">
        <v>45078</v>
      </c>
      <c r="C1106" t="s">
        <v>173</v>
      </c>
      <c r="D1106">
        <v>334.8</v>
      </c>
      <c r="E1106" s="14">
        <v>1257.55</v>
      </c>
      <c r="F1106" t="str">
        <f t="shared" si="34"/>
        <v>junho</v>
      </c>
      <c r="G1106">
        <f t="shared" si="35"/>
        <v>2023</v>
      </c>
    </row>
    <row r="1107" spans="1:7" x14ac:dyDescent="0.25">
      <c r="A1107">
        <v>3022208</v>
      </c>
      <c r="B1107" s="1">
        <v>45078</v>
      </c>
      <c r="C1107" t="s">
        <v>307</v>
      </c>
      <c r="D1107">
        <v>825.53</v>
      </c>
      <c r="E1107" s="14">
        <v>3102.6</v>
      </c>
      <c r="F1107" t="str">
        <f t="shared" si="34"/>
        <v>junho</v>
      </c>
      <c r="G1107">
        <f t="shared" si="35"/>
        <v>2023</v>
      </c>
    </row>
    <row r="1108" spans="1:7" x14ac:dyDescent="0.25">
      <c r="A1108">
        <v>3022311</v>
      </c>
      <c r="B1108" s="1">
        <v>45078</v>
      </c>
      <c r="C1108" t="s">
        <v>176</v>
      </c>
      <c r="D1108">
        <v>2280.0100000000002</v>
      </c>
      <c r="E1108" s="14">
        <v>5455.54</v>
      </c>
      <c r="F1108" t="str">
        <f t="shared" si="34"/>
        <v>junho</v>
      </c>
      <c r="G1108">
        <f t="shared" si="35"/>
        <v>2023</v>
      </c>
    </row>
    <row r="1109" spans="1:7" x14ac:dyDescent="0.25">
      <c r="A1109">
        <v>3022411</v>
      </c>
      <c r="B1109" s="1">
        <v>45078</v>
      </c>
      <c r="C1109" t="s">
        <v>178</v>
      </c>
      <c r="D1109">
        <v>41.4</v>
      </c>
      <c r="E1109" s="14">
        <v>119.2</v>
      </c>
      <c r="F1109" t="str">
        <f t="shared" si="34"/>
        <v>junho</v>
      </c>
      <c r="G1109">
        <f t="shared" si="35"/>
        <v>2023</v>
      </c>
    </row>
    <row r="1110" spans="1:7" x14ac:dyDescent="0.25">
      <c r="A1110">
        <v>3022511</v>
      </c>
      <c r="B1110" s="1">
        <v>45078</v>
      </c>
      <c r="C1110" t="s">
        <v>180</v>
      </c>
      <c r="D1110">
        <v>3.4</v>
      </c>
      <c r="E1110" s="14">
        <v>9.02</v>
      </c>
      <c r="F1110" t="str">
        <f t="shared" si="34"/>
        <v>junho</v>
      </c>
      <c r="G1110">
        <f t="shared" si="35"/>
        <v>2023</v>
      </c>
    </row>
    <row r="1111" spans="1:7" x14ac:dyDescent="0.25">
      <c r="A1111">
        <v>3022601</v>
      </c>
      <c r="B1111" s="1">
        <v>45078</v>
      </c>
      <c r="C1111" t="s">
        <v>182</v>
      </c>
      <c r="D1111">
        <v>235.5</v>
      </c>
      <c r="E1111" s="14">
        <v>973.17</v>
      </c>
      <c r="F1111" t="str">
        <f t="shared" si="34"/>
        <v>junho</v>
      </c>
      <c r="G1111">
        <f t="shared" si="35"/>
        <v>2023</v>
      </c>
    </row>
    <row r="1112" spans="1:7" x14ac:dyDescent="0.25">
      <c r="A1112">
        <v>3022703</v>
      </c>
      <c r="B1112" s="1">
        <v>45078</v>
      </c>
      <c r="C1112" t="s">
        <v>309</v>
      </c>
      <c r="D1112">
        <v>625</v>
      </c>
      <c r="E1112" s="14">
        <v>1712.25</v>
      </c>
      <c r="F1112" t="str">
        <f t="shared" si="34"/>
        <v>junho</v>
      </c>
      <c r="G1112">
        <f t="shared" si="35"/>
        <v>2023</v>
      </c>
    </row>
    <row r="1113" spans="1:7" x14ac:dyDescent="0.25">
      <c r="A1113">
        <v>3022805</v>
      </c>
      <c r="B1113" s="1">
        <v>45078</v>
      </c>
      <c r="C1113" t="s">
        <v>186</v>
      </c>
      <c r="D1113">
        <v>2175</v>
      </c>
      <c r="E1113" s="14">
        <v>4543.8999999999996</v>
      </c>
      <c r="F1113" t="str">
        <f t="shared" si="34"/>
        <v>junho</v>
      </c>
      <c r="G1113">
        <f t="shared" si="35"/>
        <v>2023</v>
      </c>
    </row>
    <row r="1114" spans="1:7" x14ac:dyDescent="0.25">
      <c r="A1114">
        <v>3022906</v>
      </c>
      <c r="B1114" s="1">
        <v>45078</v>
      </c>
      <c r="C1114" t="s">
        <v>188</v>
      </c>
      <c r="D1114">
        <v>4640</v>
      </c>
      <c r="E1114" s="14">
        <v>9532.94</v>
      </c>
      <c r="F1114" t="str">
        <f t="shared" si="34"/>
        <v>junho</v>
      </c>
      <c r="G1114">
        <f t="shared" si="35"/>
        <v>2023</v>
      </c>
    </row>
    <row r="1115" spans="1:7" x14ac:dyDescent="0.25">
      <c r="A1115">
        <v>3023007</v>
      </c>
      <c r="B1115" s="1">
        <v>45078</v>
      </c>
      <c r="C1115" t="s">
        <v>190</v>
      </c>
      <c r="D1115">
        <v>820</v>
      </c>
      <c r="E1115" s="14">
        <v>1645</v>
      </c>
      <c r="F1115" t="str">
        <f t="shared" si="34"/>
        <v>junho</v>
      </c>
      <c r="G1115">
        <f t="shared" si="35"/>
        <v>2023</v>
      </c>
    </row>
    <row r="1116" spans="1:7" x14ac:dyDescent="0.25">
      <c r="A1116">
        <v>3024001</v>
      </c>
      <c r="B1116" s="1">
        <v>45078</v>
      </c>
      <c r="C1116" t="s">
        <v>192</v>
      </c>
      <c r="D1116">
        <v>1118.54</v>
      </c>
      <c r="E1116" s="14">
        <v>4255.01</v>
      </c>
      <c r="F1116" t="str">
        <f t="shared" si="34"/>
        <v>junho</v>
      </c>
      <c r="G1116">
        <f t="shared" si="35"/>
        <v>2023</v>
      </c>
    </row>
    <row r="1117" spans="1:7" x14ac:dyDescent="0.25">
      <c r="A1117">
        <v>3024003</v>
      </c>
      <c r="B1117" s="1">
        <v>45078</v>
      </c>
      <c r="C1117" t="s">
        <v>196</v>
      </c>
      <c r="D1117">
        <v>342.34</v>
      </c>
      <c r="E1117" s="14">
        <v>958.54</v>
      </c>
      <c r="F1117" t="str">
        <f t="shared" si="34"/>
        <v>junho</v>
      </c>
      <c r="G1117">
        <f t="shared" si="35"/>
        <v>2023</v>
      </c>
    </row>
    <row r="1118" spans="1:7" x14ac:dyDescent="0.25">
      <c r="A1118">
        <v>3024004</v>
      </c>
      <c r="B1118" s="1">
        <v>45078</v>
      </c>
      <c r="C1118" t="s">
        <v>198</v>
      </c>
      <c r="D1118">
        <v>1195.94</v>
      </c>
      <c r="E1118" s="14">
        <v>1181.3699999999999</v>
      </c>
      <c r="F1118" t="str">
        <f t="shared" si="34"/>
        <v>junho</v>
      </c>
      <c r="G1118">
        <f t="shared" si="35"/>
        <v>2023</v>
      </c>
    </row>
    <row r="1119" spans="1:7" x14ac:dyDescent="0.25">
      <c r="A1119">
        <v>4030100</v>
      </c>
      <c r="B1119" s="1">
        <v>45078</v>
      </c>
      <c r="C1119" t="s">
        <v>200</v>
      </c>
      <c r="D1119">
        <v>399.81</v>
      </c>
      <c r="E1119" s="14">
        <v>2444.1</v>
      </c>
      <c r="F1119" t="str">
        <f t="shared" si="34"/>
        <v>junho</v>
      </c>
      <c r="G1119">
        <f t="shared" si="35"/>
        <v>2023</v>
      </c>
    </row>
    <row r="1120" spans="1:7" x14ac:dyDescent="0.25">
      <c r="A1120">
        <v>4030211</v>
      </c>
      <c r="B1120" s="1">
        <v>45078</v>
      </c>
      <c r="C1120" t="s">
        <v>202</v>
      </c>
      <c r="D1120">
        <v>299.24</v>
      </c>
      <c r="E1120" s="14">
        <v>1870.97</v>
      </c>
      <c r="F1120" t="str">
        <f t="shared" si="34"/>
        <v>junho</v>
      </c>
      <c r="G1120">
        <f t="shared" si="35"/>
        <v>2023</v>
      </c>
    </row>
    <row r="1121" spans="1:7" x14ac:dyDescent="0.25">
      <c r="A1121">
        <v>4030311</v>
      </c>
      <c r="B1121" s="1">
        <v>45078</v>
      </c>
      <c r="C1121" t="s">
        <v>311</v>
      </c>
      <c r="D1121">
        <v>286.92</v>
      </c>
      <c r="E1121" s="14">
        <v>1932.79</v>
      </c>
      <c r="F1121" t="str">
        <f t="shared" si="34"/>
        <v>junho</v>
      </c>
      <c r="G1121">
        <f t="shared" si="35"/>
        <v>2023</v>
      </c>
    </row>
    <row r="1122" spans="1:7" x14ac:dyDescent="0.25">
      <c r="A1122">
        <v>4030401</v>
      </c>
      <c r="B1122" s="1">
        <v>45078</v>
      </c>
      <c r="C1122" t="s">
        <v>461</v>
      </c>
      <c r="D1122">
        <v>383.83</v>
      </c>
      <c r="E1122" s="14">
        <v>1962.19</v>
      </c>
      <c r="F1122" t="str">
        <f t="shared" si="34"/>
        <v>junho</v>
      </c>
      <c r="G1122">
        <f t="shared" si="35"/>
        <v>2023</v>
      </c>
    </row>
    <row r="1123" spans="1:7" x14ac:dyDescent="0.25">
      <c r="A1123">
        <v>4030511</v>
      </c>
      <c r="B1123" s="1">
        <v>45078</v>
      </c>
      <c r="C1123" t="s">
        <v>208</v>
      </c>
      <c r="D1123">
        <v>11.2</v>
      </c>
      <c r="E1123" s="14">
        <v>68.88</v>
      </c>
      <c r="F1123" t="str">
        <f t="shared" si="34"/>
        <v>junho</v>
      </c>
      <c r="G1123">
        <f t="shared" si="35"/>
        <v>2023</v>
      </c>
    </row>
    <row r="1124" spans="1:7" x14ac:dyDescent="0.25">
      <c r="A1124">
        <v>4030532</v>
      </c>
      <c r="B1124" s="1">
        <v>45078</v>
      </c>
      <c r="C1124" t="s">
        <v>210</v>
      </c>
      <c r="D1124">
        <v>1.91</v>
      </c>
      <c r="E1124" s="14">
        <v>10.41</v>
      </c>
      <c r="F1124" t="str">
        <f t="shared" si="34"/>
        <v>junho</v>
      </c>
      <c r="G1124">
        <f t="shared" si="35"/>
        <v>2023</v>
      </c>
    </row>
    <row r="1125" spans="1:7" x14ac:dyDescent="0.25">
      <c r="A1125">
        <v>4030600</v>
      </c>
      <c r="B1125" s="1">
        <v>45078</v>
      </c>
      <c r="C1125" t="s">
        <v>212</v>
      </c>
      <c r="D1125">
        <v>577.6</v>
      </c>
      <c r="E1125" s="14">
        <v>1824.42</v>
      </c>
      <c r="F1125" t="str">
        <f t="shared" si="34"/>
        <v>junho</v>
      </c>
      <c r="G1125">
        <f t="shared" si="35"/>
        <v>2023</v>
      </c>
    </row>
    <row r="1126" spans="1:7" x14ac:dyDescent="0.25">
      <c r="A1126">
        <v>4030711</v>
      </c>
      <c r="B1126" s="1">
        <v>45078</v>
      </c>
      <c r="C1126" t="s">
        <v>214</v>
      </c>
      <c r="D1126">
        <v>946.65</v>
      </c>
      <c r="E1126" s="14">
        <v>3160.75</v>
      </c>
      <c r="F1126" t="str">
        <f t="shared" si="34"/>
        <v>junho</v>
      </c>
      <c r="G1126">
        <f t="shared" si="35"/>
        <v>2023</v>
      </c>
    </row>
    <row r="1127" spans="1:7" x14ac:dyDescent="0.25">
      <c r="A1127">
        <v>4030811</v>
      </c>
      <c r="B1127" s="1">
        <v>45078</v>
      </c>
      <c r="C1127" t="s">
        <v>216</v>
      </c>
      <c r="D1127">
        <v>1580.87</v>
      </c>
      <c r="E1127" s="14">
        <v>4983.18</v>
      </c>
      <c r="F1127" t="str">
        <f t="shared" si="34"/>
        <v>junho</v>
      </c>
      <c r="G1127">
        <f t="shared" si="35"/>
        <v>2023</v>
      </c>
    </row>
    <row r="1128" spans="1:7" x14ac:dyDescent="0.25">
      <c r="A1128">
        <v>4030813</v>
      </c>
      <c r="B1128" s="1">
        <v>45078</v>
      </c>
      <c r="C1128" t="s">
        <v>218</v>
      </c>
      <c r="D1128">
        <v>2126.9899999999998</v>
      </c>
      <c r="E1128" s="14">
        <v>6362.91</v>
      </c>
      <c r="F1128" t="str">
        <f t="shared" si="34"/>
        <v>junho</v>
      </c>
      <c r="G1128">
        <f t="shared" si="35"/>
        <v>2023</v>
      </c>
    </row>
    <row r="1129" spans="1:7" x14ac:dyDescent="0.25">
      <c r="A1129">
        <v>4030900</v>
      </c>
      <c r="B1129" s="1">
        <v>45078</v>
      </c>
      <c r="C1129" t="s">
        <v>220</v>
      </c>
      <c r="D1129">
        <v>5952.58</v>
      </c>
      <c r="E1129" s="14">
        <v>17967.18</v>
      </c>
      <c r="F1129" t="str">
        <f t="shared" si="34"/>
        <v>junho</v>
      </c>
      <c r="G1129">
        <f t="shared" si="35"/>
        <v>2023</v>
      </c>
    </row>
    <row r="1130" spans="1:7" x14ac:dyDescent="0.25">
      <c r="A1130">
        <v>4030910</v>
      </c>
      <c r="B1130" s="1">
        <v>45078</v>
      </c>
      <c r="C1130" t="s">
        <v>222</v>
      </c>
      <c r="D1130">
        <v>78.739999999999995</v>
      </c>
      <c r="E1130" s="14">
        <v>254.91</v>
      </c>
      <c r="F1130" t="str">
        <f t="shared" si="34"/>
        <v>junho</v>
      </c>
      <c r="G1130">
        <f t="shared" si="35"/>
        <v>2023</v>
      </c>
    </row>
    <row r="1131" spans="1:7" x14ac:dyDescent="0.25">
      <c r="A1131">
        <v>4031012</v>
      </c>
      <c r="B1131" s="1">
        <v>45078</v>
      </c>
      <c r="C1131" t="s">
        <v>224</v>
      </c>
      <c r="D1131">
        <v>1285.8800000000001</v>
      </c>
      <c r="E1131" s="14">
        <v>3979.06</v>
      </c>
      <c r="F1131" t="str">
        <f t="shared" si="34"/>
        <v>junho</v>
      </c>
      <c r="G1131">
        <f t="shared" si="35"/>
        <v>2023</v>
      </c>
    </row>
    <row r="1132" spans="1:7" x14ac:dyDescent="0.25">
      <c r="A1132">
        <v>4031017</v>
      </c>
      <c r="B1132" s="1">
        <v>45078</v>
      </c>
      <c r="C1132" t="s">
        <v>226</v>
      </c>
      <c r="D1132">
        <v>1033</v>
      </c>
      <c r="E1132" s="14">
        <v>678.28</v>
      </c>
      <c r="F1132" t="str">
        <f t="shared" si="34"/>
        <v>junho</v>
      </c>
      <c r="G1132">
        <f t="shared" si="35"/>
        <v>2023</v>
      </c>
    </row>
    <row r="1133" spans="1:7" x14ac:dyDescent="0.25">
      <c r="A1133">
        <v>4031102</v>
      </c>
      <c r="B1133" s="1">
        <v>45078</v>
      </c>
      <c r="C1133" t="s">
        <v>228</v>
      </c>
      <c r="D1133">
        <v>9241.69</v>
      </c>
      <c r="E1133" s="14">
        <v>26790.71</v>
      </c>
      <c r="F1133" t="str">
        <f t="shared" si="34"/>
        <v>junho</v>
      </c>
      <c r="G1133">
        <f t="shared" si="35"/>
        <v>2023</v>
      </c>
    </row>
    <row r="1134" spans="1:7" x14ac:dyDescent="0.25">
      <c r="A1134">
        <v>4031200</v>
      </c>
      <c r="B1134" s="1">
        <v>45078</v>
      </c>
      <c r="C1134" t="s">
        <v>230</v>
      </c>
      <c r="D1134">
        <v>1365.77</v>
      </c>
      <c r="E1134" s="14">
        <v>4094.22</v>
      </c>
      <c r="F1134" t="str">
        <f t="shared" si="34"/>
        <v>junho</v>
      </c>
      <c r="G1134">
        <f t="shared" si="35"/>
        <v>2023</v>
      </c>
    </row>
    <row r="1135" spans="1:7" x14ac:dyDescent="0.25">
      <c r="A1135">
        <v>4031304</v>
      </c>
      <c r="B1135" s="1">
        <v>45078</v>
      </c>
      <c r="C1135" t="s">
        <v>232</v>
      </c>
      <c r="D1135">
        <v>1427.45</v>
      </c>
      <c r="E1135" s="14">
        <v>4140.6400000000003</v>
      </c>
      <c r="F1135" t="str">
        <f t="shared" si="34"/>
        <v>junho</v>
      </c>
      <c r="G1135">
        <f t="shared" si="35"/>
        <v>2023</v>
      </c>
    </row>
    <row r="1136" spans="1:7" x14ac:dyDescent="0.25">
      <c r="A1136">
        <v>4031411</v>
      </c>
      <c r="B1136" s="1">
        <v>45078</v>
      </c>
      <c r="C1136" t="s">
        <v>234</v>
      </c>
      <c r="D1136">
        <v>48.65</v>
      </c>
      <c r="E1136" s="14">
        <v>149.30000000000001</v>
      </c>
      <c r="F1136" t="str">
        <f t="shared" si="34"/>
        <v>junho</v>
      </c>
      <c r="G1136">
        <f t="shared" si="35"/>
        <v>2023</v>
      </c>
    </row>
    <row r="1137" spans="1:7" x14ac:dyDescent="0.25">
      <c r="A1137">
        <v>4031500</v>
      </c>
      <c r="B1137" s="1">
        <v>45078</v>
      </c>
      <c r="C1137" t="s">
        <v>236</v>
      </c>
      <c r="D1137">
        <v>6537.89</v>
      </c>
      <c r="E1137" s="14">
        <v>18511.36</v>
      </c>
      <c r="F1137" t="str">
        <f t="shared" si="34"/>
        <v>junho</v>
      </c>
      <c r="G1137">
        <f t="shared" si="35"/>
        <v>2023</v>
      </c>
    </row>
    <row r="1138" spans="1:7" x14ac:dyDescent="0.25">
      <c r="A1138">
        <v>4031604</v>
      </c>
      <c r="B1138" s="1">
        <v>45078</v>
      </c>
      <c r="C1138" t="s">
        <v>238</v>
      </c>
      <c r="D1138">
        <v>5832.09</v>
      </c>
      <c r="E1138" s="14">
        <v>15852.03</v>
      </c>
      <c r="F1138" t="str">
        <f t="shared" si="34"/>
        <v>junho</v>
      </c>
      <c r="G1138">
        <f t="shared" si="35"/>
        <v>2023</v>
      </c>
    </row>
    <row r="1139" spans="1:7" x14ac:dyDescent="0.25">
      <c r="A1139">
        <v>4031605</v>
      </c>
      <c r="B1139" s="1">
        <v>45078</v>
      </c>
      <c r="C1139" t="s">
        <v>240</v>
      </c>
      <c r="D1139">
        <v>79.86</v>
      </c>
      <c r="E1139" s="14">
        <v>257.91000000000003</v>
      </c>
      <c r="F1139" t="str">
        <f t="shared" si="34"/>
        <v>junho</v>
      </c>
      <c r="G1139">
        <f t="shared" si="35"/>
        <v>2023</v>
      </c>
    </row>
    <row r="1140" spans="1:7" x14ac:dyDescent="0.25">
      <c r="A1140">
        <v>4031700</v>
      </c>
      <c r="B1140" s="1">
        <v>45078</v>
      </c>
      <c r="C1140" t="s">
        <v>242</v>
      </c>
      <c r="D1140">
        <v>615.73</v>
      </c>
      <c r="E1140" s="14">
        <v>1836.55</v>
      </c>
      <c r="F1140" t="str">
        <f t="shared" si="34"/>
        <v>junho</v>
      </c>
      <c r="G1140">
        <f t="shared" si="35"/>
        <v>2023</v>
      </c>
    </row>
    <row r="1141" spans="1:7" x14ac:dyDescent="0.25">
      <c r="A1141">
        <v>4031812</v>
      </c>
      <c r="B1141" s="1">
        <v>45078</v>
      </c>
      <c r="C1141" t="s">
        <v>244</v>
      </c>
      <c r="D1141">
        <v>520.41999999999996</v>
      </c>
      <c r="E1141" s="14">
        <v>1593.75</v>
      </c>
      <c r="F1141" t="str">
        <f t="shared" si="34"/>
        <v>junho</v>
      </c>
      <c r="G1141">
        <f t="shared" si="35"/>
        <v>2023</v>
      </c>
    </row>
    <row r="1142" spans="1:7" x14ac:dyDescent="0.25">
      <c r="A1142">
        <v>4031813</v>
      </c>
      <c r="B1142" s="1">
        <v>45078</v>
      </c>
      <c r="C1142" t="s">
        <v>636</v>
      </c>
      <c r="D1142">
        <v>70</v>
      </c>
      <c r="E1142" s="14">
        <v>46.9</v>
      </c>
      <c r="F1142" t="str">
        <f t="shared" si="34"/>
        <v>junho</v>
      </c>
      <c r="G1142">
        <f t="shared" si="35"/>
        <v>2023</v>
      </c>
    </row>
    <row r="1143" spans="1:7" x14ac:dyDescent="0.25">
      <c r="A1143">
        <v>4031904</v>
      </c>
      <c r="B1143" s="1">
        <v>45078</v>
      </c>
      <c r="C1143" t="s">
        <v>246</v>
      </c>
      <c r="D1143">
        <v>908.96</v>
      </c>
      <c r="E1143" s="14">
        <v>2672.45</v>
      </c>
      <c r="F1143" t="str">
        <f t="shared" si="34"/>
        <v>junho</v>
      </c>
      <c r="G1143">
        <f t="shared" si="35"/>
        <v>2023</v>
      </c>
    </row>
    <row r="1144" spans="1:7" x14ac:dyDescent="0.25">
      <c r="A1144">
        <v>4032111</v>
      </c>
      <c r="B1144" s="1">
        <v>45078</v>
      </c>
      <c r="C1144" t="s">
        <v>314</v>
      </c>
      <c r="D1144">
        <v>17.79</v>
      </c>
      <c r="E1144" s="14">
        <v>92.43</v>
      </c>
      <c r="F1144" t="str">
        <f t="shared" si="34"/>
        <v>junho</v>
      </c>
      <c r="G1144">
        <f t="shared" si="35"/>
        <v>2023</v>
      </c>
    </row>
    <row r="1145" spans="1:7" x14ac:dyDescent="0.25">
      <c r="A1145">
        <v>4032204</v>
      </c>
      <c r="B1145" s="1">
        <v>45078</v>
      </c>
      <c r="C1145" t="s">
        <v>315</v>
      </c>
      <c r="D1145">
        <v>88.43</v>
      </c>
      <c r="E1145" s="14">
        <v>450.5</v>
      </c>
      <c r="F1145" t="str">
        <f t="shared" si="34"/>
        <v>junho</v>
      </c>
      <c r="G1145">
        <f t="shared" si="35"/>
        <v>2023</v>
      </c>
    </row>
    <row r="1146" spans="1:7" x14ac:dyDescent="0.25">
      <c r="A1146">
        <v>4032205</v>
      </c>
      <c r="B1146" s="1">
        <v>45078</v>
      </c>
      <c r="C1146" t="s">
        <v>553</v>
      </c>
      <c r="D1146">
        <v>79.400000000000006</v>
      </c>
      <c r="E1146" s="14">
        <v>403.02</v>
      </c>
      <c r="F1146" t="str">
        <f t="shared" si="34"/>
        <v>junho</v>
      </c>
      <c r="G1146">
        <f t="shared" si="35"/>
        <v>2023</v>
      </c>
    </row>
    <row r="1147" spans="1:7" x14ac:dyDescent="0.25">
      <c r="A1147">
        <v>4032206</v>
      </c>
      <c r="B1147" s="1">
        <v>45078</v>
      </c>
      <c r="C1147" t="s">
        <v>637</v>
      </c>
      <c r="D1147">
        <v>36.93</v>
      </c>
      <c r="E1147" s="14">
        <v>188.95</v>
      </c>
      <c r="F1147" t="str">
        <f t="shared" si="34"/>
        <v>junho</v>
      </c>
      <c r="G1147">
        <f t="shared" si="35"/>
        <v>2023</v>
      </c>
    </row>
    <row r="1148" spans="1:7" x14ac:dyDescent="0.25">
      <c r="A1148">
        <v>4032312</v>
      </c>
      <c r="B1148" s="1">
        <v>45078</v>
      </c>
      <c r="C1148" t="s">
        <v>252</v>
      </c>
      <c r="D1148">
        <v>503.31</v>
      </c>
      <c r="E1148" s="14">
        <v>2122.5700000000002</v>
      </c>
      <c r="F1148" t="str">
        <f t="shared" si="34"/>
        <v>junho</v>
      </c>
      <c r="G1148">
        <f t="shared" si="35"/>
        <v>2023</v>
      </c>
    </row>
    <row r="1149" spans="1:7" x14ac:dyDescent="0.25">
      <c r="A1149">
        <v>4032404</v>
      </c>
      <c r="B1149" s="1">
        <v>45078</v>
      </c>
      <c r="C1149" t="s">
        <v>254</v>
      </c>
      <c r="D1149">
        <v>138.99</v>
      </c>
      <c r="E1149" s="14">
        <v>610.79</v>
      </c>
      <c r="F1149" t="str">
        <f t="shared" si="34"/>
        <v>junho</v>
      </c>
      <c r="G1149">
        <f t="shared" si="35"/>
        <v>2023</v>
      </c>
    </row>
    <row r="1150" spans="1:7" x14ac:dyDescent="0.25">
      <c r="A1150">
        <v>4032500</v>
      </c>
      <c r="B1150" s="1">
        <v>45078</v>
      </c>
      <c r="C1150" t="s">
        <v>256</v>
      </c>
      <c r="D1150">
        <v>303.82</v>
      </c>
      <c r="E1150" s="14">
        <v>826.56</v>
      </c>
      <c r="F1150" t="str">
        <f t="shared" si="34"/>
        <v>junho</v>
      </c>
      <c r="G1150">
        <f t="shared" si="35"/>
        <v>2023</v>
      </c>
    </row>
    <row r="1151" spans="1:7" x14ac:dyDescent="0.25">
      <c r="A1151">
        <v>4032611</v>
      </c>
      <c r="B1151" s="1">
        <v>45078</v>
      </c>
      <c r="C1151" t="s">
        <v>258</v>
      </c>
      <c r="D1151">
        <v>70.8</v>
      </c>
      <c r="E1151" s="14">
        <v>217.26</v>
      </c>
      <c r="F1151" t="str">
        <f t="shared" si="34"/>
        <v>junho</v>
      </c>
      <c r="G1151">
        <f t="shared" si="35"/>
        <v>2023</v>
      </c>
    </row>
    <row r="1152" spans="1:7" x14ac:dyDescent="0.25">
      <c r="A1152">
        <v>4032704</v>
      </c>
      <c r="B1152" s="1">
        <v>45078</v>
      </c>
      <c r="C1152" t="s">
        <v>260</v>
      </c>
      <c r="D1152">
        <v>259.39999999999998</v>
      </c>
      <c r="E1152" s="14">
        <v>765.96</v>
      </c>
      <c r="F1152" t="str">
        <f t="shared" si="34"/>
        <v>junho</v>
      </c>
      <c r="G1152">
        <f t="shared" si="35"/>
        <v>2023</v>
      </c>
    </row>
    <row r="1153" spans="1:7" x14ac:dyDescent="0.25">
      <c r="A1153">
        <v>4032800</v>
      </c>
      <c r="B1153" s="1">
        <v>45078</v>
      </c>
      <c r="C1153" t="s">
        <v>262</v>
      </c>
      <c r="D1153">
        <v>92.42</v>
      </c>
      <c r="E1153" s="14">
        <v>537.29</v>
      </c>
      <c r="F1153" t="str">
        <f t="shared" si="34"/>
        <v>junho</v>
      </c>
      <c r="G1153">
        <f t="shared" si="35"/>
        <v>2023</v>
      </c>
    </row>
    <row r="1154" spans="1:7" x14ac:dyDescent="0.25">
      <c r="A1154">
        <v>4032902</v>
      </c>
      <c r="B1154" s="1">
        <v>45078</v>
      </c>
      <c r="C1154" t="s">
        <v>264</v>
      </c>
      <c r="D1154">
        <v>178.5</v>
      </c>
      <c r="E1154" s="14">
        <v>918.62</v>
      </c>
      <c r="F1154" t="str">
        <f t="shared" si="34"/>
        <v>junho</v>
      </c>
      <c r="G1154">
        <f t="shared" si="35"/>
        <v>2023</v>
      </c>
    </row>
    <row r="1155" spans="1:7" x14ac:dyDescent="0.25">
      <c r="A1155">
        <v>4033011</v>
      </c>
      <c r="B1155" s="1">
        <v>45078</v>
      </c>
      <c r="C1155" t="s">
        <v>266</v>
      </c>
      <c r="D1155">
        <v>7.7</v>
      </c>
      <c r="E1155" s="14">
        <v>39.69</v>
      </c>
      <c r="F1155" t="str">
        <f t="shared" ref="F1155:F1218" si="36">TEXT(B1155,"mmmm")</f>
        <v>junho</v>
      </c>
      <c r="G1155">
        <f t="shared" ref="G1155:G1218" si="37">YEAR(B1155)</f>
        <v>2023</v>
      </c>
    </row>
    <row r="1156" spans="1:7" x14ac:dyDescent="0.25">
      <c r="A1156">
        <v>4033111</v>
      </c>
      <c r="B1156" s="1">
        <v>45078</v>
      </c>
      <c r="C1156" t="s">
        <v>268</v>
      </c>
      <c r="D1156">
        <v>24.22</v>
      </c>
      <c r="E1156" s="14">
        <v>113.38</v>
      </c>
      <c r="F1156" t="str">
        <f t="shared" si="36"/>
        <v>junho</v>
      </c>
      <c r="G1156">
        <f t="shared" si="37"/>
        <v>2023</v>
      </c>
    </row>
    <row r="1157" spans="1:7" x14ac:dyDescent="0.25">
      <c r="A1157">
        <v>4033211</v>
      </c>
      <c r="B1157" s="1">
        <v>45078</v>
      </c>
      <c r="C1157" t="s">
        <v>270</v>
      </c>
      <c r="D1157">
        <v>45.19</v>
      </c>
      <c r="E1157" s="14">
        <v>203.24</v>
      </c>
      <c r="F1157" t="str">
        <f t="shared" si="36"/>
        <v>junho</v>
      </c>
      <c r="G1157">
        <f t="shared" si="37"/>
        <v>2023</v>
      </c>
    </row>
    <row r="1158" spans="1:7" x14ac:dyDescent="0.25">
      <c r="A1158">
        <v>4033311</v>
      </c>
      <c r="B1158" s="1">
        <v>45078</v>
      </c>
      <c r="C1158" t="s">
        <v>272</v>
      </c>
      <c r="D1158">
        <v>11.68</v>
      </c>
      <c r="E1158" s="14">
        <v>73.400000000000006</v>
      </c>
      <c r="F1158" t="str">
        <f t="shared" si="36"/>
        <v>junho</v>
      </c>
      <c r="G1158">
        <f t="shared" si="37"/>
        <v>2023</v>
      </c>
    </row>
    <row r="1159" spans="1:7" x14ac:dyDescent="0.25">
      <c r="A1159">
        <v>4033400</v>
      </c>
      <c r="B1159" s="1">
        <v>45078</v>
      </c>
      <c r="C1159" t="s">
        <v>274</v>
      </c>
      <c r="D1159">
        <v>721.44</v>
      </c>
      <c r="E1159" s="14">
        <v>2110.98</v>
      </c>
      <c r="F1159" t="str">
        <f t="shared" si="36"/>
        <v>junho</v>
      </c>
      <c r="G1159">
        <f t="shared" si="37"/>
        <v>2023</v>
      </c>
    </row>
    <row r="1160" spans="1:7" x14ac:dyDescent="0.25">
      <c r="A1160">
        <v>4033511</v>
      </c>
      <c r="B1160" s="1">
        <v>45078</v>
      </c>
      <c r="C1160" t="s">
        <v>276</v>
      </c>
      <c r="D1160">
        <v>681.25</v>
      </c>
      <c r="E1160" s="14">
        <v>2212.8000000000002</v>
      </c>
      <c r="F1160" t="str">
        <f t="shared" si="36"/>
        <v>junho</v>
      </c>
      <c r="G1160">
        <f t="shared" si="37"/>
        <v>2023</v>
      </c>
    </row>
    <row r="1161" spans="1:7" x14ac:dyDescent="0.25">
      <c r="A1161">
        <v>4033900</v>
      </c>
      <c r="B1161" s="1">
        <v>45078</v>
      </c>
      <c r="C1161" t="s">
        <v>278</v>
      </c>
      <c r="D1161">
        <v>92.48</v>
      </c>
      <c r="E1161" s="14">
        <v>464.63</v>
      </c>
      <c r="F1161" t="str">
        <f t="shared" si="36"/>
        <v>junho</v>
      </c>
      <c r="G1161">
        <f t="shared" si="37"/>
        <v>2023</v>
      </c>
    </row>
    <row r="1162" spans="1:7" x14ac:dyDescent="0.25">
      <c r="A1162">
        <v>4034011</v>
      </c>
      <c r="B1162" s="1">
        <v>45078</v>
      </c>
      <c r="C1162" t="s">
        <v>280</v>
      </c>
      <c r="D1162">
        <v>813.56</v>
      </c>
      <c r="E1162" s="14">
        <v>4233.51</v>
      </c>
      <c r="F1162" t="str">
        <f t="shared" si="36"/>
        <v>junho</v>
      </c>
      <c r="G1162">
        <f t="shared" si="37"/>
        <v>2023</v>
      </c>
    </row>
    <row r="1163" spans="1:7" x14ac:dyDescent="0.25">
      <c r="A1163">
        <v>4034211</v>
      </c>
      <c r="B1163" s="1">
        <v>45078</v>
      </c>
      <c r="C1163" t="s">
        <v>282</v>
      </c>
      <c r="D1163">
        <v>236.15</v>
      </c>
      <c r="E1163" s="14">
        <v>1011.26</v>
      </c>
      <c r="F1163" t="str">
        <f t="shared" si="36"/>
        <v>junho</v>
      </c>
      <c r="G1163">
        <f t="shared" si="37"/>
        <v>2023</v>
      </c>
    </row>
    <row r="1164" spans="1:7" x14ac:dyDescent="0.25">
      <c r="A1164">
        <v>4034400</v>
      </c>
      <c r="B1164" s="1">
        <v>45078</v>
      </c>
      <c r="C1164" t="s">
        <v>284</v>
      </c>
      <c r="D1164">
        <v>140.88999999999999</v>
      </c>
      <c r="E1164" s="14">
        <v>373.31</v>
      </c>
      <c r="F1164" t="str">
        <f t="shared" si="36"/>
        <v>junho</v>
      </c>
      <c r="G1164">
        <f t="shared" si="37"/>
        <v>2023</v>
      </c>
    </row>
    <row r="1165" spans="1:7" x14ac:dyDescent="0.25">
      <c r="A1165">
        <v>4034502</v>
      </c>
      <c r="B1165" s="1">
        <v>45078</v>
      </c>
      <c r="C1165" t="s">
        <v>286</v>
      </c>
      <c r="D1165">
        <v>36.96</v>
      </c>
      <c r="E1165" s="14">
        <v>105.96</v>
      </c>
      <c r="F1165" t="str">
        <f t="shared" si="36"/>
        <v>junho</v>
      </c>
      <c r="G1165">
        <f t="shared" si="37"/>
        <v>2023</v>
      </c>
    </row>
    <row r="1166" spans="1:7" x14ac:dyDescent="0.25">
      <c r="A1166">
        <v>8040008</v>
      </c>
      <c r="B1166" s="1">
        <v>45078</v>
      </c>
      <c r="C1166" t="s">
        <v>638</v>
      </c>
      <c r="D1166">
        <v>1.58</v>
      </c>
      <c r="E1166" s="14">
        <v>28.12</v>
      </c>
      <c r="F1166" t="str">
        <f t="shared" si="36"/>
        <v>junho</v>
      </c>
      <c r="G1166">
        <f t="shared" si="37"/>
        <v>2023</v>
      </c>
    </row>
    <row r="1167" spans="1:7" x14ac:dyDescent="0.25">
      <c r="A1167">
        <v>8040009</v>
      </c>
      <c r="B1167" s="1">
        <v>45078</v>
      </c>
      <c r="C1167" t="s">
        <v>639</v>
      </c>
      <c r="D1167">
        <v>240</v>
      </c>
      <c r="E1167" s="14">
        <v>1488</v>
      </c>
      <c r="F1167" t="str">
        <f t="shared" si="36"/>
        <v>junho</v>
      </c>
      <c r="G1167">
        <f t="shared" si="37"/>
        <v>2023</v>
      </c>
    </row>
    <row r="1168" spans="1:7" x14ac:dyDescent="0.25">
      <c r="A1168">
        <v>8040011</v>
      </c>
      <c r="B1168" s="1">
        <v>45078</v>
      </c>
      <c r="C1168" t="s">
        <v>560</v>
      </c>
      <c r="D1168">
        <v>6</v>
      </c>
      <c r="E1168" s="14">
        <v>17.260000000000002</v>
      </c>
      <c r="F1168" t="str">
        <f t="shared" si="36"/>
        <v>junho</v>
      </c>
      <c r="G1168">
        <f t="shared" si="37"/>
        <v>2023</v>
      </c>
    </row>
    <row r="1169" spans="1:7" x14ac:dyDescent="0.25">
      <c r="A1169">
        <v>8040012</v>
      </c>
      <c r="B1169" s="1">
        <v>45078</v>
      </c>
      <c r="C1169" t="s">
        <v>561</v>
      </c>
      <c r="D1169">
        <v>5</v>
      </c>
      <c r="E1169" s="14">
        <v>17</v>
      </c>
      <c r="F1169" t="str">
        <f t="shared" si="36"/>
        <v>junho</v>
      </c>
      <c r="G1169">
        <f t="shared" si="37"/>
        <v>2023</v>
      </c>
    </row>
    <row r="1170" spans="1:7" x14ac:dyDescent="0.25">
      <c r="A1170">
        <v>8040034</v>
      </c>
      <c r="B1170" s="1">
        <v>45078</v>
      </c>
      <c r="C1170" t="s">
        <v>640</v>
      </c>
      <c r="D1170">
        <v>453.6</v>
      </c>
      <c r="E1170" s="14">
        <v>5080.32</v>
      </c>
      <c r="F1170" t="str">
        <f t="shared" si="36"/>
        <v>junho</v>
      </c>
      <c r="G1170">
        <f t="shared" si="37"/>
        <v>2023</v>
      </c>
    </row>
    <row r="1171" spans="1:7" x14ac:dyDescent="0.25">
      <c r="A1171">
        <v>8040035</v>
      </c>
      <c r="B1171" s="1">
        <v>45078</v>
      </c>
      <c r="C1171" t="s">
        <v>641</v>
      </c>
      <c r="D1171">
        <v>432</v>
      </c>
      <c r="E1171" s="14">
        <v>5184</v>
      </c>
      <c r="F1171" t="str">
        <f t="shared" si="36"/>
        <v>junho</v>
      </c>
      <c r="G1171">
        <f t="shared" si="37"/>
        <v>2023</v>
      </c>
    </row>
    <row r="1172" spans="1:7" x14ac:dyDescent="0.25">
      <c r="A1172">
        <v>8040047</v>
      </c>
      <c r="B1172" s="1">
        <v>45078</v>
      </c>
      <c r="C1172" t="s">
        <v>642</v>
      </c>
      <c r="D1172">
        <v>2178</v>
      </c>
      <c r="E1172" s="14">
        <v>11761.2</v>
      </c>
      <c r="F1172" t="str">
        <f t="shared" si="36"/>
        <v>junho</v>
      </c>
      <c r="G1172">
        <f t="shared" si="37"/>
        <v>2023</v>
      </c>
    </row>
    <row r="1173" spans="1:7" x14ac:dyDescent="0.25">
      <c r="A1173">
        <v>8040049</v>
      </c>
      <c r="B1173" s="1">
        <v>45078</v>
      </c>
      <c r="C1173" t="s">
        <v>643</v>
      </c>
      <c r="D1173">
        <v>168</v>
      </c>
      <c r="E1173" s="14">
        <v>2144</v>
      </c>
      <c r="F1173" t="str">
        <f t="shared" si="36"/>
        <v>junho</v>
      </c>
      <c r="G1173">
        <f t="shared" si="37"/>
        <v>2023</v>
      </c>
    </row>
    <row r="1174" spans="1:7" x14ac:dyDescent="0.25">
      <c r="A1174">
        <v>8040051</v>
      </c>
      <c r="B1174" s="1">
        <v>45078</v>
      </c>
      <c r="C1174" t="s">
        <v>644</v>
      </c>
      <c r="D1174">
        <v>576</v>
      </c>
      <c r="E1174" s="14">
        <v>6163.2</v>
      </c>
      <c r="F1174" t="str">
        <f t="shared" si="36"/>
        <v>junho</v>
      </c>
      <c r="G1174">
        <f t="shared" si="37"/>
        <v>2023</v>
      </c>
    </row>
    <row r="1175" spans="1:7" x14ac:dyDescent="0.25">
      <c r="A1175">
        <v>8040054</v>
      </c>
      <c r="B1175" s="1">
        <v>45078</v>
      </c>
      <c r="C1175" t="s">
        <v>645</v>
      </c>
      <c r="D1175">
        <v>504</v>
      </c>
      <c r="E1175" s="14">
        <v>4485.6000000000004</v>
      </c>
      <c r="F1175" t="str">
        <f t="shared" si="36"/>
        <v>junho</v>
      </c>
      <c r="G1175">
        <f t="shared" si="37"/>
        <v>2023</v>
      </c>
    </row>
    <row r="1176" spans="1:7" x14ac:dyDescent="0.25">
      <c r="A1176">
        <v>8040055</v>
      </c>
      <c r="B1176" s="1">
        <v>45078</v>
      </c>
      <c r="C1176" t="s">
        <v>646</v>
      </c>
      <c r="D1176">
        <v>726</v>
      </c>
      <c r="E1176" s="14">
        <v>3920.4</v>
      </c>
      <c r="F1176" t="str">
        <f t="shared" si="36"/>
        <v>junho</v>
      </c>
      <c r="G1176">
        <f t="shared" si="37"/>
        <v>2023</v>
      </c>
    </row>
    <row r="1177" spans="1:7" x14ac:dyDescent="0.25">
      <c r="A1177">
        <v>8040056</v>
      </c>
      <c r="B1177" s="1">
        <v>45078</v>
      </c>
      <c r="C1177" t="s">
        <v>647</v>
      </c>
      <c r="D1177">
        <v>12</v>
      </c>
      <c r="E1177" s="14">
        <v>170.4</v>
      </c>
      <c r="F1177" t="str">
        <f t="shared" si="36"/>
        <v>junho</v>
      </c>
      <c r="G1177">
        <f t="shared" si="37"/>
        <v>2023</v>
      </c>
    </row>
    <row r="1178" spans="1:7" x14ac:dyDescent="0.25">
      <c r="A1178">
        <v>8050002</v>
      </c>
      <c r="B1178" s="1">
        <v>45078</v>
      </c>
      <c r="C1178" t="s">
        <v>322</v>
      </c>
      <c r="D1178">
        <v>5</v>
      </c>
      <c r="E1178" s="14">
        <v>32.299999999999997</v>
      </c>
      <c r="F1178" t="str">
        <f t="shared" si="36"/>
        <v>junho</v>
      </c>
      <c r="G1178">
        <f t="shared" si="37"/>
        <v>2023</v>
      </c>
    </row>
    <row r="1179" spans="1:7" x14ac:dyDescent="0.25">
      <c r="A1179">
        <v>8050003</v>
      </c>
      <c r="B1179" s="1">
        <v>45078</v>
      </c>
      <c r="C1179" t="s">
        <v>323</v>
      </c>
      <c r="D1179">
        <v>1</v>
      </c>
      <c r="E1179" s="14">
        <v>5.04</v>
      </c>
      <c r="F1179" t="str">
        <f t="shared" si="36"/>
        <v>junho</v>
      </c>
      <c r="G1179">
        <f t="shared" si="37"/>
        <v>2023</v>
      </c>
    </row>
    <row r="1180" spans="1:7" x14ac:dyDescent="0.25">
      <c r="A1180">
        <v>8050005</v>
      </c>
      <c r="B1180" s="1">
        <v>45078</v>
      </c>
      <c r="C1180" t="s">
        <v>648</v>
      </c>
      <c r="D1180">
        <v>2</v>
      </c>
      <c r="E1180" s="14">
        <v>10.08</v>
      </c>
      <c r="F1180" t="str">
        <f t="shared" si="36"/>
        <v>junho</v>
      </c>
      <c r="G1180">
        <f t="shared" si="37"/>
        <v>2023</v>
      </c>
    </row>
    <row r="1181" spans="1:7" x14ac:dyDescent="0.25">
      <c r="A1181">
        <v>8050006</v>
      </c>
      <c r="B1181" s="1">
        <v>45078</v>
      </c>
      <c r="C1181" t="s">
        <v>649</v>
      </c>
      <c r="D1181">
        <v>600</v>
      </c>
      <c r="E1181" s="14">
        <v>2580</v>
      </c>
      <c r="F1181" t="str">
        <f t="shared" si="36"/>
        <v>junho</v>
      </c>
      <c r="G1181">
        <f t="shared" si="37"/>
        <v>2023</v>
      </c>
    </row>
    <row r="1182" spans="1:7" x14ac:dyDescent="0.25">
      <c r="A1182">
        <v>8050007</v>
      </c>
      <c r="B1182" s="1">
        <v>45078</v>
      </c>
      <c r="C1182" t="s">
        <v>650</v>
      </c>
      <c r="D1182">
        <v>600</v>
      </c>
      <c r="E1182" s="14">
        <v>2580</v>
      </c>
      <c r="F1182" t="str">
        <f t="shared" si="36"/>
        <v>junho</v>
      </c>
      <c r="G1182">
        <f t="shared" si="37"/>
        <v>2023</v>
      </c>
    </row>
    <row r="1183" spans="1:7" x14ac:dyDescent="0.25">
      <c r="A1183">
        <v>8050008</v>
      </c>
      <c r="B1183" s="1">
        <v>45078</v>
      </c>
      <c r="C1183" t="s">
        <v>651</v>
      </c>
      <c r="D1183">
        <v>864</v>
      </c>
      <c r="E1183" s="14">
        <v>3412.8</v>
      </c>
      <c r="F1183" t="str">
        <f t="shared" si="36"/>
        <v>junho</v>
      </c>
      <c r="G1183">
        <f t="shared" si="37"/>
        <v>2023</v>
      </c>
    </row>
    <row r="1184" spans="1:7" x14ac:dyDescent="0.25">
      <c r="A1184">
        <v>8060001</v>
      </c>
      <c r="B1184" s="1">
        <v>45078</v>
      </c>
      <c r="C1184" t="s">
        <v>325</v>
      </c>
      <c r="D1184">
        <v>40</v>
      </c>
      <c r="E1184" s="14">
        <v>236</v>
      </c>
      <c r="F1184" t="str">
        <f t="shared" si="36"/>
        <v>junho</v>
      </c>
      <c r="G1184">
        <f t="shared" si="37"/>
        <v>2023</v>
      </c>
    </row>
    <row r="1185" spans="1:7" x14ac:dyDescent="0.25">
      <c r="A1185">
        <v>8070001</v>
      </c>
      <c r="B1185" s="1">
        <v>45078</v>
      </c>
      <c r="C1185" t="s">
        <v>326</v>
      </c>
      <c r="D1185">
        <v>1080</v>
      </c>
      <c r="E1185" s="14">
        <v>2376</v>
      </c>
      <c r="F1185" t="str">
        <f t="shared" si="36"/>
        <v>junho</v>
      </c>
      <c r="G1185">
        <f t="shared" si="37"/>
        <v>2023</v>
      </c>
    </row>
    <row r="1186" spans="1:7" x14ac:dyDescent="0.25">
      <c r="A1186">
        <v>8070003</v>
      </c>
      <c r="B1186" s="1">
        <v>45078</v>
      </c>
      <c r="C1186" t="s">
        <v>652</v>
      </c>
      <c r="D1186">
        <v>3000</v>
      </c>
      <c r="E1186" s="14">
        <v>18750</v>
      </c>
      <c r="F1186" t="str">
        <f t="shared" si="36"/>
        <v>junho</v>
      </c>
      <c r="G1186">
        <f t="shared" si="37"/>
        <v>2023</v>
      </c>
    </row>
    <row r="1187" spans="1:7" x14ac:dyDescent="0.25">
      <c r="A1187">
        <v>8070004</v>
      </c>
      <c r="B1187" s="1">
        <v>45078</v>
      </c>
      <c r="C1187" t="s">
        <v>653</v>
      </c>
      <c r="D1187">
        <v>305</v>
      </c>
      <c r="E1187" s="14">
        <v>1925</v>
      </c>
      <c r="F1187" t="str">
        <f t="shared" si="36"/>
        <v>junho</v>
      </c>
      <c r="G1187">
        <f t="shared" si="37"/>
        <v>2023</v>
      </c>
    </row>
    <row r="1188" spans="1:7" x14ac:dyDescent="0.25">
      <c r="A1188">
        <v>8070007</v>
      </c>
      <c r="B1188" s="1">
        <v>45078</v>
      </c>
      <c r="C1188" t="s">
        <v>654</v>
      </c>
      <c r="D1188">
        <v>1646</v>
      </c>
      <c r="E1188" s="14">
        <v>13982.5</v>
      </c>
      <c r="F1188" t="str">
        <f t="shared" si="36"/>
        <v>junho</v>
      </c>
      <c r="G1188">
        <f t="shared" si="37"/>
        <v>2023</v>
      </c>
    </row>
    <row r="1189" spans="1:7" x14ac:dyDescent="0.25">
      <c r="A1189">
        <v>8070008</v>
      </c>
      <c r="B1189" s="1">
        <v>45078</v>
      </c>
      <c r="C1189" t="s">
        <v>368</v>
      </c>
      <c r="D1189">
        <v>460</v>
      </c>
      <c r="E1189" s="14">
        <v>4577</v>
      </c>
      <c r="F1189" t="str">
        <f t="shared" si="36"/>
        <v>junho</v>
      </c>
      <c r="G1189">
        <f t="shared" si="37"/>
        <v>2023</v>
      </c>
    </row>
    <row r="1190" spans="1:7" x14ac:dyDescent="0.25">
      <c r="A1190">
        <v>8070016</v>
      </c>
      <c r="B1190" s="1">
        <v>45078</v>
      </c>
      <c r="C1190" t="s">
        <v>395</v>
      </c>
      <c r="D1190">
        <v>36</v>
      </c>
      <c r="E1190" s="14">
        <v>205.2</v>
      </c>
      <c r="F1190" t="str">
        <f t="shared" si="36"/>
        <v>junho</v>
      </c>
      <c r="G1190">
        <f t="shared" si="37"/>
        <v>2023</v>
      </c>
    </row>
    <row r="1191" spans="1:7" x14ac:dyDescent="0.25">
      <c r="A1191">
        <v>8070025</v>
      </c>
      <c r="B1191" s="1">
        <v>45078</v>
      </c>
      <c r="C1191" t="s">
        <v>655</v>
      </c>
      <c r="D1191">
        <v>534</v>
      </c>
      <c r="E1191" s="14">
        <v>1362.3</v>
      </c>
      <c r="F1191" t="str">
        <f t="shared" si="36"/>
        <v>junho</v>
      </c>
      <c r="G1191">
        <f t="shared" si="37"/>
        <v>2023</v>
      </c>
    </row>
    <row r="1192" spans="1:7" x14ac:dyDescent="0.25">
      <c r="A1192">
        <v>8070026</v>
      </c>
      <c r="B1192" s="1">
        <v>45078</v>
      </c>
      <c r="C1192" t="s">
        <v>656</v>
      </c>
      <c r="D1192">
        <v>1440</v>
      </c>
      <c r="E1192" s="14">
        <v>4536</v>
      </c>
      <c r="F1192" t="str">
        <f t="shared" si="36"/>
        <v>junho</v>
      </c>
      <c r="G1192">
        <f t="shared" si="37"/>
        <v>2023</v>
      </c>
    </row>
    <row r="1193" spans="1:7" x14ac:dyDescent="0.25">
      <c r="A1193">
        <v>8070027</v>
      </c>
      <c r="B1193" s="1">
        <v>45078</v>
      </c>
      <c r="C1193" t="s">
        <v>657</v>
      </c>
      <c r="D1193">
        <v>1440</v>
      </c>
      <c r="E1193" s="14">
        <v>4608</v>
      </c>
      <c r="F1193" t="str">
        <f t="shared" si="36"/>
        <v>junho</v>
      </c>
      <c r="G1193">
        <f t="shared" si="37"/>
        <v>2023</v>
      </c>
    </row>
    <row r="1194" spans="1:7" x14ac:dyDescent="0.25">
      <c r="A1194">
        <v>8070028</v>
      </c>
      <c r="B1194" s="1">
        <v>45078</v>
      </c>
      <c r="C1194" t="s">
        <v>658</v>
      </c>
      <c r="D1194">
        <v>1000</v>
      </c>
      <c r="E1194" s="14">
        <v>3350</v>
      </c>
      <c r="F1194" t="str">
        <f t="shared" si="36"/>
        <v>junho</v>
      </c>
      <c r="G1194">
        <f t="shared" si="37"/>
        <v>2023</v>
      </c>
    </row>
    <row r="1195" spans="1:7" x14ac:dyDescent="0.25">
      <c r="A1195">
        <v>8070029</v>
      </c>
      <c r="B1195" s="1">
        <v>45078</v>
      </c>
      <c r="C1195" t="s">
        <v>659</v>
      </c>
      <c r="D1195">
        <v>200</v>
      </c>
      <c r="E1195" s="14">
        <v>740</v>
      </c>
      <c r="F1195" t="str">
        <f t="shared" si="36"/>
        <v>junho</v>
      </c>
      <c r="G1195">
        <f t="shared" si="37"/>
        <v>2023</v>
      </c>
    </row>
    <row r="1196" spans="1:7" x14ac:dyDescent="0.25">
      <c r="A1196">
        <v>8070050</v>
      </c>
      <c r="B1196" s="1">
        <v>45078</v>
      </c>
      <c r="C1196" t="s">
        <v>660</v>
      </c>
      <c r="D1196">
        <v>192</v>
      </c>
      <c r="E1196" s="14">
        <v>1459.2</v>
      </c>
      <c r="F1196" t="str">
        <f t="shared" si="36"/>
        <v>junho</v>
      </c>
      <c r="G1196">
        <f t="shared" si="37"/>
        <v>2023</v>
      </c>
    </row>
    <row r="1197" spans="1:7" x14ac:dyDescent="0.25">
      <c r="A1197">
        <v>8070053</v>
      </c>
      <c r="B1197" s="1">
        <v>45078</v>
      </c>
      <c r="C1197" t="s">
        <v>661</v>
      </c>
      <c r="D1197">
        <v>11135.77</v>
      </c>
      <c r="E1197" s="14">
        <v>15715.17</v>
      </c>
      <c r="F1197" t="str">
        <f t="shared" si="36"/>
        <v>junho</v>
      </c>
      <c r="G1197">
        <f t="shared" si="37"/>
        <v>2023</v>
      </c>
    </row>
    <row r="1198" spans="1:7" x14ac:dyDescent="0.25">
      <c r="A1198">
        <v>8070054</v>
      </c>
      <c r="B1198" s="1">
        <v>45078</v>
      </c>
      <c r="C1198" t="s">
        <v>662</v>
      </c>
      <c r="D1198">
        <v>204</v>
      </c>
      <c r="E1198" s="14">
        <v>1377</v>
      </c>
      <c r="F1198" t="str">
        <f t="shared" si="36"/>
        <v>junho</v>
      </c>
      <c r="G1198">
        <f t="shared" si="37"/>
        <v>2023</v>
      </c>
    </row>
    <row r="1199" spans="1:7" x14ac:dyDescent="0.25">
      <c r="A1199">
        <v>8070055</v>
      </c>
      <c r="B1199" s="1">
        <v>45078</v>
      </c>
      <c r="C1199" t="s">
        <v>663</v>
      </c>
      <c r="D1199">
        <v>600</v>
      </c>
      <c r="E1199" s="14">
        <v>1352.4</v>
      </c>
      <c r="F1199" t="str">
        <f t="shared" si="36"/>
        <v>junho</v>
      </c>
      <c r="G1199">
        <f t="shared" si="37"/>
        <v>2023</v>
      </c>
    </row>
    <row r="1200" spans="1:7" x14ac:dyDescent="0.25">
      <c r="A1200">
        <v>8070058</v>
      </c>
      <c r="B1200" s="1">
        <v>45078</v>
      </c>
      <c r="C1200" t="s">
        <v>664</v>
      </c>
      <c r="D1200">
        <v>1872</v>
      </c>
      <c r="E1200" s="14">
        <v>8049.6</v>
      </c>
      <c r="F1200" t="str">
        <f t="shared" si="36"/>
        <v>junho</v>
      </c>
      <c r="G1200">
        <f t="shared" si="37"/>
        <v>2023</v>
      </c>
    </row>
    <row r="1201" spans="1:7" x14ac:dyDescent="0.25">
      <c r="A1201">
        <v>8070059</v>
      </c>
      <c r="B1201" s="1">
        <v>45078</v>
      </c>
      <c r="C1201" t="s">
        <v>665</v>
      </c>
      <c r="D1201">
        <v>648</v>
      </c>
      <c r="E1201" s="14">
        <v>2268</v>
      </c>
      <c r="F1201" t="str">
        <f t="shared" si="36"/>
        <v>junho</v>
      </c>
      <c r="G1201">
        <f t="shared" si="37"/>
        <v>2023</v>
      </c>
    </row>
    <row r="1202" spans="1:7" x14ac:dyDescent="0.25">
      <c r="A1202">
        <v>8120002</v>
      </c>
      <c r="B1202" s="1">
        <v>45078</v>
      </c>
      <c r="C1202" t="s">
        <v>501</v>
      </c>
      <c r="D1202">
        <v>3240</v>
      </c>
      <c r="E1202" s="14">
        <v>8910</v>
      </c>
      <c r="F1202" t="str">
        <f t="shared" si="36"/>
        <v>junho</v>
      </c>
      <c r="G1202">
        <f t="shared" si="37"/>
        <v>2023</v>
      </c>
    </row>
    <row r="1203" spans="1:7" x14ac:dyDescent="0.25">
      <c r="A1203">
        <v>8120003</v>
      </c>
      <c r="B1203" s="1">
        <v>45078</v>
      </c>
      <c r="C1203" t="s">
        <v>376</v>
      </c>
      <c r="D1203">
        <v>504</v>
      </c>
      <c r="E1203" s="14">
        <v>1491.84</v>
      </c>
      <c r="F1203" t="str">
        <f t="shared" si="36"/>
        <v>junho</v>
      </c>
      <c r="G1203">
        <f t="shared" si="37"/>
        <v>2023</v>
      </c>
    </row>
    <row r="1204" spans="1:7" x14ac:dyDescent="0.25">
      <c r="A1204">
        <v>8120005</v>
      </c>
      <c r="B1204" s="1">
        <v>45078</v>
      </c>
      <c r="C1204" t="s">
        <v>407</v>
      </c>
      <c r="D1204">
        <v>2000</v>
      </c>
      <c r="E1204" s="14">
        <v>9320</v>
      </c>
      <c r="F1204" t="str">
        <f t="shared" si="36"/>
        <v>junho</v>
      </c>
      <c r="G1204">
        <f t="shared" si="37"/>
        <v>2023</v>
      </c>
    </row>
    <row r="1205" spans="1:7" x14ac:dyDescent="0.25">
      <c r="A1205">
        <v>8120008</v>
      </c>
      <c r="B1205" s="1">
        <v>45078</v>
      </c>
      <c r="C1205" t="s">
        <v>409</v>
      </c>
      <c r="D1205">
        <v>4.99</v>
      </c>
      <c r="E1205" s="14">
        <v>27.23</v>
      </c>
      <c r="F1205" t="str">
        <f t="shared" si="36"/>
        <v>junho</v>
      </c>
      <c r="G1205">
        <f t="shared" si="37"/>
        <v>2023</v>
      </c>
    </row>
    <row r="1206" spans="1:7" x14ac:dyDescent="0.25">
      <c r="A1206">
        <v>8120014</v>
      </c>
      <c r="B1206" s="1">
        <v>45078</v>
      </c>
      <c r="C1206" t="s">
        <v>411</v>
      </c>
      <c r="D1206">
        <v>702.4</v>
      </c>
      <c r="E1206" s="14">
        <v>13064.73</v>
      </c>
      <c r="F1206" t="str">
        <f t="shared" si="36"/>
        <v>junho</v>
      </c>
      <c r="G1206">
        <f t="shared" si="37"/>
        <v>2023</v>
      </c>
    </row>
    <row r="1207" spans="1:7" x14ac:dyDescent="0.25">
      <c r="A1207">
        <v>8120015</v>
      </c>
      <c r="B1207" s="1">
        <v>45078</v>
      </c>
      <c r="C1207" t="s">
        <v>412</v>
      </c>
      <c r="D1207">
        <v>4860</v>
      </c>
      <c r="E1207" s="14">
        <v>13851</v>
      </c>
      <c r="F1207" t="str">
        <f t="shared" si="36"/>
        <v>junho</v>
      </c>
      <c r="G1207">
        <f t="shared" si="37"/>
        <v>2023</v>
      </c>
    </row>
    <row r="1208" spans="1:7" x14ac:dyDescent="0.25">
      <c r="A1208">
        <v>8120017</v>
      </c>
      <c r="B1208" s="1">
        <v>45078</v>
      </c>
      <c r="C1208" t="s">
        <v>666</v>
      </c>
      <c r="D1208">
        <v>1953.82</v>
      </c>
      <c r="E1208" s="14">
        <v>13481.36</v>
      </c>
      <c r="F1208" t="str">
        <f t="shared" si="36"/>
        <v>junho</v>
      </c>
      <c r="G1208">
        <f t="shared" si="37"/>
        <v>2023</v>
      </c>
    </row>
    <row r="1209" spans="1:7" x14ac:dyDescent="0.25">
      <c r="A1209">
        <v>8120018</v>
      </c>
      <c r="B1209" s="1">
        <v>45078</v>
      </c>
      <c r="C1209" t="s">
        <v>667</v>
      </c>
      <c r="D1209">
        <v>623.57000000000005</v>
      </c>
      <c r="E1209" s="14">
        <v>5763.89</v>
      </c>
      <c r="F1209" t="str">
        <f t="shared" si="36"/>
        <v>junho</v>
      </c>
      <c r="G1209">
        <f t="shared" si="37"/>
        <v>2023</v>
      </c>
    </row>
    <row r="1210" spans="1:7" x14ac:dyDescent="0.25">
      <c r="A1210">
        <v>8120019</v>
      </c>
      <c r="B1210" s="1">
        <v>45078</v>
      </c>
      <c r="C1210" t="s">
        <v>668</v>
      </c>
      <c r="D1210">
        <v>2.17</v>
      </c>
      <c r="E1210" s="14">
        <v>20.68</v>
      </c>
      <c r="F1210" t="str">
        <f t="shared" si="36"/>
        <v>junho</v>
      </c>
      <c r="G1210">
        <f t="shared" si="37"/>
        <v>2023</v>
      </c>
    </row>
    <row r="1211" spans="1:7" x14ac:dyDescent="0.25">
      <c r="A1211">
        <v>8120035</v>
      </c>
      <c r="B1211" s="1">
        <v>45078</v>
      </c>
      <c r="C1211" t="s">
        <v>669</v>
      </c>
      <c r="D1211">
        <v>1440</v>
      </c>
      <c r="E1211" s="14">
        <v>7084.8</v>
      </c>
      <c r="F1211" t="str">
        <f t="shared" si="36"/>
        <v>junho</v>
      </c>
      <c r="G1211">
        <f t="shared" si="37"/>
        <v>2023</v>
      </c>
    </row>
    <row r="1212" spans="1:7" x14ac:dyDescent="0.25">
      <c r="A1212">
        <v>8120036</v>
      </c>
      <c r="B1212" s="1">
        <v>45078</v>
      </c>
      <c r="C1212" t="s">
        <v>670</v>
      </c>
      <c r="D1212">
        <v>200</v>
      </c>
      <c r="E1212" s="14">
        <v>490</v>
      </c>
      <c r="F1212" t="str">
        <f t="shared" si="36"/>
        <v>junho</v>
      </c>
      <c r="G1212">
        <f t="shared" si="37"/>
        <v>2023</v>
      </c>
    </row>
    <row r="1213" spans="1:7" x14ac:dyDescent="0.25">
      <c r="A1213">
        <v>8130001</v>
      </c>
      <c r="B1213" s="1">
        <v>45078</v>
      </c>
      <c r="C1213" t="s">
        <v>671</v>
      </c>
      <c r="D1213">
        <v>1183</v>
      </c>
      <c r="E1213" s="14">
        <v>2544.35</v>
      </c>
      <c r="F1213" t="str">
        <f t="shared" si="36"/>
        <v>junho</v>
      </c>
      <c r="G1213">
        <f t="shared" si="37"/>
        <v>2023</v>
      </c>
    </row>
    <row r="1214" spans="1:7" x14ac:dyDescent="0.25">
      <c r="A1214">
        <v>8130007</v>
      </c>
      <c r="B1214" s="1">
        <v>45078</v>
      </c>
      <c r="C1214" t="s">
        <v>672</v>
      </c>
      <c r="D1214">
        <v>2160</v>
      </c>
      <c r="E1214" s="14">
        <v>3916.08</v>
      </c>
      <c r="F1214" t="str">
        <f t="shared" si="36"/>
        <v>junho</v>
      </c>
      <c r="G1214">
        <f t="shared" si="37"/>
        <v>2023</v>
      </c>
    </row>
    <row r="1215" spans="1:7" x14ac:dyDescent="0.25">
      <c r="A1215">
        <v>8130010</v>
      </c>
      <c r="B1215" s="1">
        <v>45078</v>
      </c>
      <c r="C1215" t="s">
        <v>619</v>
      </c>
      <c r="D1215">
        <v>2100</v>
      </c>
      <c r="E1215" s="14">
        <v>3114</v>
      </c>
      <c r="F1215" t="str">
        <f t="shared" si="36"/>
        <v>junho</v>
      </c>
      <c r="G1215">
        <f t="shared" si="37"/>
        <v>2023</v>
      </c>
    </row>
    <row r="1216" spans="1:7" x14ac:dyDescent="0.25">
      <c r="A1216">
        <v>8130013</v>
      </c>
      <c r="B1216" s="1">
        <v>45078</v>
      </c>
      <c r="C1216" t="s">
        <v>673</v>
      </c>
      <c r="D1216">
        <v>1</v>
      </c>
      <c r="E1216" s="14">
        <v>3.73</v>
      </c>
      <c r="F1216" t="str">
        <f t="shared" si="36"/>
        <v>junho</v>
      </c>
      <c r="G1216">
        <f t="shared" si="37"/>
        <v>2023</v>
      </c>
    </row>
    <row r="1217" spans="1:7" x14ac:dyDescent="0.25">
      <c r="A1217">
        <v>8130014</v>
      </c>
      <c r="B1217" s="1">
        <v>45078</v>
      </c>
      <c r="C1217" t="s">
        <v>417</v>
      </c>
      <c r="D1217">
        <v>40</v>
      </c>
      <c r="E1217" s="14">
        <v>148</v>
      </c>
      <c r="F1217" t="str">
        <f t="shared" si="36"/>
        <v>junho</v>
      </c>
      <c r="G1217">
        <f t="shared" si="37"/>
        <v>2023</v>
      </c>
    </row>
    <row r="1218" spans="1:7" x14ac:dyDescent="0.25">
      <c r="A1218">
        <v>8130015</v>
      </c>
      <c r="B1218" s="1">
        <v>45078</v>
      </c>
      <c r="C1218" t="s">
        <v>622</v>
      </c>
      <c r="D1218">
        <v>637</v>
      </c>
      <c r="E1218" s="14">
        <v>2190.48</v>
      </c>
      <c r="F1218" t="str">
        <f t="shared" si="36"/>
        <v>junho</v>
      </c>
      <c r="G1218">
        <f t="shared" si="37"/>
        <v>2023</v>
      </c>
    </row>
    <row r="1219" spans="1:7" x14ac:dyDescent="0.25">
      <c r="A1219">
        <v>8140001</v>
      </c>
      <c r="B1219" s="1">
        <v>45078</v>
      </c>
      <c r="C1219" t="s">
        <v>381</v>
      </c>
      <c r="D1219">
        <v>708</v>
      </c>
      <c r="E1219" s="14">
        <v>3009.4</v>
      </c>
      <c r="F1219" t="str">
        <f t="shared" ref="F1219:F1282" si="38">TEXT(B1219,"mmmm")</f>
        <v>junho</v>
      </c>
      <c r="G1219">
        <f t="shared" ref="G1219:G1282" si="39">YEAR(B1219)</f>
        <v>2023</v>
      </c>
    </row>
    <row r="1220" spans="1:7" x14ac:dyDescent="0.25">
      <c r="A1220">
        <v>8140006</v>
      </c>
      <c r="B1220" s="1">
        <v>45078</v>
      </c>
      <c r="C1220" t="s">
        <v>423</v>
      </c>
      <c r="D1220">
        <v>5</v>
      </c>
      <c r="E1220" s="14">
        <v>11.6</v>
      </c>
      <c r="F1220" t="str">
        <f t="shared" si="38"/>
        <v>junho</v>
      </c>
      <c r="G1220">
        <f t="shared" si="39"/>
        <v>2023</v>
      </c>
    </row>
    <row r="1221" spans="1:7" x14ac:dyDescent="0.25">
      <c r="A1221">
        <v>8140012</v>
      </c>
      <c r="B1221" s="1">
        <v>45078</v>
      </c>
      <c r="C1221" t="s">
        <v>425</v>
      </c>
      <c r="D1221">
        <v>129.66</v>
      </c>
      <c r="E1221" s="14">
        <v>2528.37</v>
      </c>
      <c r="F1221" t="str">
        <f t="shared" si="38"/>
        <v>junho</v>
      </c>
      <c r="G1221">
        <f t="shared" si="39"/>
        <v>2023</v>
      </c>
    </row>
    <row r="1222" spans="1:7" x14ac:dyDescent="0.25">
      <c r="A1222">
        <v>8140013</v>
      </c>
      <c r="B1222" s="1">
        <v>45078</v>
      </c>
      <c r="C1222" t="s">
        <v>674</v>
      </c>
      <c r="D1222">
        <v>1640</v>
      </c>
      <c r="E1222" s="14">
        <v>3534.8</v>
      </c>
      <c r="F1222" t="str">
        <f t="shared" si="38"/>
        <v>junho</v>
      </c>
      <c r="G1222">
        <f t="shared" si="39"/>
        <v>2023</v>
      </c>
    </row>
    <row r="1223" spans="1:7" x14ac:dyDescent="0.25">
      <c r="A1223">
        <v>8140014</v>
      </c>
      <c r="B1223" s="1">
        <v>45078</v>
      </c>
      <c r="C1223" t="s">
        <v>675</v>
      </c>
      <c r="D1223">
        <v>620</v>
      </c>
      <c r="E1223" s="14">
        <v>2045.6</v>
      </c>
      <c r="F1223" t="str">
        <f t="shared" si="38"/>
        <v>junho</v>
      </c>
      <c r="G1223">
        <f t="shared" si="39"/>
        <v>2023</v>
      </c>
    </row>
    <row r="1224" spans="1:7" x14ac:dyDescent="0.25">
      <c r="A1224">
        <v>8140015</v>
      </c>
      <c r="B1224" s="1">
        <v>45078</v>
      </c>
      <c r="C1224" t="s">
        <v>676</v>
      </c>
      <c r="D1224">
        <v>1404</v>
      </c>
      <c r="E1224" s="14">
        <v>4345.3999999999996</v>
      </c>
      <c r="F1224" t="str">
        <f t="shared" si="38"/>
        <v>junho</v>
      </c>
      <c r="G1224">
        <f t="shared" si="39"/>
        <v>2023</v>
      </c>
    </row>
    <row r="1225" spans="1:7" x14ac:dyDescent="0.25">
      <c r="A1225">
        <v>8140016</v>
      </c>
      <c r="B1225" s="1">
        <v>45078</v>
      </c>
      <c r="C1225" t="s">
        <v>677</v>
      </c>
      <c r="D1225">
        <v>2724</v>
      </c>
      <c r="E1225" s="14">
        <v>10634.52</v>
      </c>
      <c r="F1225" t="str">
        <f t="shared" si="38"/>
        <v>junho</v>
      </c>
      <c r="G1225">
        <f t="shared" si="39"/>
        <v>2023</v>
      </c>
    </row>
    <row r="1226" spans="1:7" x14ac:dyDescent="0.25">
      <c r="A1226">
        <v>8150001</v>
      </c>
      <c r="B1226" s="1">
        <v>45078</v>
      </c>
      <c r="C1226" t="s">
        <v>382</v>
      </c>
      <c r="D1226">
        <v>1470</v>
      </c>
      <c r="E1226" s="14">
        <v>19183</v>
      </c>
      <c r="F1226" t="str">
        <f t="shared" si="38"/>
        <v>junho</v>
      </c>
      <c r="G1226">
        <f t="shared" si="39"/>
        <v>2023</v>
      </c>
    </row>
    <row r="1227" spans="1:7" x14ac:dyDescent="0.25">
      <c r="A1227">
        <v>8150002</v>
      </c>
      <c r="B1227" s="1">
        <v>45078</v>
      </c>
      <c r="C1227" t="s">
        <v>383</v>
      </c>
      <c r="D1227">
        <v>631</v>
      </c>
      <c r="E1227" s="14">
        <v>5803.56</v>
      </c>
      <c r="F1227" t="str">
        <f t="shared" si="38"/>
        <v>junho</v>
      </c>
      <c r="G1227">
        <f t="shared" si="39"/>
        <v>2023</v>
      </c>
    </row>
    <row r="1228" spans="1:7" x14ac:dyDescent="0.25">
      <c r="A1228">
        <v>8150004</v>
      </c>
      <c r="B1228" s="1">
        <v>45078</v>
      </c>
      <c r="C1228" t="s">
        <v>625</v>
      </c>
      <c r="D1228">
        <v>224</v>
      </c>
      <c r="E1228" s="14">
        <v>1593.1</v>
      </c>
      <c r="F1228" t="str">
        <f t="shared" si="38"/>
        <v>junho</v>
      </c>
      <c r="G1228">
        <f t="shared" si="39"/>
        <v>2023</v>
      </c>
    </row>
    <row r="1229" spans="1:7" x14ac:dyDescent="0.25">
      <c r="A1229">
        <v>8150005</v>
      </c>
      <c r="B1229" s="1">
        <v>45078</v>
      </c>
      <c r="C1229" t="s">
        <v>386</v>
      </c>
      <c r="D1229">
        <v>3960</v>
      </c>
      <c r="E1229" s="14">
        <v>21656.7</v>
      </c>
      <c r="F1229" t="str">
        <f t="shared" si="38"/>
        <v>junho</v>
      </c>
      <c r="G1229">
        <f t="shared" si="39"/>
        <v>2023</v>
      </c>
    </row>
    <row r="1230" spans="1:7" x14ac:dyDescent="0.25">
      <c r="A1230">
        <v>8150006</v>
      </c>
      <c r="B1230" s="1">
        <v>45078</v>
      </c>
      <c r="C1230" t="s">
        <v>387</v>
      </c>
      <c r="D1230">
        <v>1450</v>
      </c>
      <c r="E1230" s="14">
        <v>7100</v>
      </c>
      <c r="F1230" t="str">
        <f t="shared" si="38"/>
        <v>junho</v>
      </c>
      <c r="G1230">
        <f t="shared" si="39"/>
        <v>2023</v>
      </c>
    </row>
    <row r="1231" spans="1:7" x14ac:dyDescent="0.25">
      <c r="A1231">
        <v>8150009</v>
      </c>
      <c r="B1231" s="1">
        <v>45078</v>
      </c>
      <c r="C1231" t="s">
        <v>678</v>
      </c>
      <c r="D1231">
        <v>1200</v>
      </c>
      <c r="E1231" s="14">
        <v>21120</v>
      </c>
      <c r="F1231" t="str">
        <f t="shared" si="38"/>
        <v>junho</v>
      </c>
      <c r="G1231">
        <f t="shared" si="39"/>
        <v>2023</v>
      </c>
    </row>
    <row r="1232" spans="1:7" x14ac:dyDescent="0.25">
      <c r="A1232">
        <v>8150011</v>
      </c>
      <c r="B1232" s="1">
        <v>45078</v>
      </c>
      <c r="C1232" t="s">
        <v>532</v>
      </c>
      <c r="D1232">
        <v>7</v>
      </c>
      <c r="E1232" s="14">
        <v>40.39</v>
      </c>
      <c r="F1232" t="str">
        <f t="shared" si="38"/>
        <v>junho</v>
      </c>
      <c r="G1232">
        <f t="shared" si="39"/>
        <v>2023</v>
      </c>
    </row>
    <row r="1233" spans="1:7" x14ac:dyDescent="0.25">
      <c r="A1233">
        <v>8150018</v>
      </c>
      <c r="B1233" s="1">
        <v>45078</v>
      </c>
      <c r="C1233" t="s">
        <v>679</v>
      </c>
      <c r="D1233">
        <v>720</v>
      </c>
      <c r="E1233" s="14">
        <v>5904</v>
      </c>
      <c r="F1233" t="str">
        <f t="shared" si="38"/>
        <v>junho</v>
      </c>
      <c r="G1233">
        <f t="shared" si="39"/>
        <v>2023</v>
      </c>
    </row>
    <row r="1234" spans="1:7" x14ac:dyDescent="0.25">
      <c r="A1234">
        <v>8150019</v>
      </c>
      <c r="B1234" s="1">
        <v>45078</v>
      </c>
      <c r="C1234" t="s">
        <v>680</v>
      </c>
      <c r="D1234">
        <v>840</v>
      </c>
      <c r="E1234" s="14">
        <v>4452</v>
      </c>
      <c r="F1234" t="str">
        <f t="shared" si="38"/>
        <v>junho</v>
      </c>
      <c r="G1234">
        <f t="shared" si="39"/>
        <v>2023</v>
      </c>
    </row>
    <row r="1235" spans="1:7" x14ac:dyDescent="0.25">
      <c r="A1235">
        <v>8150020</v>
      </c>
      <c r="B1235" s="1">
        <v>45078</v>
      </c>
      <c r="C1235" t="s">
        <v>681</v>
      </c>
      <c r="D1235">
        <v>630</v>
      </c>
      <c r="E1235" s="14">
        <v>5323.5</v>
      </c>
      <c r="F1235" t="str">
        <f t="shared" si="38"/>
        <v>junho</v>
      </c>
      <c r="G1235">
        <f t="shared" si="39"/>
        <v>2023</v>
      </c>
    </row>
    <row r="1236" spans="1:7" x14ac:dyDescent="0.25">
      <c r="A1236">
        <v>8150021</v>
      </c>
      <c r="B1236" s="1">
        <v>45078</v>
      </c>
      <c r="C1236" t="s">
        <v>682</v>
      </c>
      <c r="D1236">
        <v>630</v>
      </c>
      <c r="E1236" s="14">
        <v>5134.5</v>
      </c>
      <c r="F1236" t="str">
        <f t="shared" si="38"/>
        <v>junho</v>
      </c>
      <c r="G1236">
        <f t="shared" si="39"/>
        <v>2023</v>
      </c>
    </row>
    <row r="1237" spans="1:7" x14ac:dyDescent="0.25">
      <c r="A1237">
        <v>8160001</v>
      </c>
      <c r="B1237" s="1">
        <v>45078</v>
      </c>
      <c r="C1237" t="s">
        <v>683</v>
      </c>
      <c r="D1237">
        <v>741.88</v>
      </c>
      <c r="E1237" s="14">
        <v>7418.8</v>
      </c>
      <c r="F1237" t="str">
        <f t="shared" si="38"/>
        <v>junho</v>
      </c>
      <c r="G1237">
        <f t="shared" si="39"/>
        <v>2023</v>
      </c>
    </row>
    <row r="1238" spans="1:7" x14ac:dyDescent="0.25">
      <c r="A1238">
        <v>1010200</v>
      </c>
      <c r="B1238" s="1">
        <v>45108</v>
      </c>
      <c r="C1238" t="s">
        <v>331</v>
      </c>
      <c r="D1238">
        <v>817.2</v>
      </c>
      <c r="E1238">
        <v>245.16</v>
      </c>
      <c r="F1238" t="str">
        <f t="shared" si="38"/>
        <v>julho</v>
      </c>
      <c r="G1238">
        <f t="shared" si="39"/>
        <v>2023</v>
      </c>
    </row>
    <row r="1239" spans="1:7" x14ac:dyDescent="0.25">
      <c r="A1239">
        <v>1010300</v>
      </c>
      <c r="B1239" s="1">
        <v>45108</v>
      </c>
      <c r="C1239" t="s">
        <v>333</v>
      </c>
      <c r="D1239">
        <v>387.6</v>
      </c>
      <c r="E1239">
        <v>116.28</v>
      </c>
      <c r="F1239" t="str">
        <f t="shared" si="38"/>
        <v>julho</v>
      </c>
      <c r="G1239">
        <f t="shared" si="39"/>
        <v>2023</v>
      </c>
    </row>
    <row r="1240" spans="1:7" x14ac:dyDescent="0.25">
      <c r="A1240">
        <v>1010400</v>
      </c>
      <c r="B1240" s="1">
        <v>45108</v>
      </c>
      <c r="C1240" t="s">
        <v>540</v>
      </c>
      <c r="D1240">
        <v>402</v>
      </c>
      <c r="E1240">
        <v>103.95</v>
      </c>
      <c r="F1240" t="str">
        <f t="shared" si="38"/>
        <v>julho</v>
      </c>
      <c r="G1240">
        <f t="shared" si="39"/>
        <v>2023</v>
      </c>
    </row>
    <row r="1241" spans="1:7" x14ac:dyDescent="0.25">
      <c r="A1241">
        <v>1010500</v>
      </c>
      <c r="B1241" s="1">
        <v>45108</v>
      </c>
      <c r="C1241" t="s">
        <v>6</v>
      </c>
      <c r="D1241">
        <v>2084.54</v>
      </c>
      <c r="E1241">
        <v>1244.6300000000001</v>
      </c>
      <c r="F1241" t="str">
        <f t="shared" si="38"/>
        <v>julho</v>
      </c>
      <c r="G1241">
        <f t="shared" si="39"/>
        <v>2023</v>
      </c>
    </row>
    <row r="1242" spans="1:7" x14ac:dyDescent="0.25">
      <c r="A1242">
        <v>1010600</v>
      </c>
      <c r="B1242" s="1">
        <v>45108</v>
      </c>
      <c r="C1242" t="s">
        <v>334</v>
      </c>
      <c r="D1242">
        <v>13322.58</v>
      </c>
      <c r="E1242">
        <v>8762.2199999999993</v>
      </c>
      <c r="F1242" t="str">
        <f t="shared" si="38"/>
        <v>julho</v>
      </c>
      <c r="G1242">
        <f t="shared" si="39"/>
        <v>2023</v>
      </c>
    </row>
    <row r="1243" spans="1:7" x14ac:dyDescent="0.25">
      <c r="A1243">
        <v>1010700</v>
      </c>
      <c r="B1243" s="1">
        <v>45108</v>
      </c>
      <c r="C1243" t="s">
        <v>335</v>
      </c>
      <c r="D1243">
        <v>393.92</v>
      </c>
      <c r="E1243">
        <v>675.69</v>
      </c>
      <c r="F1243" t="str">
        <f t="shared" si="38"/>
        <v>julho</v>
      </c>
      <c r="G1243">
        <f t="shared" si="39"/>
        <v>2023</v>
      </c>
    </row>
    <row r="1244" spans="1:7" x14ac:dyDescent="0.25">
      <c r="A1244">
        <v>1010701</v>
      </c>
      <c r="B1244" s="1">
        <v>45108</v>
      </c>
      <c r="C1244" t="s">
        <v>12</v>
      </c>
      <c r="D1244">
        <v>54.62</v>
      </c>
      <c r="E1244">
        <v>415.97</v>
      </c>
      <c r="F1244" t="str">
        <f t="shared" si="38"/>
        <v>julho</v>
      </c>
      <c r="G1244">
        <f t="shared" si="39"/>
        <v>2023</v>
      </c>
    </row>
    <row r="1245" spans="1:7" x14ac:dyDescent="0.25">
      <c r="A1245">
        <v>1010732</v>
      </c>
      <c r="B1245" s="1">
        <v>45108</v>
      </c>
      <c r="C1245" t="s">
        <v>14</v>
      </c>
      <c r="D1245">
        <v>70</v>
      </c>
      <c r="E1245">
        <v>574</v>
      </c>
      <c r="F1245" t="str">
        <f t="shared" si="38"/>
        <v>julho</v>
      </c>
      <c r="G1245">
        <f t="shared" si="39"/>
        <v>2023</v>
      </c>
    </row>
    <row r="1246" spans="1:7" x14ac:dyDescent="0.25">
      <c r="A1246">
        <v>1010900</v>
      </c>
      <c r="B1246" s="1">
        <v>45108</v>
      </c>
      <c r="C1246" t="s">
        <v>336</v>
      </c>
      <c r="D1246">
        <v>23.7</v>
      </c>
      <c r="E1246">
        <v>34.35</v>
      </c>
      <c r="F1246" t="str">
        <f t="shared" si="38"/>
        <v>julho</v>
      </c>
      <c r="G1246">
        <f t="shared" si="39"/>
        <v>2023</v>
      </c>
    </row>
    <row r="1247" spans="1:7" x14ac:dyDescent="0.25">
      <c r="A1247">
        <v>1010901</v>
      </c>
      <c r="B1247" s="1">
        <v>45108</v>
      </c>
      <c r="C1247" t="s">
        <v>337</v>
      </c>
      <c r="D1247">
        <v>5.5</v>
      </c>
      <c r="E1247">
        <v>5.5</v>
      </c>
      <c r="F1247" t="str">
        <f t="shared" si="38"/>
        <v>julho</v>
      </c>
      <c r="G1247">
        <f t="shared" si="39"/>
        <v>2023</v>
      </c>
    </row>
    <row r="1248" spans="1:7" x14ac:dyDescent="0.25">
      <c r="A1248">
        <v>1010902</v>
      </c>
      <c r="B1248" s="1">
        <v>45108</v>
      </c>
      <c r="C1248" t="s">
        <v>431</v>
      </c>
      <c r="D1248">
        <v>501.78</v>
      </c>
      <c r="E1248">
        <v>650.03</v>
      </c>
      <c r="F1248" t="str">
        <f t="shared" si="38"/>
        <v>julho</v>
      </c>
      <c r="G1248">
        <f t="shared" si="39"/>
        <v>2023</v>
      </c>
    </row>
    <row r="1249" spans="1:7" x14ac:dyDescent="0.25">
      <c r="A1249">
        <v>1010903</v>
      </c>
      <c r="B1249" s="1">
        <v>45108</v>
      </c>
      <c r="C1249" t="s">
        <v>629</v>
      </c>
      <c r="D1249">
        <v>98.8</v>
      </c>
      <c r="E1249">
        <v>95.84</v>
      </c>
      <c r="F1249" t="str">
        <f t="shared" si="38"/>
        <v>julho</v>
      </c>
      <c r="G1249">
        <f t="shared" si="39"/>
        <v>2023</v>
      </c>
    </row>
    <row r="1250" spans="1:7" x14ac:dyDescent="0.25">
      <c r="A1250">
        <v>1011000</v>
      </c>
      <c r="B1250" s="1">
        <v>45108</v>
      </c>
      <c r="C1250" t="s">
        <v>20</v>
      </c>
      <c r="D1250">
        <v>974.06</v>
      </c>
      <c r="E1250">
        <v>703.02</v>
      </c>
      <c r="F1250" t="str">
        <f t="shared" si="38"/>
        <v>julho</v>
      </c>
      <c r="G1250">
        <f t="shared" si="39"/>
        <v>2023</v>
      </c>
    </row>
    <row r="1251" spans="1:7" x14ac:dyDescent="0.25">
      <c r="A1251">
        <v>1011100</v>
      </c>
      <c r="B1251" s="1">
        <v>45108</v>
      </c>
      <c r="C1251" t="s">
        <v>293</v>
      </c>
      <c r="D1251">
        <v>57.7</v>
      </c>
      <c r="E1251">
        <v>29.4</v>
      </c>
      <c r="F1251" t="str">
        <f t="shared" si="38"/>
        <v>julho</v>
      </c>
      <c r="G1251">
        <f t="shared" si="39"/>
        <v>2023</v>
      </c>
    </row>
    <row r="1252" spans="1:7" x14ac:dyDescent="0.25">
      <c r="A1252">
        <v>1011200</v>
      </c>
      <c r="B1252" s="1">
        <v>45108</v>
      </c>
      <c r="C1252" t="s">
        <v>24</v>
      </c>
      <c r="D1252">
        <v>43.6</v>
      </c>
      <c r="E1252">
        <v>59.82</v>
      </c>
      <c r="F1252" t="str">
        <f t="shared" si="38"/>
        <v>julho</v>
      </c>
      <c r="G1252">
        <f t="shared" si="39"/>
        <v>2023</v>
      </c>
    </row>
    <row r="1253" spans="1:7" x14ac:dyDescent="0.25">
      <c r="A1253">
        <v>1011201</v>
      </c>
      <c r="B1253" s="1">
        <v>45108</v>
      </c>
      <c r="C1253" t="s">
        <v>338</v>
      </c>
      <c r="D1253">
        <v>117.5</v>
      </c>
      <c r="E1253">
        <v>317.25</v>
      </c>
      <c r="F1253" t="str">
        <f t="shared" si="38"/>
        <v>julho</v>
      </c>
      <c r="G1253">
        <f t="shared" si="39"/>
        <v>2023</v>
      </c>
    </row>
    <row r="1254" spans="1:7" x14ac:dyDescent="0.25">
      <c r="A1254">
        <v>1011202</v>
      </c>
      <c r="B1254" s="1">
        <v>45108</v>
      </c>
      <c r="C1254" t="s">
        <v>340</v>
      </c>
      <c r="D1254">
        <v>501.6</v>
      </c>
      <c r="E1254">
        <v>189.52</v>
      </c>
      <c r="F1254" t="str">
        <f t="shared" si="38"/>
        <v>julho</v>
      </c>
      <c r="G1254">
        <f t="shared" si="39"/>
        <v>2023</v>
      </c>
    </row>
    <row r="1255" spans="1:7" x14ac:dyDescent="0.25">
      <c r="A1255">
        <v>1011203</v>
      </c>
      <c r="B1255" s="1">
        <v>45108</v>
      </c>
      <c r="C1255" t="s">
        <v>342</v>
      </c>
      <c r="D1255">
        <v>125.3</v>
      </c>
      <c r="E1255">
        <v>75.180000000000007</v>
      </c>
      <c r="F1255" t="str">
        <f t="shared" si="38"/>
        <v>julho</v>
      </c>
      <c r="G1255">
        <f t="shared" si="39"/>
        <v>2023</v>
      </c>
    </row>
    <row r="1256" spans="1:7" x14ac:dyDescent="0.25">
      <c r="A1256">
        <v>1011204</v>
      </c>
      <c r="B1256" s="1">
        <v>45108</v>
      </c>
      <c r="C1256" t="s">
        <v>344</v>
      </c>
      <c r="D1256">
        <v>151.80000000000001</v>
      </c>
      <c r="E1256">
        <v>258.06</v>
      </c>
      <c r="F1256" t="str">
        <f t="shared" si="38"/>
        <v>julho</v>
      </c>
      <c r="G1256">
        <f t="shared" si="39"/>
        <v>2023</v>
      </c>
    </row>
    <row r="1257" spans="1:7" x14ac:dyDescent="0.25">
      <c r="A1257">
        <v>1011209</v>
      </c>
      <c r="B1257" s="1">
        <v>45108</v>
      </c>
      <c r="C1257" t="s">
        <v>684</v>
      </c>
      <c r="D1257">
        <v>47</v>
      </c>
      <c r="E1257">
        <v>16.45</v>
      </c>
      <c r="F1257" t="str">
        <f t="shared" si="38"/>
        <v>julho</v>
      </c>
      <c r="G1257">
        <f t="shared" si="39"/>
        <v>2023</v>
      </c>
    </row>
    <row r="1258" spans="1:7" x14ac:dyDescent="0.25">
      <c r="A1258">
        <v>1011211</v>
      </c>
      <c r="B1258" s="1">
        <v>45108</v>
      </c>
      <c r="C1258" t="s">
        <v>685</v>
      </c>
      <c r="D1258">
        <v>67.8</v>
      </c>
      <c r="E1258">
        <v>23.73</v>
      </c>
      <c r="F1258" t="str">
        <f t="shared" si="38"/>
        <v>julho</v>
      </c>
      <c r="G1258">
        <f t="shared" si="39"/>
        <v>2023</v>
      </c>
    </row>
    <row r="1259" spans="1:7" x14ac:dyDescent="0.25">
      <c r="A1259">
        <v>1011300</v>
      </c>
      <c r="B1259" s="1">
        <v>45108</v>
      </c>
      <c r="C1259" t="s">
        <v>295</v>
      </c>
      <c r="D1259">
        <v>3539.7</v>
      </c>
      <c r="E1259">
        <v>2831.76</v>
      </c>
      <c r="F1259" t="str">
        <f t="shared" si="38"/>
        <v>julho</v>
      </c>
      <c r="G1259">
        <f t="shared" si="39"/>
        <v>2023</v>
      </c>
    </row>
    <row r="1260" spans="1:7" x14ac:dyDescent="0.25">
      <c r="A1260">
        <v>1011400</v>
      </c>
      <c r="B1260" s="1">
        <v>45108</v>
      </c>
      <c r="C1260" t="s">
        <v>25</v>
      </c>
      <c r="D1260">
        <v>1</v>
      </c>
      <c r="E1260">
        <v>2.5</v>
      </c>
      <c r="F1260" t="str">
        <f t="shared" si="38"/>
        <v>julho</v>
      </c>
      <c r="G1260">
        <f t="shared" si="39"/>
        <v>2023</v>
      </c>
    </row>
    <row r="1261" spans="1:7" x14ac:dyDescent="0.25">
      <c r="A1261">
        <v>1011500</v>
      </c>
      <c r="B1261" s="1">
        <v>45108</v>
      </c>
      <c r="C1261" t="s">
        <v>27</v>
      </c>
      <c r="D1261">
        <v>3419.27</v>
      </c>
      <c r="E1261">
        <v>2715.23</v>
      </c>
      <c r="F1261" t="str">
        <f t="shared" si="38"/>
        <v>julho</v>
      </c>
      <c r="G1261">
        <f t="shared" si="39"/>
        <v>2023</v>
      </c>
    </row>
    <row r="1262" spans="1:7" x14ac:dyDescent="0.25">
      <c r="A1262">
        <v>1011604</v>
      </c>
      <c r="B1262" s="1">
        <v>45108</v>
      </c>
      <c r="C1262" t="s">
        <v>29</v>
      </c>
      <c r="D1262">
        <v>21753</v>
      </c>
      <c r="E1262">
        <v>1725.84</v>
      </c>
      <c r="F1262" t="str">
        <f t="shared" si="38"/>
        <v>julho</v>
      </c>
      <c r="G1262">
        <f t="shared" si="39"/>
        <v>2023</v>
      </c>
    </row>
    <row r="1263" spans="1:7" x14ac:dyDescent="0.25">
      <c r="A1263">
        <v>1011700</v>
      </c>
      <c r="B1263" s="1">
        <v>45108</v>
      </c>
      <c r="C1263" t="s">
        <v>31</v>
      </c>
      <c r="D1263">
        <v>262</v>
      </c>
      <c r="E1263">
        <v>432.57</v>
      </c>
      <c r="F1263" t="str">
        <f t="shared" si="38"/>
        <v>julho</v>
      </c>
      <c r="G1263">
        <f t="shared" si="39"/>
        <v>2023</v>
      </c>
    </row>
    <row r="1264" spans="1:7" x14ac:dyDescent="0.25">
      <c r="A1264">
        <v>1011800</v>
      </c>
      <c r="B1264" s="1">
        <v>45108</v>
      </c>
      <c r="C1264" t="s">
        <v>33</v>
      </c>
      <c r="D1264">
        <v>1586.89</v>
      </c>
      <c r="E1264">
        <v>3223.63</v>
      </c>
      <c r="F1264" t="str">
        <f t="shared" si="38"/>
        <v>julho</v>
      </c>
      <c r="G1264">
        <f t="shared" si="39"/>
        <v>2023</v>
      </c>
    </row>
    <row r="1265" spans="1:7" x14ac:dyDescent="0.25">
      <c r="A1265">
        <v>1011801</v>
      </c>
      <c r="B1265" s="1">
        <v>45108</v>
      </c>
      <c r="C1265" t="s">
        <v>35</v>
      </c>
      <c r="D1265">
        <v>104.59</v>
      </c>
      <c r="E1265">
        <v>156.88999999999999</v>
      </c>
      <c r="F1265" t="str">
        <f t="shared" si="38"/>
        <v>julho</v>
      </c>
      <c r="G1265">
        <f t="shared" si="39"/>
        <v>2023</v>
      </c>
    </row>
    <row r="1266" spans="1:7" x14ac:dyDescent="0.25">
      <c r="A1266">
        <v>1011901</v>
      </c>
      <c r="B1266" s="1">
        <v>45108</v>
      </c>
      <c r="C1266" t="s">
        <v>37</v>
      </c>
      <c r="D1266">
        <v>47.55</v>
      </c>
      <c r="E1266">
        <v>47.55</v>
      </c>
      <c r="F1266" t="str">
        <f t="shared" si="38"/>
        <v>julho</v>
      </c>
      <c r="G1266">
        <f t="shared" si="39"/>
        <v>2023</v>
      </c>
    </row>
    <row r="1267" spans="1:7" x14ac:dyDescent="0.25">
      <c r="A1267">
        <v>1012100</v>
      </c>
      <c r="B1267" s="1">
        <v>45108</v>
      </c>
      <c r="C1267" t="s">
        <v>302</v>
      </c>
      <c r="D1267">
        <v>529.4</v>
      </c>
      <c r="E1267">
        <v>1482.32</v>
      </c>
      <c r="F1267" t="str">
        <f t="shared" si="38"/>
        <v>julho</v>
      </c>
      <c r="G1267">
        <f t="shared" si="39"/>
        <v>2023</v>
      </c>
    </row>
    <row r="1268" spans="1:7" x14ac:dyDescent="0.25">
      <c r="A1268">
        <v>1012200</v>
      </c>
      <c r="B1268" s="1">
        <v>45108</v>
      </c>
      <c r="C1268" t="s">
        <v>39</v>
      </c>
      <c r="D1268">
        <v>416.1</v>
      </c>
      <c r="E1268">
        <v>665.37</v>
      </c>
      <c r="F1268" t="str">
        <f t="shared" si="38"/>
        <v>julho</v>
      </c>
      <c r="G1268">
        <f t="shared" si="39"/>
        <v>2023</v>
      </c>
    </row>
    <row r="1269" spans="1:7" x14ac:dyDescent="0.25">
      <c r="A1269">
        <v>1012201</v>
      </c>
      <c r="B1269" s="1">
        <v>45108</v>
      </c>
      <c r="C1269" t="s">
        <v>41</v>
      </c>
      <c r="D1269">
        <v>645.9</v>
      </c>
      <c r="E1269">
        <v>1291.8699999999999</v>
      </c>
      <c r="F1269" t="str">
        <f t="shared" si="38"/>
        <v>julho</v>
      </c>
      <c r="G1269">
        <f t="shared" si="39"/>
        <v>2023</v>
      </c>
    </row>
    <row r="1270" spans="1:7" x14ac:dyDescent="0.25">
      <c r="A1270">
        <v>1012203</v>
      </c>
      <c r="B1270" s="1">
        <v>45108</v>
      </c>
      <c r="C1270" t="s">
        <v>43</v>
      </c>
      <c r="D1270">
        <v>2282</v>
      </c>
      <c r="E1270">
        <v>3860.33</v>
      </c>
      <c r="F1270" t="str">
        <f t="shared" si="38"/>
        <v>julho</v>
      </c>
      <c r="G1270">
        <f t="shared" si="39"/>
        <v>2023</v>
      </c>
    </row>
    <row r="1271" spans="1:7" x14ac:dyDescent="0.25">
      <c r="A1271">
        <v>1012300</v>
      </c>
      <c r="B1271" s="1">
        <v>45108</v>
      </c>
      <c r="C1271" t="s">
        <v>45</v>
      </c>
      <c r="D1271">
        <v>241.6</v>
      </c>
      <c r="E1271">
        <v>359.62</v>
      </c>
      <c r="F1271" t="str">
        <f t="shared" si="38"/>
        <v>julho</v>
      </c>
      <c r="G1271">
        <f t="shared" si="39"/>
        <v>2023</v>
      </c>
    </row>
    <row r="1272" spans="1:7" x14ac:dyDescent="0.25">
      <c r="A1272">
        <v>1012301</v>
      </c>
      <c r="B1272" s="1">
        <v>45108</v>
      </c>
      <c r="C1272" t="s">
        <v>47</v>
      </c>
      <c r="D1272">
        <v>30</v>
      </c>
      <c r="E1272">
        <v>37.5</v>
      </c>
      <c r="F1272" t="str">
        <f t="shared" si="38"/>
        <v>julho</v>
      </c>
      <c r="G1272">
        <f t="shared" si="39"/>
        <v>2023</v>
      </c>
    </row>
    <row r="1273" spans="1:7" x14ac:dyDescent="0.25">
      <c r="A1273">
        <v>1012400</v>
      </c>
      <c r="B1273" s="1">
        <v>45108</v>
      </c>
      <c r="C1273" t="s">
        <v>49</v>
      </c>
      <c r="D1273">
        <v>642.64</v>
      </c>
      <c r="E1273">
        <v>1035.92</v>
      </c>
      <c r="F1273" t="str">
        <f t="shared" si="38"/>
        <v>julho</v>
      </c>
      <c r="G1273">
        <f t="shared" si="39"/>
        <v>2023</v>
      </c>
    </row>
    <row r="1274" spans="1:7" x14ac:dyDescent="0.25">
      <c r="A1274">
        <v>1012401</v>
      </c>
      <c r="B1274" s="1">
        <v>45108</v>
      </c>
      <c r="C1274" t="s">
        <v>51</v>
      </c>
      <c r="D1274">
        <v>230</v>
      </c>
      <c r="E1274">
        <v>424</v>
      </c>
      <c r="F1274" t="str">
        <f t="shared" si="38"/>
        <v>julho</v>
      </c>
      <c r="G1274">
        <f t="shared" si="39"/>
        <v>2023</v>
      </c>
    </row>
    <row r="1275" spans="1:7" x14ac:dyDescent="0.25">
      <c r="A1275">
        <v>1012500</v>
      </c>
      <c r="B1275" s="1">
        <v>45108</v>
      </c>
      <c r="C1275" t="s">
        <v>53</v>
      </c>
      <c r="D1275">
        <v>1275.5</v>
      </c>
      <c r="E1275">
        <v>510.5</v>
      </c>
      <c r="F1275" t="str">
        <f t="shared" si="38"/>
        <v>julho</v>
      </c>
      <c r="G1275">
        <f t="shared" si="39"/>
        <v>2023</v>
      </c>
    </row>
    <row r="1276" spans="1:7" x14ac:dyDescent="0.25">
      <c r="A1276">
        <v>1012601</v>
      </c>
      <c r="B1276" s="1">
        <v>45108</v>
      </c>
      <c r="C1276" t="s">
        <v>55</v>
      </c>
      <c r="D1276">
        <v>91</v>
      </c>
      <c r="E1276">
        <v>91</v>
      </c>
      <c r="F1276" t="str">
        <f t="shared" si="38"/>
        <v>julho</v>
      </c>
      <c r="G1276">
        <f t="shared" si="39"/>
        <v>2023</v>
      </c>
    </row>
    <row r="1277" spans="1:7" x14ac:dyDescent="0.25">
      <c r="A1277">
        <v>1012700</v>
      </c>
      <c r="B1277" s="1">
        <v>45108</v>
      </c>
      <c r="C1277" t="s">
        <v>630</v>
      </c>
      <c r="D1277">
        <v>98.6</v>
      </c>
      <c r="E1277">
        <v>128.18</v>
      </c>
      <c r="F1277" t="str">
        <f t="shared" si="38"/>
        <v>julho</v>
      </c>
      <c r="G1277">
        <f t="shared" si="39"/>
        <v>2023</v>
      </c>
    </row>
    <row r="1278" spans="1:7" x14ac:dyDescent="0.25">
      <c r="A1278">
        <v>1012800</v>
      </c>
      <c r="B1278" s="1">
        <v>45108</v>
      </c>
      <c r="C1278" t="s">
        <v>439</v>
      </c>
      <c r="D1278">
        <v>14</v>
      </c>
      <c r="E1278">
        <v>11.2</v>
      </c>
      <c r="F1278" t="str">
        <f t="shared" si="38"/>
        <v>julho</v>
      </c>
      <c r="G1278">
        <f t="shared" si="39"/>
        <v>2023</v>
      </c>
    </row>
    <row r="1279" spans="1:7" x14ac:dyDescent="0.25">
      <c r="A1279">
        <v>1013100</v>
      </c>
      <c r="B1279" s="1">
        <v>45108</v>
      </c>
      <c r="C1279" t="s">
        <v>57</v>
      </c>
      <c r="D1279">
        <v>121</v>
      </c>
      <c r="E1279">
        <v>148.80000000000001</v>
      </c>
      <c r="F1279" t="str">
        <f t="shared" si="38"/>
        <v>julho</v>
      </c>
      <c r="G1279">
        <f t="shared" si="39"/>
        <v>2023</v>
      </c>
    </row>
    <row r="1280" spans="1:7" x14ac:dyDescent="0.25">
      <c r="A1280">
        <v>1013101</v>
      </c>
      <c r="B1280" s="1">
        <v>45108</v>
      </c>
      <c r="C1280" t="s">
        <v>346</v>
      </c>
      <c r="D1280">
        <v>4428</v>
      </c>
      <c r="E1280">
        <v>10060.200000000001</v>
      </c>
      <c r="F1280" t="str">
        <f t="shared" si="38"/>
        <v>julho</v>
      </c>
      <c r="G1280">
        <f t="shared" si="39"/>
        <v>2023</v>
      </c>
    </row>
    <row r="1281" spans="1:7" x14ac:dyDescent="0.25">
      <c r="A1281">
        <v>1013200</v>
      </c>
      <c r="B1281" s="1">
        <v>45108</v>
      </c>
      <c r="C1281" t="s">
        <v>59</v>
      </c>
      <c r="D1281">
        <v>1658</v>
      </c>
      <c r="E1281">
        <v>2034.55</v>
      </c>
      <c r="F1281" t="str">
        <f t="shared" si="38"/>
        <v>julho</v>
      </c>
      <c r="G1281">
        <f t="shared" si="39"/>
        <v>2023</v>
      </c>
    </row>
    <row r="1282" spans="1:7" x14ac:dyDescent="0.25">
      <c r="A1282">
        <v>1013300</v>
      </c>
      <c r="B1282" s="1">
        <v>45108</v>
      </c>
      <c r="C1282" t="s">
        <v>348</v>
      </c>
      <c r="D1282">
        <v>951.5</v>
      </c>
      <c r="E1282">
        <v>285.45</v>
      </c>
      <c r="F1282" t="str">
        <f t="shared" si="38"/>
        <v>julho</v>
      </c>
      <c r="G1282">
        <f t="shared" si="39"/>
        <v>2023</v>
      </c>
    </row>
    <row r="1283" spans="1:7" x14ac:dyDescent="0.25">
      <c r="A1283">
        <v>1013500</v>
      </c>
      <c r="B1283" s="1">
        <v>45108</v>
      </c>
      <c r="C1283" t="s">
        <v>61</v>
      </c>
      <c r="D1283">
        <v>12.5</v>
      </c>
      <c r="E1283">
        <v>6.25</v>
      </c>
      <c r="F1283" t="str">
        <f t="shared" ref="F1283:F1346" si="40">TEXT(B1283,"mmmm")</f>
        <v>julho</v>
      </c>
      <c r="G1283">
        <f t="shared" ref="G1283:G1346" si="41">YEAR(B1283)</f>
        <v>2023</v>
      </c>
    </row>
    <row r="1284" spans="1:7" x14ac:dyDescent="0.25">
      <c r="A1284">
        <v>1100100</v>
      </c>
      <c r="B1284" s="1">
        <v>45108</v>
      </c>
      <c r="C1284" t="s">
        <v>63</v>
      </c>
      <c r="D1284">
        <v>63291.72</v>
      </c>
      <c r="E1284">
        <v>188249.59</v>
      </c>
      <c r="F1284" t="str">
        <f t="shared" si="40"/>
        <v>julho</v>
      </c>
      <c r="G1284">
        <f t="shared" si="41"/>
        <v>2023</v>
      </c>
    </row>
    <row r="1285" spans="1:7" x14ac:dyDescent="0.25">
      <c r="A1285">
        <v>1100101</v>
      </c>
      <c r="B1285" s="1">
        <v>45108</v>
      </c>
      <c r="C1285" t="s">
        <v>65</v>
      </c>
      <c r="D1285">
        <v>357</v>
      </c>
      <c r="E1285">
        <v>1095.99</v>
      </c>
      <c r="F1285" t="str">
        <f t="shared" si="40"/>
        <v>julho</v>
      </c>
      <c r="G1285">
        <f t="shared" si="41"/>
        <v>2023</v>
      </c>
    </row>
    <row r="1286" spans="1:7" x14ac:dyDescent="0.25">
      <c r="A1286">
        <v>1100200</v>
      </c>
      <c r="B1286" s="1">
        <v>45108</v>
      </c>
      <c r="C1286" t="s">
        <v>67</v>
      </c>
      <c r="D1286">
        <v>70701.66</v>
      </c>
      <c r="E1286">
        <v>232356.06</v>
      </c>
      <c r="F1286" t="str">
        <f t="shared" si="40"/>
        <v>julho</v>
      </c>
      <c r="G1286">
        <f t="shared" si="41"/>
        <v>2023</v>
      </c>
    </row>
    <row r="1287" spans="1:7" x14ac:dyDescent="0.25">
      <c r="A1287">
        <v>1100300</v>
      </c>
      <c r="B1287" s="1">
        <v>45108</v>
      </c>
      <c r="C1287" t="s">
        <v>69</v>
      </c>
      <c r="D1287">
        <v>14993.1</v>
      </c>
      <c r="E1287">
        <v>49059.45</v>
      </c>
      <c r="F1287" t="str">
        <f t="shared" si="40"/>
        <v>julho</v>
      </c>
      <c r="G1287">
        <f t="shared" si="41"/>
        <v>2023</v>
      </c>
    </row>
    <row r="1288" spans="1:7" x14ac:dyDescent="0.25">
      <c r="A1288">
        <v>1100301</v>
      </c>
      <c r="B1288" s="1">
        <v>45108</v>
      </c>
      <c r="C1288" t="s">
        <v>71</v>
      </c>
      <c r="D1288">
        <v>4434.3999999999996</v>
      </c>
      <c r="E1288">
        <v>14581.06</v>
      </c>
      <c r="F1288" t="str">
        <f t="shared" si="40"/>
        <v>julho</v>
      </c>
      <c r="G1288">
        <f t="shared" si="41"/>
        <v>2023</v>
      </c>
    </row>
    <row r="1289" spans="1:7" x14ac:dyDescent="0.25">
      <c r="A1289">
        <v>1100400</v>
      </c>
      <c r="B1289" s="1">
        <v>45108</v>
      </c>
      <c r="C1289" t="s">
        <v>73</v>
      </c>
      <c r="D1289">
        <v>10277.9</v>
      </c>
      <c r="E1289">
        <v>30648.87</v>
      </c>
      <c r="F1289" t="str">
        <f t="shared" si="40"/>
        <v>julho</v>
      </c>
      <c r="G1289">
        <f t="shared" si="41"/>
        <v>2023</v>
      </c>
    </row>
    <row r="1290" spans="1:7" x14ac:dyDescent="0.25">
      <c r="A1290">
        <v>1100500</v>
      </c>
      <c r="B1290" s="1">
        <v>45108</v>
      </c>
      <c r="C1290" t="s">
        <v>75</v>
      </c>
      <c r="D1290">
        <v>521.59</v>
      </c>
      <c r="E1290">
        <v>1671.77</v>
      </c>
      <c r="F1290" t="str">
        <f t="shared" si="40"/>
        <v>julho</v>
      </c>
      <c r="G1290">
        <f t="shared" si="41"/>
        <v>2023</v>
      </c>
    </row>
    <row r="1291" spans="1:7" x14ac:dyDescent="0.25">
      <c r="A1291">
        <v>1100600</v>
      </c>
      <c r="B1291" s="1">
        <v>45108</v>
      </c>
      <c r="C1291" t="s">
        <v>77</v>
      </c>
      <c r="D1291">
        <v>8396.4699999999993</v>
      </c>
      <c r="E1291">
        <v>30698.89</v>
      </c>
      <c r="F1291" t="str">
        <f t="shared" si="40"/>
        <v>julho</v>
      </c>
      <c r="G1291">
        <f t="shared" si="41"/>
        <v>2023</v>
      </c>
    </row>
    <row r="1292" spans="1:7" x14ac:dyDescent="0.25">
      <c r="A1292">
        <v>1100602</v>
      </c>
      <c r="B1292" s="1">
        <v>45108</v>
      </c>
      <c r="C1292" t="s">
        <v>79</v>
      </c>
      <c r="D1292">
        <v>458.9</v>
      </c>
      <c r="E1292">
        <v>2664.41</v>
      </c>
      <c r="F1292" t="str">
        <f t="shared" si="40"/>
        <v>julho</v>
      </c>
      <c r="G1292">
        <f t="shared" si="41"/>
        <v>2023</v>
      </c>
    </row>
    <row r="1293" spans="1:7" x14ac:dyDescent="0.25">
      <c r="A1293">
        <v>1100603</v>
      </c>
      <c r="B1293" s="1">
        <v>45108</v>
      </c>
      <c r="C1293" t="s">
        <v>304</v>
      </c>
      <c r="D1293">
        <v>208.1</v>
      </c>
      <c r="E1293">
        <v>1097.07</v>
      </c>
      <c r="F1293" t="str">
        <f t="shared" si="40"/>
        <v>julho</v>
      </c>
      <c r="G1293">
        <f t="shared" si="41"/>
        <v>2023</v>
      </c>
    </row>
    <row r="1294" spans="1:7" x14ac:dyDescent="0.25">
      <c r="A1294">
        <v>1100605</v>
      </c>
      <c r="B1294" s="1">
        <v>45108</v>
      </c>
      <c r="C1294" t="s">
        <v>631</v>
      </c>
      <c r="D1294">
        <v>242.88</v>
      </c>
      <c r="E1294">
        <v>886.54</v>
      </c>
      <c r="F1294" t="str">
        <f t="shared" si="40"/>
        <v>julho</v>
      </c>
      <c r="G1294">
        <f t="shared" si="41"/>
        <v>2023</v>
      </c>
    </row>
    <row r="1295" spans="1:7" x14ac:dyDescent="0.25">
      <c r="A1295">
        <v>1100608</v>
      </c>
      <c r="B1295" s="1">
        <v>45108</v>
      </c>
      <c r="C1295" t="s">
        <v>349</v>
      </c>
      <c r="D1295">
        <v>17831.599999999999</v>
      </c>
      <c r="E1295">
        <v>63722.12</v>
      </c>
      <c r="F1295" t="str">
        <f t="shared" si="40"/>
        <v>julho</v>
      </c>
      <c r="G1295">
        <f t="shared" si="41"/>
        <v>2023</v>
      </c>
    </row>
    <row r="1296" spans="1:7" x14ac:dyDescent="0.25">
      <c r="A1296">
        <v>1100700</v>
      </c>
      <c r="B1296" s="1">
        <v>45108</v>
      </c>
      <c r="C1296" t="s">
        <v>83</v>
      </c>
      <c r="D1296">
        <v>26054.11</v>
      </c>
      <c r="E1296">
        <v>93518.95</v>
      </c>
      <c r="F1296" t="str">
        <f t="shared" si="40"/>
        <v>julho</v>
      </c>
      <c r="G1296">
        <f t="shared" si="41"/>
        <v>2023</v>
      </c>
    </row>
    <row r="1297" spans="1:7" x14ac:dyDescent="0.25">
      <c r="A1297">
        <v>1100701</v>
      </c>
      <c r="B1297" s="1">
        <v>45108</v>
      </c>
      <c r="C1297" t="s">
        <v>84</v>
      </c>
      <c r="D1297">
        <v>377.3</v>
      </c>
      <c r="E1297">
        <v>1625.43</v>
      </c>
      <c r="F1297" t="str">
        <f t="shared" si="40"/>
        <v>julho</v>
      </c>
      <c r="G1297">
        <f t="shared" si="41"/>
        <v>2023</v>
      </c>
    </row>
    <row r="1298" spans="1:7" x14ac:dyDescent="0.25">
      <c r="A1298">
        <v>1100703</v>
      </c>
      <c r="B1298" s="1">
        <v>45108</v>
      </c>
      <c r="C1298" t="s">
        <v>86</v>
      </c>
      <c r="D1298">
        <v>1848.61</v>
      </c>
      <c r="E1298">
        <v>7816.79</v>
      </c>
      <c r="F1298" t="str">
        <f t="shared" si="40"/>
        <v>julho</v>
      </c>
      <c r="G1298">
        <f t="shared" si="41"/>
        <v>2023</v>
      </c>
    </row>
    <row r="1299" spans="1:7" x14ac:dyDescent="0.25">
      <c r="A1299">
        <v>1100705</v>
      </c>
      <c r="B1299" s="1">
        <v>45108</v>
      </c>
      <c r="C1299" t="s">
        <v>88</v>
      </c>
      <c r="D1299">
        <v>166.5</v>
      </c>
      <c r="E1299">
        <v>264.08</v>
      </c>
      <c r="F1299" t="str">
        <f t="shared" si="40"/>
        <v>julho</v>
      </c>
      <c r="G1299">
        <f t="shared" si="41"/>
        <v>2023</v>
      </c>
    </row>
    <row r="1300" spans="1:7" x14ac:dyDescent="0.25">
      <c r="A1300">
        <v>1100706</v>
      </c>
      <c r="B1300" s="1">
        <v>45108</v>
      </c>
      <c r="C1300" t="s">
        <v>305</v>
      </c>
      <c r="D1300">
        <v>6.8</v>
      </c>
      <c r="E1300">
        <v>10.68</v>
      </c>
      <c r="F1300" t="str">
        <f t="shared" si="40"/>
        <v>julho</v>
      </c>
      <c r="G1300">
        <f t="shared" si="41"/>
        <v>2023</v>
      </c>
    </row>
    <row r="1301" spans="1:7" x14ac:dyDescent="0.25">
      <c r="A1301">
        <v>1100707</v>
      </c>
      <c r="B1301" s="1">
        <v>45108</v>
      </c>
      <c r="C1301" t="s">
        <v>686</v>
      </c>
      <c r="D1301">
        <v>658.26</v>
      </c>
      <c r="E1301">
        <v>2830.52</v>
      </c>
      <c r="F1301" t="str">
        <f t="shared" si="40"/>
        <v>julho</v>
      </c>
      <c r="G1301">
        <f t="shared" si="41"/>
        <v>2023</v>
      </c>
    </row>
    <row r="1302" spans="1:7" x14ac:dyDescent="0.25">
      <c r="A1302">
        <v>1100800</v>
      </c>
      <c r="B1302" s="1">
        <v>45108</v>
      </c>
      <c r="C1302" t="s">
        <v>90</v>
      </c>
      <c r="D1302">
        <v>12881</v>
      </c>
      <c r="E1302">
        <v>44011.62</v>
      </c>
      <c r="F1302" t="str">
        <f t="shared" si="40"/>
        <v>julho</v>
      </c>
      <c r="G1302">
        <f t="shared" si="41"/>
        <v>2023</v>
      </c>
    </row>
    <row r="1303" spans="1:7" x14ac:dyDescent="0.25">
      <c r="A1303">
        <v>1100801</v>
      </c>
      <c r="B1303" s="1">
        <v>45108</v>
      </c>
      <c r="C1303" t="s">
        <v>92</v>
      </c>
      <c r="D1303">
        <v>7090</v>
      </c>
      <c r="E1303">
        <v>25169.5</v>
      </c>
      <c r="F1303" t="str">
        <f t="shared" si="40"/>
        <v>julho</v>
      </c>
      <c r="G1303">
        <f t="shared" si="41"/>
        <v>2023</v>
      </c>
    </row>
    <row r="1304" spans="1:7" x14ac:dyDescent="0.25">
      <c r="A1304">
        <v>1100802</v>
      </c>
      <c r="B1304" s="1">
        <v>45108</v>
      </c>
      <c r="C1304" t="s">
        <v>306</v>
      </c>
      <c r="D1304">
        <v>182.4</v>
      </c>
      <c r="E1304">
        <v>620.16</v>
      </c>
      <c r="F1304" t="str">
        <f t="shared" si="40"/>
        <v>julho</v>
      </c>
      <c r="G1304">
        <f t="shared" si="41"/>
        <v>2023</v>
      </c>
    </row>
    <row r="1305" spans="1:7" x14ac:dyDescent="0.25">
      <c r="A1305">
        <v>1100900</v>
      </c>
      <c r="B1305" s="1">
        <v>45108</v>
      </c>
      <c r="C1305" t="s">
        <v>94</v>
      </c>
      <c r="D1305">
        <v>573.94000000000005</v>
      </c>
      <c r="E1305">
        <v>3598.56</v>
      </c>
      <c r="F1305" t="str">
        <f t="shared" si="40"/>
        <v>julho</v>
      </c>
      <c r="G1305">
        <f t="shared" si="41"/>
        <v>2023</v>
      </c>
    </row>
    <row r="1306" spans="1:7" x14ac:dyDescent="0.25">
      <c r="A1306">
        <v>1101000</v>
      </c>
      <c r="B1306" s="1">
        <v>45108</v>
      </c>
      <c r="C1306" t="s">
        <v>96</v>
      </c>
      <c r="D1306">
        <v>10124.49</v>
      </c>
      <c r="E1306">
        <v>39497.120000000003</v>
      </c>
      <c r="F1306" t="str">
        <f t="shared" si="40"/>
        <v>julho</v>
      </c>
      <c r="G1306">
        <f t="shared" si="41"/>
        <v>2023</v>
      </c>
    </row>
    <row r="1307" spans="1:7" x14ac:dyDescent="0.25">
      <c r="A1307">
        <v>1101001</v>
      </c>
      <c r="B1307" s="1">
        <v>45108</v>
      </c>
      <c r="C1307" t="s">
        <v>98</v>
      </c>
      <c r="D1307">
        <v>13</v>
      </c>
      <c r="E1307">
        <v>52</v>
      </c>
      <c r="F1307" t="str">
        <f t="shared" si="40"/>
        <v>julho</v>
      </c>
      <c r="G1307">
        <f t="shared" si="41"/>
        <v>2023</v>
      </c>
    </row>
    <row r="1308" spans="1:7" x14ac:dyDescent="0.25">
      <c r="A1308">
        <v>1101002</v>
      </c>
      <c r="B1308" s="1">
        <v>45108</v>
      </c>
      <c r="C1308" t="s">
        <v>687</v>
      </c>
      <c r="D1308">
        <v>433</v>
      </c>
      <c r="E1308">
        <v>1818.6</v>
      </c>
      <c r="F1308" t="str">
        <f t="shared" si="40"/>
        <v>julho</v>
      </c>
      <c r="G1308">
        <f t="shared" si="41"/>
        <v>2023</v>
      </c>
    </row>
    <row r="1309" spans="1:7" x14ac:dyDescent="0.25">
      <c r="A1309">
        <v>1101100</v>
      </c>
      <c r="B1309" s="1">
        <v>45108</v>
      </c>
      <c r="C1309" t="s">
        <v>100</v>
      </c>
      <c r="D1309">
        <v>49741.98</v>
      </c>
      <c r="E1309">
        <v>186205.23</v>
      </c>
      <c r="F1309" t="str">
        <f t="shared" si="40"/>
        <v>julho</v>
      </c>
      <c r="G1309">
        <f t="shared" si="41"/>
        <v>2023</v>
      </c>
    </row>
    <row r="1310" spans="1:7" x14ac:dyDescent="0.25">
      <c r="A1310">
        <v>1101103</v>
      </c>
      <c r="B1310" s="1">
        <v>45108</v>
      </c>
      <c r="C1310" t="s">
        <v>350</v>
      </c>
      <c r="D1310">
        <v>500</v>
      </c>
      <c r="E1310">
        <v>1850</v>
      </c>
      <c r="F1310" t="str">
        <f t="shared" si="40"/>
        <v>julho</v>
      </c>
      <c r="G1310">
        <f t="shared" si="41"/>
        <v>2023</v>
      </c>
    </row>
    <row r="1311" spans="1:7" x14ac:dyDescent="0.25">
      <c r="A1311">
        <v>1101300</v>
      </c>
      <c r="B1311" s="1">
        <v>45108</v>
      </c>
      <c r="C1311" t="s">
        <v>102</v>
      </c>
      <c r="D1311">
        <v>302</v>
      </c>
      <c r="E1311">
        <v>1215.8800000000001</v>
      </c>
      <c r="F1311" t="str">
        <f t="shared" si="40"/>
        <v>julho</v>
      </c>
      <c r="G1311">
        <f t="shared" si="41"/>
        <v>2023</v>
      </c>
    </row>
    <row r="1312" spans="1:7" x14ac:dyDescent="0.25">
      <c r="A1312">
        <v>1101400</v>
      </c>
      <c r="B1312" s="1">
        <v>45108</v>
      </c>
      <c r="C1312" t="s">
        <v>104</v>
      </c>
      <c r="D1312">
        <v>21741.64</v>
      </c>
      <c r="E1312">
        <v>63986.1</v>
      </c>
      <c r="F1312" t="str">
        <f t="shared" si="40"/>
        <v>julho</v>
      </c>
      <c r="G1312">
        <f t="shared" si="41"/>
        <v>2023</v>
      </c>
    </row>
    <row r="1313" spans="1:7" x14ac:dyDescent="0.25">
      <c r="A1313">
        <v>1101500</v>
      </c>
      <c r="B1313" s="1">
        <v>45108</v>
      </c>
      <c r="C1313" t="s">
        <v>106</v>
      </c>
      <c r="D1313">
        <v>611.29999999999995</v>
      </c>
      <c r="E1313">
        <v>1821.85</v>
      </c>
      <c r="F1313" t="str">
        <f t="shared" si="40"/>
        <v>julho</v>
      </c>
      <c r="G1313">
        <f t="shared" si="41"/>
        <v>2023</v>
      </c>
    </row>
    <row r="1314" spans="1:7" x14ac:dyDescent="0.25">
      <c r="A1314">
        <v>1101600</v>
      </c>
      <c r="B1314" s="1">
        <v>45108</v>
      </c>
      <c r="C1314" t="s">
        <v>108</v>
      </c>
      <c r="D1314">
        <v>46.5</v>
      </c>
      <c r="E1314">
        <v>146.58000000000001</v>
      </c>
      <c r="F1314" t="str">
        <f t="shared" si="40"/>
        <v>julho</v>
      </c>
      <c r="G1314">
        <f t="shared" si="41"/>
        <v>2023</v>
      </c>
    </row>
    <row r="1315" spans="1:7" x14ac:dyDescent="0.25">
      <c r="A1315">
        <v>1101700</v>
      </c>
      <c r="B1315" s="1">
        <v>45108</v>
      </c>
      <c r="C1315" t="s">
        <v>110</v>
      </c>
      <c r="D1315">
        <v>5072.5</v>
      </c>
      <c r="E1315">
        <v>14850.36</v>
      </c>
      <c r="F1315" t="str">
        <f t="shared" si="40"/>
        <v>julho</v>
      </c>
      <c r="G1315">
        <f t="shared" si="41"/>
        <v>2023</v>
      </c>
    </row>
    <row r="1316" spans="1:7" x14ac:dyDescent="0.25">
      <c r="A1316">
        <v>1101801</v>
      </c>
      <c r="B1316" s="1">
        <v>45108</v>
      </c>
      <c r="C1316" t="s">
        <v>112</v>
      </c>
      <c r="D1316">
        <v>2991.9</v>
      </c>
      <c r="E1316">
        <v>8499.93</v>
      </c>
      <c r="F1316" t="str">
        <f t="shared" si="40"/>
        <v>julho</v>
      </c>
      <c r="G1316">
        <f t="shared" si="41"/>
        <v>2023</v>
      </c>
    </row>
    <row r="1317" spans="1:7" x14ac:dyDescent="0.25">
      <c r="A1317">
        <v>1101900</v>
      </c>
      <c r="B1317" s="1">
        <v>45108</v>
      </c>
      <c r="C1317" t="s">
        <v>114</v>
      </c>
      <c r="D1317">
        <v>12494.63</v>
      </c>
      <c r="E1317">
        <v>43366.6</v>
      </c>
      <c r="F1317" t="str">
        <f t="shared" si="40"/>
        <v>julho</v>
      </c>
      <c r="G1317">
        <f t="shared" si="41"/>
        <v>2023</v>
      </c>
    </row>
    <row r="1318" spans="1:7" x14ac:dyDescent="0.25">
      <c r="A1318">
        <v>1101901</v>
      </c>
      <c r="B1318" s="1">
        <v>45108</v>
      </c>
      <c r="C1318" t="s">
        <v>448</v>
      </c>
      <c r="D1318">
        <v>375</v>
      </c>
      <c r="E1318">
        <v>1312.5</v>
      </c>
      <c r="F1318" t="str">
        <f t="shared" si="40"/>
        <v>julho</v>
      </c>
      <c r="G1318">
        <f t="shared" si="41"/>
        <v>2023</v>
      </c>
    </row>
    <row r="1319" spans="1:7" x14ac:dyDescent="0.25">
      <c r="A1319">
        <v>1101902</v>
      </c>
      <c r="B1319" s="1">
        <v>45108</v>
      </c>
      <c r="C1319" t="s">
        <v>351</v>
      </c>
      <c r="D1319">
        <v>1705.13</v>
      </c>
      <c r="E1319">
        <v>7249.35</v>
      </c>
      <c r="F1319" t="str">
        <f t="shared" si="40"/>
        <v>julho</v>
      </c>
      <c r="G1319">
        <f t="shared" si="41"/>
        <v>2023</v>
      </c>
    </row>
    <row r="1320" spans="1:7" x14ac:dyDescent="0.25">
      <c r="A1320">
        <v>1102000</v>
      </c>
      <c r="B1320" s="1">
        <v>45108</v>
      </c>
      <c r="C1320" t="s">
        <v>115</v>
      </c>
      <c r="D1320">
        <v>30.4</v>
      </c>
      <c r="E1320">
        <v>130.72</v>
      </c>
      <c r="F1320" t="str">
        <f t="shared" si="40"/>
        <v>julho</v>
      </c>
      <c r="G1320">
        <f t="shared" si="41"/>
        <v>2023</v>
      </c>
    </row>
    <row r="1321" spans="1:7" x14ac:dyDescent="0.25">
      <c r="A1321">
        <v>1102100</v>
      </c>
      <c r="B1321" s="1">
        <v>45108</v>
      </c>
      <c r="C1321" t="s">
        <v>688</v>
      </c>
      <c r="D1321">
        <v>179</v>
      </c>
      <c r="E1321">
        <v>572.79999999999995</v>
      </c>
      <c r="F1321" t="str">
        <f t="shared" si="40"/>
        <v>julho</v>
      </c>
      <c r="G1321">
        <f t="shared" si="41"/>
        <v>2023</v>
      </c>
    </row>
    <row r="1322" spans="1:7" x14ac:dyDescent="0.25">
      <c r="A1322">
        <v>1102300</v>
      </c>
      <c r="B1322" s="1">
        <v>45108</v>
      </c>
      <c r="C1322" t="s">
        <v>119</v>
      </c>
      <c r="D1322">
        <v>7014.97</v>
      </c>
      <c r="E1322">
        <v>22649.88</v>
      </c>
      <c r="F1322" t="str">
        <f t="shared" si="40"/>
        <v>julho</v>
      </c>
      <c r="G1322">
        <f t="shared" si="41"/>
        <v>2023</v>
      </c>
    </row>
    <row r="1323" spans="1:7" x14ac:dyDescent="0.25">
      <c r="A1323">
        <v>1103000</v>
      </c>
      <c r="B1323" s="1">
        <v>45108</v>
      </c>
      <c r="C1323" t="s">
        <v>121</v>
      </c>
      <c r="D1323">
        <v>1080.8</v>
      </c>
      <c r="E1323">
        <v>2208.84</v>
      </c>
      <c r="F1323" t="str">
        <f t="shared" si="40"/>
        <v>julho</v>
      </c>
      <c r="G1323">
        <f t="shared" si="41"/>
        <v>2023</v>
      </c>
    </row>
    <row r="1324" spans="1:7" x14ac:dyDescent="0.25">
      <c r="A1324">
        <v>2010902</v>
      </c>
      <c r="B1324" s="1">
        <v>45108</v>
      </c>
      <c r="C1324" t="s">
        <v>127</v>
      </c>
      <c r="D1324">
        <v>7.5</v>
      </c>
      <c r="E1324">
        <v>6.75</v>
      </c>
      <c r="F1324" t="str">
        <f t="shared" si="40"/>
        <v>julho</v>
      </c>
      <c r="G1324">
        <f t="shared" si="41"/>
        <v>2023</v>
      </c>
    </row>
    <row r="1325" spans="1:7" x14ac:dyDescent="0.25">
      <c r="A1325">
        <v>2010904</v>
      </c>
      <c r="B1325" s="1">
        <v>45108</v>
      </c>
      <c r="C1325" t="s">
        <v>633</v>
      </c>
      <c r="D1325">
        <v>237.5</v>
      </c>
      <c r="E1325">
        <v>246.75</v>
      </c>
      <c r="F1325" t="str">
        <f t="shared" si="40"/>
        <v>julho</v>
      </c>
      <c r="G1325">
        <f t="shared" si="41"/>
        <v>2023</v>
      </c>
    </row>
    <row r="1326" spans="1:7" x14ac:dyDescent="0.25">
      <c r="A1326">
        <v>2010905</v>
      </c>
      <c r="B1326" s="1">
        <v>45108</v>
      </c>
      <c r="C1326" t="s">
        <v>544</v>
      </c>
      <c r="D1326">
        <v>292.5</v>
      </c>
      <c r="E1326">
        <v>243.75</v>
      </c>
      <c r="F1326" t="str">
        <f t="shared" si="40"/>
        <v>julho</v>
      </c>
      <c r="G1326">
        <f t="shared" si="41"/>
        <v>2023</v>
      </c>
    </row>
    <row r="1327" spans="1:7" x14ac:dyDescent="0.25">
      <c r="A1327">
        <v>2011700</v>
      </c>
      <c r="B1327" s="1">
        <v>45108</v>
      </c>
      <c r="C1327" t="s">
        <v>129</v>
      </c>
      <c r="D1327">
        <v>117.2</v>
      </c>
      <c r="E1327">
        <v>291.56</v>
      </c>
      <c r="F1327" t="str">
        <f t="shared" si="40"/>
        <v>julho</v>
      </c>
      <c r="G1327">
        <f t="shared" si="41"/>
        <v>2023</v>
      </c>
    </row>
    <row r="1328" spans="1:7" x14ac:dyDescent="0.25">
      <c r="A1328">
        <v>2090002</v>
      </c>
      <c r="B1328" s="1">
        <v>45108</v>
      </c>
      <c r="C1328" t="s">
        <v>451</v>
      </c>
      <c r="D1328">
        <v>132.69999999999999</v>
      </c>
      <c r="E1328">
        <v>690.04</v>
      </c>
      <c r="F1328" t="str">
        <f t="shared" si="40"/>
        <v>julho</v>
      </c>
      <c r="G1328">
        <f t="shared" si="41"/>
        <v>2023</v>
      </c>
    </row>
    <row r="1329" spans="1:7" x14ac:dyDescent="0.25">
      <c r="A1329">
        <v>2101100</v>
      </c>
      <c r="B1329" s="1">
        <v>45108</v>
      </c>
      <c r="C1329" t="s">
        <v>453</v>
      </c>
      <c r="D1329">
        <v>105</v>
      </c>
      <c r="E1329">
        <v>472.5</v>
      </c>
      <c r="F1329" t="str">
        <f t="shared" si="40"/>
        <v>julho</v>
      </c>
      <c r="G1329">
        <f t="shared" si="41"/>
        <v>2023</v>
      </c>
    </row>
    <row r="1330" spans="1:7" x14ac:dyDescent="0.25">
      <c r="A1330">
        <v>3020103</v>
      </c>
      <c r="B1330" s="1">
        <v>45108</v>
      </c>
      <c r="C1330" t="s">
        <v>131</v>
      </c>
      <c r="D1330">
        <v>6235.15</v>
      </c>
      <c r="E1330">
        <v>20786.27</v>
      </c>
      <c r="F1330" t="str">
        <f t="shared" si="40"/>
        <v>julho</v>
      </c>
      <c r="G1330">
        <f t="shared" si="41"/>
        <v>2023</v>
      </c>
    </row>
    <row r="1331" spans="1:7" x14ac:dyDescent="0.25">
      <c r="A1331">
        <v>3020104</v>
      </c>
      <c r="B1331" s="1">
        <v>45108</v>
      </c>
      <c r="C1331" t="s">
        <v>689</v>
      </c>
      <c r="D1331">
        <v>2004.6</v>
      </c>
      <c r="E1331">
        <v>7216.56</v>
      </c>
      <c r="F1331" t="str">
        <f t="shared" si="40"/>
        <v>julho</v>
      </c>
      <c r="G1331">
        <f t="shared" si="41"/>
        <v>2023</v>
      </c>
    </row>
    <row r="1332" spans="1:7" x14ac:dyDescent="0.25">
      <c r="A1332">
        <v>3020212</v>
      </c>
      <c r="B1332" s="1">
        <v>45108</v>
      </c>
      <c r="C1332" t="s">
        <v>133</v>
      </c>
      <c r="D1332">
        <v>2283.7199999999998</v>
      </c>
      <c r="E1332">
        <v>8509.7900000000009</v>
      </c>
      <c r="F1332" t="str">
        <f t="shared" si="40"/>
        <v>julho</v>
      </c>
      <c r="G1332">
        <f t="shared" si="41"/>
        <v>2023</v>
      </c>
    </row>
    <row r="1333" spans="1:7" x14ac:dyDescent="0.25">
      <c r="A1333">
        <v>3020214</v>
      </c>
      <c r="B1333" s="1">
        <v>45108</v>
      </c>
      <c r="C1333" t="s">
        <v>135</v>
      </c>
      <c r="D1333">
        <v>1031.3499999999999</v>
      </c>
      <c r="E1333">
        <v>3617.51</v>
      </c>
      <c r="F1333" t="str">
        <f t="shared" si="40"/>
        <v>julho</v>
      </c>
      <c r="G1333">
        <f t="shared" si="41"/>
        <v>2023</v>
      </c>
    </row>
    <row r="1334" spans="1:7" x14ac:dyDescent="0.25">
      <c r="A1334">
        <v>3020315</v>
      </c>
      <c r="B1334" s="1">
        <v>45108</v>
      </c>
      <c r="C1334" t="s">
        <v>137</v>
      </c>
      <c r="D1334">
        <v>3307.65</v>
      </c>
      <c r="E1334">
        <v>11809.14</v>
      </c>
      <c r="F1334" t="str">
        <f t="shared" si="40"/>
        <v>julho</v>
      </c>
      <c r="G1334">
        <f t="shared" si="41"/>
        <v>2023</v>
      </c>
    </row>
    <row r="1335" spans="1:7" x14ac:dyDescent="0.25">
      <c r="A1335">
        <v>3020316</v>
      </c>
      <c r="B1335" s="1">
        <v>45108</v>
      </c>
      <c r="C1335" t="s">
        <v>139</v>
      </c>
      <c r="D1335">
        <v>167.88</v>
      </c>
      <c r="E1335">
        <v>533.88</v>
      </c>
      <c r="F1335" t="str">
        <f t="shared" si="40"/>
        <v>julho</v>
      </c>
      <c r="G1335">
        <f t="shared" si="41"/>
        <v>2023</v>
      </c>
    </row>
    <row r="1336" spans="1:7" x14ac:dyDescent="0.25">
      <c r="A1336">
        <v>3020402</v>
      </c>
      <c r="B1336" s="1">
        <v>45108</v>
      </c>
      <c r="C1336" t="s">
        <v>141</v>
      </c>
      <c r="D1336">
        <v>1746.42</v>
      </c>
      <c r="E1336">
        <v>6181.73</v>
      </c>
      <c r="F1336" t="str">
        <f t="shared" si="40"/>
        <v>julho</v>
      </c>
      <c r="G1336">
        <f t="shared" si="41"/>
        <v>2023</v>
      </c>
    </row>
    <row r="1337" spans="1:7" x14ac:dyDescent="0.25">
      <c r="A1337">
        <v>3020403</v>
      </c>
      <c r="B1337" s="1">
        <v>45108</v>
      </c>
      <c r="C1337" t="s">
        <v>690</v>
      </c>
      <c r="D1337">
        <v>1440</v>
      </c>
      <c r="E1337">
        <v>5184</v>
      </c>
      <c r="F1337" t="str">
        <f t="shared" si="40"/>
        <v>julho</v>
      </c>
      <c r="G1337">
        <f t="shared" si="41"/>
        <v>2023</v>
      </c>
    </row>
    <row r="1338" spans="1:7" x14ac:dyDescent="0.25">
      <c r="A1338">
        <v>3020404</v>
      </c>
      <c r="B1338" s="1">
        <v>45108</v>
      </c>
      <c r="C1338" t="s">
        <v>691</v>
      </c>
      <c r="D1338">
        <v>410.45</v>
      </c>
      <c r="E1338">
        <v>1518.68</v>
      </c>
      <c r="F1338" t="str">
        <f t="shared" si="40"/>
        <v>julho</v>
      </c>
      <c r="G1338">
        <f t="shared" si="41"/>
        <v>2023</v>
      </c>
    </row>
    <row r="1339" spans="1:7" x14ac:dyDescent="0.25">
      <c r="A1339">
        <v>3020504</v>
      </c>
      <c r="B1339" s="1">
        <v>45108</v>
      </c>
      <c r="C1339" t="s">
        <v>143</v>
      </c>
      <c r="D1339">
        <v>597.45000000000005</v>
      </c>
      <c r="E1339">
        <v>2258.91</v>
      </c>
      <c r="F1339" t="str">
        <f t="shared" si="40"/>
        <v>julho</v>
      </c>
      <c r="G1339">
        <f t="shared" si="41"/>
        <v>2023</v>
      </c>
    </row>
    <row r="1340" spans="1:7" x14ac:dyDescent="0.25">
      <c r="A1340">
        <v>3020622</v>
      </c>
      <c r="B1340" s="1">
        <v>45108</v>
      </c>
      <c r="C1340" t="s">
        <v>145</v>
      </c>
      <c r="D1340">
        <v>9336.56</v>
      </c>
      <c r="E1340">
        <v>34117.31</v>
      </c>
      <c r="F1340" t="str">
        <f t="shared" si="40"/>
        <v>julho</v>
      </c>
      <c r="G1340">
        <f t="shared" si="41"/>
        <v>2023</v>
      </c>
    </row>
    <row r="1341" spans="1:7" x14ac:dyDescent="0.25">
      <c r="A1341">
        <v>3020623</v>
      </c>
      <c r="B1341" s="1">
        <v>45108</v>
      </c>
      <c r="C1341" t="s">
        <v>147</v>
      </c>
      <c r="D1341">
        <v>984.58</v>
      </c>
      <c r="E1341">
        <v>3780.09</v>
      </c>
      <c r="F1341" t="str">
        <f t="shared" si="40"/>
        <v>julho</v>
      </c>
      <c r="G1341">
        <f t="shared" si="41"/>
        <v>2023</v>
      </c>
    </row>
    <row r="1342" spans="1:7" x14ac:dyDescent="0.25">
      <c r="A1342">
        <v>3020725</v>
      </c>
      <c r="B1342" s="1">
        <v>45108</v>
      </c>
      <c r="C1342" t="s">
        <v>149</v>
      </c>
      <c r="D1342">
        <v>373.64</v>
      </c>
      <c r="E1342">
        <v>1419.27</v>
      </c>
      <c r="F1342" t="str">
        <f t="shared" si="40"/>
        <v>julho</v>
      </c>
      <c r="G1342">
        <f t="shared" si="41"/>
        <v>2023</v>
      </c>
    </row>
    <row r="1343" spans="1:7" x14ac:dyDescent="0.25">
      <c r="A1343">
        <v>3020823</v>
      </c>
      <c r="B1343" s="1">
        <v>45108</v>
      </c>
      <c r="C1343" t="s">
        <v>151</v>
      </c>
      <c r="D1343">
        <v>1300.29</v>
      </c>
      <c r="E1343">
        <v>4933.0200000000004</v>
      </c>
      <c r="F1343" t="str">
        <f t="shared" si="40"/>
        <v>julho</v>
      </c>
      <c r="G1343">
        <f t="shared" si="41"/>
        <v>2023</v>
      </c>
    </row>
    <row r="1344" spans="1:7" x14ac:dyDescent="0.25">
      <c r="A1344">
        <v>3020824</v>
      </c>
      <c r="B1344" s="1">
        <v>45108</v>
      </c>
      <c r="C1344" t="s">
        <v>153</v>
      </c>
      <c r="D1344">
        <v>2153.13</v>
      </c>
      <c r="E1344">
        <v>7996.48</v>
      </c>
      <c r="F1344" t="str">
        <f t="shared" si="40"/>
        <v>julho</v>
      </c>
      <c r="G1344">
        <f t="shared" si="41"/>
        <v>2023</v>
      </c>
    </row>
    <row r="1345" spans="1:7" x14ac:dyDescent="0.25">
      <c r="A1345">
        <v>3020825</v>
      </c>
      <c r="B1345" s="1">
        <v>45108</v>
      </c>
      <c r="C1345" t="s">
        <v>455</v>
      </c>
      <c r="D1345">
        <v>408.29</v>
      </c>
      <c r="E1345">
        <v>1674</v>
      </c>
      <c r="F1345" t="str">
        <f t="shared" si="40"/>
        <v>julho</v>
      </c>
      <c r="G1345">
        <f t="shared" si="41"/>
        <v>2023</v>
      </c>
    </row>
    <row r="1346" spans="1:7" x14ac:dyDescent="0.25">
      <c r="A1346">
        <v>3020924</v>
      </c>
      <c r="B1346" s="1">
        <v>45108</v>
      </c>
      <c r="C1346" t="s">
        <v>155</v>
      </c>
      <c r="D1346">
        <v>1213.21</v>
      </c>
      <c r="E1346">
        <v>4733.29</v>
      </c>
      <c r="F1346" t="str">
        <f t="shared" si="40"/>
        <v>julho</v>
      </c>
      <c r="G1346">
        <f t="shared" si="41"/>
        <v>2023</v>
      </c>
    </row>
    <row r="1347" spans="1:7" x14ac:dyDescent="0.25">
      <c r="A1347">
        <v>3020925</v>
      </c>
      <c r="B1347" s="1">
        <v>45108</v>
      </c>
      <c r="C1347" t="s">
        <v>157</v>
      </c>
      <c r="D1347">
        <v>2570.1799999999998</v>
      </c>
      <c r="E1347">
        <v>9940.15</v>
      </c>
      <c r="F1347" t="str">
        <f t="shared" ref="F1347:F1410" si="42">TEXT(B1347,"mmmm")</f>
        <v>julho</v>
      </c>
      <c r="G1347">
        <f t="shared" ref="G1347:G1410" si="43">YEAR(B1347)</f>
        <v>2023</v>
      </c>
    </row>
    <row r="1348" spans="1:7" x14ac:dyDescent="0.25">
      <c r="A1348">
        <v>3021436</v>
      </c>
      <c r="B1348" s="1">
        <v>45108</v>
      </c>
      <c r="C1348" t="s">
        <v>546</v>
      </c>
      <c r="D1348">
        <v>494.73</v>
      </c>
      <c r="E1348">
        <v>1656.72</v>
      </c>
      <c r="F1348" t="str">
        <f t="shared" si="42"/>
        <v>julho</v>
      </c>
      <c r="G1348">
        <f t="shared" si="43"/>
        <v>2023</v>
      </c>
    </row>
    <row r="1349" spans="1:7" x14ac:dyDescent="0.25">
      <c r="A1349">
        <v>3021537</v>
      </c>
      <c r="B1349" s="1">
        <v>45108</v>
      </c>
      <c r="C1349" t="s">
        <v>161</v>
      </c>
      <c r="D1349">
        <v>7.59</v>
      </c>
      <c r="E1349">
        <v>25.05</v>
      </c>
      <c r="F1349" t="str">
        <f t="shared" si="42"/>
        <v>julho</v>
      </c>
      <c r="G1349">
        <f t="shared" si="43"/>
        <v>2023</v>
      </c>
    </row>
    <row r="1350" spans="1:7" x14ac:dyDescent="0.25">
      <c r="A1350">
        <v>3021538</v>
      </c>
      <c r="B1350" s="1">
        <v>45108</v>
      </c>
      <c r="C1350" t="s">
        <v>548</v>
      </c>
      <c r="D1350">
        <v>83.92</v>
      </c>
      <c r="E1350">
        <v>253.81</v>
      </c>
      <c r="F1350" t="str">
        <f t="shared" si="42"/>
        <v>julho</v>
      </c>
      <c r="G1350">
        <f t="shared" si="43"/>
        <v>2023</v>
      </c>
    </row>
    <row r="1351" spans="1:7" x14ac:dyDescent="0.25">
      <c r="A1351">
        <v>3021639</v>
      </c>
      <c r="B1351" s="1">
        <v>45108</v>
      </c>
      <c r="C1351" t="s">
        <v>457</v>
      </c>
      <c r="D1351">
        <v>53.11</v>
      </c>
      <c r="E1351">
        <v>163.82</v>
      </c>
      <c r="F1351" t="str">
        <f t="shared" si="42"/>
        <v>julho</v>
      </c>
      <c r="G1351">
        <f t="shared" si="43"/>
        <v>2023</v>
      </c>
    </row>
    <row r="1352" spans="1:7" x14ac:dyDescent="0.25">
      <c r="A1352">
        <v>3021740</v>
      </c>
      <c r="B1352" s="1">
        <v>45108</v>
      </c>
      <c r="C1352" t="s">
        <v>459</v>
      </c>
      <c r="D1352">
        <v>311.91000000000003</v>
      </c>
      <c r="E1352">
        <v>966.23</v>
      </c>
      <c r="F1352" t="str">
        <f t="shared" si="42"/>
        <v>julho</v>
      </c>
      <c r="G1352">
        <f t="shared" si="43"/>
        <v>2023</v>
      </c>
    </row>
    <row r="1353" spans="1:7" x14ac:dyDescent="0.25">
      <c r="A1353">
        <v>3021760</v>
      </c>
      <c r="B1353" s="1">
        <v>45108</v>
      </c>
      <c r="C1353" t="s">
        <v>167</v>
      </c>
      <c r="D1353">
        <v>1634.96</v>
      </c>
      <c r="E1353">
        <v>4005.7</v>
      </c>
      <c r="F1353" t="str">
        <f t="shared" si="42"/>
        <v>julho</v>
      </c>
      <c r="G1353">
        <f t="shared" si="43"/>
        <v>2023</v>
      </c>
    </row>
    <row r="1354" spans="1:7" x14ac:dyDescent="0.25">
      <c r="A1354">
        <v>3021811</v>
      </c>
      <c r="B1354" s="1">
        <v>45108</v>
      </c>
      <c r="C1354" t="s">
        <v>169</v>
      </c>
      <c r="D1354">
        <v>684.78</v>
      </c>
      <c r="E1354">
        <v>1708.95</v>
      </c>
      <c r="F1354" t="str">
        <f t="shared" si="42"/>
        <v>julho</v>
      </c>
      <c r="G1354">
        <f t="shared" si="43"/>
        <v>2023</v>
      </c>
    </row>
    <row r="1355" spans="1:7" x14ac:dyDescent="0.25">
      <c r="A1355">
        <v>3021812</v>
      </c>
      <c r="B1355" s="1">
        <v>45108</v>
      </c>
      <c r="C1355" t="s">
        <v>171</v>
      </c>
      <c r="D1355">
        <v>1477.42</v>
      </c>
      <c r="E1355">
        <v>3462.73</v>
      </c>
      <c r="F1355" t="str">
        <f t="shared" si="42"/>
        <v>julho</v>
      </c>
      <c r="G1355">
        <f t="shared" si="43"/>
        <v>2023</v>
      </c>
    </row>
    <row r="1356" spans="1:7" x14ac:dyDescent="0.25">
      <c r="A1356">
        <v>3022100</v>
      </c>
      <c r="B1356" s="1">
        <v>45108</v>
      </c>
      <c r="C1356" t="s">
        <v>173</v>
      </c>
      <c r="D1356">
        <v>286.38</v>
      </c>
      <c r="E1356">
        <v>1097.18</v>
      </c>
      <c r="F1356" t="str">
        <f t="shared" si="42"/>
        <v>julho</v>
      </c>
      <c r="G1356">
        <f t="shared" si="43"/>
        <v>2023</v>
      </c>
    </row>
    <row r="1357" spans="1:7" x14ac:dyDescent="0.25">
      <c r="A1357">
        <v>3022208</v>
      </c>
      <c r="B1357" s="1">
        <v>45108</v>
      </c>
      <c r="C1357" t="s">
        <v>307</v>
      </c>
      <c r="D1357">
        <v>566.05999999999995</v>
      </c>
      <c r="E1357">
        <v>2149.94</v>
      </c>
      <c r="F1357" t="str">
        <f t="shared" si="42"/>
        <v>julho</v>
      </c>
      <c r="G1357">
        <f t="shared" si="43"/>
        <v>2023</v>
      </c>
    </row>
    <row r="1358" spans="1:7" x14ac:dyDescent="0.25">
      <c r="A1358">
        <v>3022311</v>
      </c>
      <c r="B1358" s="1">
        <v>45108</v>
      </c>
      <c r="C1358" t="s">
        <v>176</v>
      </c>
      <c r="D1358">
        <v>1773.85</v>
      </c>
      <c r="E1358">
        <v>4246.57</v>
      </c>
      <c r="F1358" t="str">
        <f t="shared" si="42"/>
        <v>julho</v>
      </c>
      <c r="G1358">
        <f t="shared" si="43"/>
        <v>2023</v>
      </c>
    </row>
    <row r="1359" spans="1:7" x14ac:dyDescent="0.25">
      <c r="A1359">
        <v>3022411</v>
      </c>
      <c r="B1359" s="1">
        <v>45108</v>
      </c>
      <c r="C1359" t="s">
        <v>178</v>
      </c>
      <c r="D1359">
        <v>43.62</v>
      </c>
      <c r="E1359">
        <v>122.65</v>
      </c>
      <c r="F1359" t="str">
        <f t="shared" si="42"/>
        <v>julho</v>
      </c>
      <c r="G1359">
        <f t="shared" si="43"/>
        <v>2023</v>
      </c>
    </row>
    <row r="1360" spans="1:7" x14ac:dyDescent="0.25">
      <c r="A1360">
        <v>3022511</v>
      </c>
      <c r="B1360" s="1">
        <v>45108</v>
      </c>
      <c r="C1360" t="s">
        <v>180</v>
      </c>
      <c r="D1360">
        <v>11.8</v>
      </c>
      <c r="E1360">
        <v>31.27</v>
      </c>
      <c r="F1360" t="str">
        <f t="shared" si="42"/>
        <v>julho</v>
      </c>
      <c r="G1360">
        <f t="shared" si="43"/>
        <v>2023</v>
      </c>
    </row>
    <row r="1361" spans="1:7" x14ac:dyDescent="0.25">
      <c r="A1361">
        <v>3022601</v>
      </c>
      <c r="B1361" s="1">
        <v>45108</v>
      </c>
      <c r="C1361" t="s">
        <v>182</v>
      </c>
      <c r="D1361">
        <v>252.5</v>
      </c>
      <c r="E1361">
        <v>1015.56</v>
      </c>
      <c r="F1361" t="str">
        <f t="shared" si="42"/>
        <v>julho</v>
      </c>
      <c r="G1361">
        <f t="shared" si="43"/>
        <v>2023</v>
      </c>
    </row>
    <row r="1362" spans="1:7" x14ac:dyDescent="0.25">
      <c r="A1362">
        <v>3022703</v>
      </c>
      <c r="B1362" s="1">
        <v>45108</v>
      </c>
      <c r="C1362" t="s">
        <v>309</v>
      </c>
      <c r="D1362">
        <v>747</v>
      </c>
      <c r="E1362">
        <v>2071.15</v>
      </c>
      <c r="F1362" t="str">
        <f t="shared" si="42"/>
        <v>julho</v>
      </c>
      <c r="G1362">
        <f t="shared" si="43"/>
        <v>2023</v>
      </c>
    </row>
    <row r="1363" spans="1:7" x14ac:dyDescent="0.25">
      <c r="A1363">
        <v>3022805</v>
      </c>
      <c r="B1363" s="1">
        <v>45108</v>
      </c>
      <c r="C1363" t="s">
        <v>186</v>
      </c>
      <c r="D1363">
        <v>2395</v>
      </c>
      <c r="E1363">
        <v>5018.3999999999996</v>
      </c>
      <c r="F1363" t="str">
        <f t="shared" si="42"/>
        <v>julho</v>
      </c>
      <c r="G1363">
        <f t="shared" si="43"/>
        <v>2023</v>
      </c>
    </row>
    <row r="1364" spans="1:7" x14ac:dyDescent="0.25">
      <c r="A1364">
        <v>3022906</v>
      </c>
      <c r="B1364" s="1">
        <v>45108</v>
      </c>
      <c r="C1364" t="s">
        <v>188</v>
      </c>
      <c r="D1364">
        <v>3650</v>
      </c>
      <c r="E1364">
        <v>7425.97</v>
      </c>
      <c r="F1364" t="str">
        <f t="shared" si="42"/>
        <v>julho</v>
      </c>
      <c r="G1364">
        <f t="shared" si="43"/>
        <v>2023</v>
      </c>
    </row>
    <row r="1365" spans="1:7" x14ac:dyDescent="0.25">
      <c r="A1365">
        <v>3023007</v>
      </c>
      <c r="B1365" s="1">
        <v>45108</v>
      </c>
      <c r="C1365" t="s">
        <v>190</v>
      </c>
      <c r="D1365">
        <v>1000</v>
      </c>
      <c r="E1365">
        <v>2048</v>
      </c>
      <c r="F1365" t="str">
        <f t="shared" si="42"/>
        <v>julho</v>
      </c>
      <c r="G1365">
        <f t="shared" si="43"/>
        <v>2023</v>
      </c>
    </row>
    <row r="1366" spans="1:7" x14ac:dyDescent="0.25">
      <c r="A1366">
        <v>3024001</v>
      </c>
      <c r="B1366" s="1">
        <v>45108</v>
      </c>
      <c r="C1366" t="s">
        <v>192</v>
      </c>
      <c r="D1366">
        <v>1176.06</v>
      </c>
      <c r="E1366">
        <v>4466.37</v>
      </c>
      <c r="F1366" t="str">
        <f t="shared" si="42"/>
        <v>julho</v>
      </c>
      <c r="G1366">
        <f t="shared" si="43"/>
        <v>2023</v>
      </c>
    </row>
    <row r="1367" spans="1:7" x14ac:dyDescent="0.25">
      <c r="A1367">
        <v>3024003</v>
      </c>
      <c r="B1367" s="1">
        <v>45108</v>
      </c>
      <c r="C1367" t="s">
        <v>196</v>
      </c>
      <c r="D1367">
        <v>268.39999999999998</v>
      </c>
      <c r="E1367">
        <v>760.69</v>
      </c>
      <c r="F1367" t="str">
        <f t="shared" si="42"/>
        <v>julho</v>
      </c>
      <c r="G1367">
        <f t="shared" si="43"/>
        <v>2023</v>
      </c>
    </row>
    <row r="1368" spans="1:7" x14ac:dyDescent="0.25">
      <c r="A1368">
        <v>3024004</v>
      </c>
      <c r="B1368" s="1">
        <v>45108</v>
      </c>
      <c r="C1368" t="s">
        <v>198</v>
      </c>
      <c r="D1368">
        <v>949.36</v>
      </c>
      <c r="E1368">
        <v>986.67</v>
      </c>
      <c r="F1368" t="str">
        <f t="shared" si="42"/>
        <v>julho</v>
      </c>
      <c r="G1368">
        <f t="shared" si="43"/>
        <v>2023</v>
      </c>
    </row>
    <row r="1369" spans="1:7" x14ac:dyDescent="0.25">
      <c r="A1369">
        <v>4030100</v>
      </c>
      <c r="B1369" s="1">
        <v>45108</v>
      </c>
      <c r="C1369" t="s">
        <v>200</v>
      </c>
      <c r="D1369">
        <v>364.7</v>
      </c>
      <c r="E1369">
        <v>2237.0700000000002</v>
      </c>
      <c r="F1369" t="str">
        <f t="shared" si="42"/>
        <v>julho</v>
      </c>
      <c r="G1369">
        <f t="shared" si="43"/>
        <v>2023</v>
      </c>
    </row>
    <row r="1370" spans="1:7" x14ac:dyDescent="0.25">
      <c r="A1370">
        <v>4030201</v>
      </c>
      <c r="B1370" s="1">
        <v>45108</v>
      </c>
      <c r="C1370" t="s">
        <v>692</v>
      </c>
      <c r="D1370">
        <v>4.7</v>
      </c>
      <c r="E1370">
        <v>17.86</v>
      </c>
      <c r="F1370" t="str">
        <f t="shared" si="42"/>
        <v>julho</v>
      </c>
      <c r="G1370">
        <f t="shared" si="43"/>
        <v>2023</v>
      </c>
    </row>
    <row r="1371" spans="1:7" x14ac:dyDescent="0.25">
      <c r="A1371">
        <v>4030211</v>
      </c>
      <c r="B1371" s="1">
        <v>45108</v>
      </c>
      <c r="C1371" t="s">
        <v>202</v>
      </c>
      <c r="D1371">
        <v>709.65</v>
      </c>
      <c r="E1371">
        <v>4219.45</v>
      </c>
      <c r="F1371" t="str">
        <f t="shared" si="42"/>
        <v>julho</v>
      </c>
      <c r="G1371">
        <f t="shared" si="43"/>
        <v>2023</v>
      </c>
    </row>
    <row r="1372" spans="1:7" x14ac:dyDescent="0.25">
      <c r="A1372">
        <v>4030301</v>
      </c>
      <c r="B1372" s="1">
        <v>45108</v>
      </c>
      <c r="C1372" t="s">
        <v>693</v>
      </c>
      <c r="D1372">
        <v>2519.59</v>
      </c>
      <c r="E1372">
        <v>12547.55</v>
      </c>
      <c r="F1372" t="str">
        <f t="shared" si="42"/>
        <v>julho</v>
      </c>
      <c r="G1372">
        <f t="shared" si="43"/>
        <v>2023</v>
      </c>
    </row>
    <row r="1373" spans="1:7" x14ac:dyDescent="0.25">
      <c r="A1373">
        <v>4030302</v>
      </c>
      <c r="B1373" s="1">
        <v>45108</v>
      </c>
      <c r="C1373" t="s">
        <v>694</v>
      </c>
      <c r="D1373">
        <v>5100.2</v>
      </c>
      <c r="E1373">
        <v>21420.84</v>
      </c>
      <c r="F1373" t="str">
        <f t="shared" si="42"/>
        <v>julho</v>
      </c>
      <c r="G1373">
        <f t="shared" si="43"/>
        <v>2023</v>
      </c>
    </row>
    <row r="1374" spans="1:7" x14ac:dyDescent="0.25">
      <c r="A1374">
        <v>4030303</v>
      </c>
      <c r="B1374" s="1">
        <v>45108</v>
      </c>
      <c r="C1374" t="s">
        <v>695</v>
      </c>
      <c r="D1374">
        <v>2037.6</v>
      </c>
      <c r="E1374">
        <v>10147.25</v>
      </c>
      <c r="F1374" t="str">
        <f t="shared" si="42"/>
        <v>julho</v>
      </c>
      <c r="G1374">
        <f t="shared" si="43"/>
        <v>2023</v>
      </c>
    </row>
    <row r="1375" spans="1:7" x14ac:dyDescent="0.25">
      <c r="A1375">
        <v>4030311</v>
      </c>
      <c r="B1375" s="1">
        <v>45108</v>
      </c>
      <c r="C1375" t="s">
        <v>311</v>
      </c>
      <c r="D1375">
        <v>297.48</v>
      </c>
      <c r="E1375">
        <v>1996.02</v>
      </c>
      <c r="F1375" t="str">
        <f t="shared" si="42"/>
        <v>julho</v>
      </c>
      <c r="G1375">
        <f t="shared" si="43"/>
        <v>2023</v>
      </c>
    </row>
    <row r="1376" spans="1:7" x14ac:dyDescent="0.25">
      <c r="A1376">
        <v>4030401</v>
      </c>
      <c r="B1376" s="1">
        <v>45108</v>
      </c>
      <c r="C1376" t="s">
        <v>461</v>
      </c>
      <c r="D1376">
        <v>300.69</v>
      </c>
      <c r="E1376">
        <v>1551.38</v>
      </c>
      <c r="F1376" t="str">
        <f t="shared" si="42"/>
        <v>julho</v>
      </c>
      <c r="G1376">
        <f t="shared" si="43"/>
        <v>2023</v>
      </c>
    </row>
    <row r="1377" spans="1:7" x14ac:dyDescent="0.25">
      <c r="A1377">
        <v>4030532</v>
      </c>
      <c r="B1377" s="1">
        <v>45108</v>
      </c>
      <c r="C1377" t="s">
        <v>210</v>
      </c>
      <c r="D1377">
        <v>89.61</v>
      </c>
      <c r="E1377">
        <v>449.92</v>
      </c>
      <c r="F1377" t="str">
        <f t="shared" si="42"/>
        <v>julho</v>
      </c>
      <c r="G1377">
        <f t="shared" si="43"/>
        <v>2023</v>
      </c>
    </row>
    <row r="1378" spans="1:7" x14ac:dyDescent="0.25">
      <c r="A1378">
        <v>4030600</v>
      </c>
      <c r="B1378" s="1">
        <v>45108</v>
      </c>
      <c r="C1378" t="s">
        <v>212</v>
      </c>
      <c r="D1378">
        <v>754.8</v>
      </c>
      <c r="E1378">
        <v>2329.02</v>
      </c>
      <c r="F1378" t="str">
        <f t="shared" si="42"/>
        <v>julho</v>
      </c>
      <c r="G1378">
        <f t="shared" si="43"/>
        <v>2023</v>
      </c>
    </row>
    <row r="1379" spans="1:7" x14ac:dyDescent="0.25">
      <c r="A1379">
        <v>4030711</v>
      </c>
      <c r="B1379" s="1">
        <v>45108</v>
      </c>
      <c r="C1379" t="s">
        <v>214</v>
      </c>
      <c r="D1379">
        <v>1011.71</v>
      </c>
      <c r="E1379">
        <v>3363.18</v>
      </c>
      <c r="F1379" t="str">
        <f t="shared" si="42"/>
        <v>julho</v>
      </c>
      <c r="G1379">
        <f t="shared" si="43"/>
        <v>2023</v>
      </c>
    </row>
    <row r="1380" spans="1:7" x14ac:dyDescent="0.25">
      <c r="A1380">
        <v>4030811</v>
      </c>
      <c r="B1380" s="1">
        <v>45108</v>
      </c>
      <c r="C1380" t="s">
        <v>216</v>
      </c>
      <c r="D1380">
        <v>2246.46</v>
      </c>
      <c r="E1380">
        <v>7060.12</v>
      </c>
      <c r="F1380" t="str">
        <f t="shared" si="42"/>
        <v>julho</v>
      </c>
      <c r="G1380">
        <f t="shared" si="43"/>
        <v>2023</v>
      </c>
    </row>
    <row r="1381" spans="1:7" x14ac:dyDescent="0.25">
      <c r="A1381">
        <v>4030813</v>
      </c>
      <c r="B1381" s="1">
        <v>45108</v>
      </c>
      <c r="C1381" t="s">
        <v>218</v>
      </c>
      <c r="D1381">
        <v>1449.62</v>
      </c>
      <c r="E1381">
        <v>4329.47</v>
      </c>
      <c r="F1381" t="str">
        <f t="shared" si="42"/>
        <v>julho</v>
      </c>
      <c r="G1381">
        <f t="shared" si="43"/>
        <v>2023</v>
      </c>
    </row>
    <row r="1382" spans="1:7" x14ac:dyDescent="0.25">
      <c r="A1382">
        <v>4030900</v>
      </c>
      <c r="B1382" s="1">
        <v>45108</v>
      </c>
      <c r="C1382" t="s">
        <v>220</v>
      </c>
      <c r="D1382">
        <v>5537</v>
      </c>
      <c r="E1382">
        <v>16716.71</v>
      </c>
      <c r="F1382" t="str">
        <f t="shared" si="42"/>
        <v>julho</v>
      </c>
      <c r="G1382">
        <f t="shared" si="43"/>
        <v>2023</v>
      </c>
    </row>
    <row r="1383" spans="1:7" x14ac:dyDescent="0.25">
      <c r="A1383">
        <v>4030910</v>
      </c>
      <c r="B1383" s="1">
        <v>45108</v>
      </c>
      <c r="C1383" t="s">
        <v>222</v>
      </c>
      <c r="D1383">
        <v>144.19</v>
      </c>
      <c r="E1383">
        <v>469.26</v>
      </c>
      <c r="F1383" t="str">
        <f t="shared" si="42"/>
        <v>julho</v>
      </c>
      <c r="G1383">
        <f t="shared" si="43"/>
        <v>2023</v>
      </c>
    </row>
    <row r="1384" spans="1:7" x14ac:dyDescent="0.25">
      <c r="A1384">
        <v>4031012</v>
      </c>
      <c r="B1384" s="1">
        <v>45108</v>
      </c>
      <c r="C1384" t="s">
        <v>224</v>
      </c>
      <c r="D1384">
        <v>958.97</v>
      </c>
      <c r="E1384">
        <v>2957.64</v>
      </c>
      <c r="F1384" t="str">
        <f t="shared" si="42"/>
        <v>julho</v>
      </c>
      <c r="G1384">
        <f t="shared" si="43"/>
        <v>2023</v>
      </c>
    </row>
    <row r="1385" spans="1:7" x14ac:dyDescent="0.25">
      <c r="A1385">
        <v>4031017</v>
      </c>
      <c r="B1385" s="1">
        <v>45108</v>
      </c>
      <c r="C1385" t="s">
        <v>226</v>
      </c>
      <c r="D1385">
        <v>2195</v>
      </c>
      <c r="E1385">
        <v>1458.15</v>
      </c>
      <c r="F1385" t="str">
        <f t="shared" si="42"/>
        <v>julho</v>
      </c>
      <c r="G1385">
        <f t="shared" si="43"/>
        <v>2023</v>
      </c>
    </row>
    <row r="1386" spans="1:7" x14ac:dyDescent="0.25">
      <c r="A1386">
        <v>4031102</v>
      </c>
      <c r="B1386" s="1">
        <v>45108</v>
      </c>
      <c r="C1386" t="s">
        <v>228</v>
      </c>
      <c r="D1386">
        <v>10440.23</v>
      </c>
      <c r="E1386">
        <v>30201.81</v>
      </c>
      <c r="F1386" t="str">
        <f t="shared" si="42"/>
        <v>julho</v>
      </c>
      <c r="G1386">
        <f t="shared" si="43"/>
        <v>2023</v>
      </c>
    </row>
    <row r="1387" spans="1:7" x14ac:dyDescent="0.25">
      <c r="A1387">
        <v>4031200</v>
      </c>
      <c r="B1387" s="1">
        <v>45108</v>
      </c>
      <c r="C1387" t="s">
        <v>230</v>
      </c>
      <c r="D1387">
        <v>1221.52</v>
      </c>
      <c r="E1387">
        <v>3658.18</v>
      </c>
      <c r="F1387" t="str">
        <f t="shared" si="42"/>
        <v>julho</v>
      </c>
      <c r="G1387">
        <f t="shared" si="43"/>
        <v>2023</v>
      </c>
    </row>
    <row r="1388" spans="1:7" x14ac:dyDescent="0.25">
      <c r="A1388">
        <v>4031304</v>
      </c>
      <c r="B1388" s="1">
        <v>45108</v>
      </c>
      <c r="C1388" t="s">
        <v>232</v>
      </c>
      <c r="D1388">
        <v>1641.96</v>
      </c>
      <c r="E1388">
        <v>4730.9399999999996</v>
      </c>
      <c r="F1388" t="str">
        <f t="shared" si="42"/>
        <v>julho</v>
      </c>
      <c r="G1388">
        <f t="shared" si="43"/>
        <v>2023</v>
      </c>
    </row>
    <row r="1389" spans="1:7" x14ac:dyDescent="0.25">
      <c r="A1389">
        <v>4031411</v>
      </c>
      <c r="B1389" s="1">
        <v>45108</v>
      </c>
      <c r="C1389" t="s">
        <v>234</v>
      </c>
      <c r="D1389">
        <v>78.89</v>
      </c>
      <c r="E1389">
        <v>225.54</v>
      </c>
      <c r="F1389" t="str">
        <f t="shared" si="42"/>
        <v>julho</v>
      </c>
      <c r="G1389">
        <f t="shared" si="43"/>
        <v>2023</v>
      </c>
    </row>
    <row r="1390" spans="1:7" x14ac:dyDescent="0.25">
      <c r="A1390">
        <v>4031500</v>
      </c>
      <c r="B1390" s="1">
        <v>45108</v>
      </c>
      <c r="C1390" t="s">
        <v>236</v>
      </c>
      <c r="D1390">
        <v>6069.15</v>
      </c>
      <c r="E1390">
        <v>17251.64</v>
      </c>
      <c r="F1390" t="str">
        <f t="shared" si="42"/>
        <v>julho</v>
      </c>
      <c r="G1390">
        <f t="shared" si="43"/>
        <v>2023</v>
      </c>
    </row>
    <row r="1391" spans="1:7" x14ac:dyDescent="0.25">
      <c r="A1391">
        <v>4031604</v>
      </c>
      <c r="B1391" s="1">
        <v>45108</v>
      </c>
      <c r="C1391" t="s">
        <v>238</v>
      </c>
      <c r="D1391">
        <v>6253.9</v>
      </c>
      <c r="E1391">
        <v>16838.88</v>
      </c>
      <c r="F1391" t="str">
        <f t="shared" si="42"/>
        <v>julho</v>
      </c>
      <c r="G1391">
        <f t="shared" si="43"/>
        <v>2023</v>
      </c>
    </row>
    <row r="1392" spans="1:7" x14ac:dyDescent="0.25">
      <c r="A1392">
        <v>4031605</v>
      </c>
      <c r="B1392" s="1">
        <v>45108</v>
      </c>
      <c r="C1392" t="s">
        <v>240</v>
      </c>
      <c r="D1392">
        <v>46.25</v>
      </c>
      <c r="E1392">
        <v>149.37</v>
      </c>
      <c r="F1392" t="str">
        <f t="shared" si="42"/>
        <v>julho</v>
      </c>
      <c r="G1392">
        <f t="shared" si="43"/>
        <v>2023</v>
      </c>
    </row>
    <row r="1393" spans="1:7" x14ac:dyDescent="0.25">
      <c r="A1393">
        <v>4031700</v>
      </c>
      <c r="B1393" s="1">
        <v>45108</v>
      </c>
      <c r="C1393" t="s">
        <v>242</v>
      </c>
      <c r="D1393">
        <v>728.5</v>
      </c>
      <c r="E1393">
        <v>2174.5</v>
      </c>
      <c r="F1393" t="str">
        <f t="shared" si="42"/>
        <v>julho</v>
      </c>
      <c r="G1393">
        <f t="shared" si="43"/>
        <v>2023</v>
      </c>
    </row>
    <row r="1394" spans="1:7" x14ac:dyDescent="0.25">
      <c r="A1394">
        <v>4031812</v>
      </c>
      <c r="B1394" s="1">
        <v>45108</v>
      </c>
      <c r="C1394" t="s">
        <v>244</v>
      </c>
      <c r="D1394">
        <v>370.06</v>
      </c>
      <c r="E1394">
        <v>1188.8800000000001</v>
      </c>
      <c r="F1394" t="str">
        <f t="shared" si="42"/>
        <v>julho</v>
      </c>
      <c r="G1394">
        <f t="shared" si="43"/>
        <v>2023</v>
      </c>
    </row>
    <row r="1395" spans="1:7" x14ac:dyDescent="0.25">
      <c r="A1395">
        <v>4031813</v>
      </c>
      <c r="B1395" s="1">
        <v>45108</v>
      </c>
      <c r="C1395" t="s">
        <v>464</v>
      </c>
      <c r="D1395">
        <v>350</v>
      </c>
      <c r="E1395">
        <v>234.5</v>
      </c>
      <c r="F1395" t="str">
        <f t="shared" si="42"/>
        <v>julho</v>
      </c>
      <c r="G1395">
        <f t="shared" si="43"/>
        <v>2023</v>
      </c>
    </row>
    <row r="1396" spans="1:7" x14ac:dyDescent="0.25">
      <c r="A1396">
        <v>4031904</v>
      </c>
      <c r="B1396" s="1">
        <v>45108</v>
      </c>
      <c r="C1396" t="s">
        <v>246</v>
      </c>
      <c r="D1396">
        <v>986.65</v>
      </c>
      <c r="E1396">
        <v>2873.9</v>
      </c>
      <c r="F1396" t="str">
        <f t="shared" si="42"/>
        <v>julho</v>
      </c>
      <c r="G1396">
        <f t="shared" si="43"/>
        <v>2023</v>
      </c>
    </row>
    <row r="1397" spans="1:7" x14ac:dyDescent="0.25">
      <c r="A1397">
        <v>4032111</v>
      </c>
      <c r="B1397" s="1">
        <v>45108</v>
      </c>
      <c r="C1397" t="s">
        <v>314</v>
      </c>
      <c r="D1397">
        <v>17.559999999999999</v>
      </c>
      <c r="E1397">
        <v>93.17</v>
      </c>
      <c r="F1397" t="str">
        <f t="shared" si="42"/>
        <v>julho</v>
      </c>
      <c r="G1397">
        <f t="shared" si="43"/>
        <v>2023</v>
      </c>
    </row>
    <row r="1398" spans="1:7" x14ac:dyDescent="0.25">
      <c r="A1398">
        <v>4032204</v>
      </c>
      <c r="B1398" s="1">
        <v>45108</v>
      </c>
      <c r="C1398" t="s">
        <v>315</v>
      </c>
      <c r="D1398">
        <v>51.3</v>
      </c>
      <c r="E1398">
        <v>260.52</v>
      </c>
      <c r="F1398" t="str">
        <f t="shared" si="42"/>
        <v>julho</v>
      </c>
      <c r="G1398">
        <f t="shared" si="43"/>
        <v>2023</v>
      </c>
    </row>
    <row r="1399" spans="1:7" x14ac:dyDescent="0.25">
      <c r="A1399">
        <v>4032205</v>
      </c>
      <c r="B1399" s="1">
        <v>45108</v>
      </c>
      <c r="C1399" t="s">
        <v>553</v>
      </c>
      <c r="D1399">
        <v>60.43</v>
      </c>
      <c r="E1399">
        <v>314.45</v>
      </c>
      <c r="F1399" t="str">
        <f t="shared" si="42"/>
        <v>julho</v>
      </c>
      <c r="G1399">
        <f t="shared" si="43"/>
        <v>2023</v>
      </c>
    </row>
    <row r="1400" spans="1:7" x14ac:dyDescent="0.25">
      <c r="A1400">
        <v>4032206</v>
      </c>
      <c r="B1400" s="1">
        <v>45108</v>
      </c>
      <c r="C1400" t="s">
        <v>555</v>
      </c>
      <c r="D1400">
        <v>40.29</v>
      </c>
      <c r="E1400">
        <v>216.39</v>
      </c>
      <c r="F1400" t="str">
        <f t="shared" si="42"/>
        <v>julho</v>
      </c>
      <c r="G1400">
        <f t="shared" si="43"/>
        <v>2023</v>
      </c>
    </row>
    <row r="1401" spans="1:7" x14ac:dyDescent="0.25">
      <c r="A1401">
        <v>4032312</v>
      </c>
      <c r="B1401" s="1">
        <v>45108</v>
      </c>
      <c r="C1401" t="s">
        <v>252</v>
      </c>
      <c r="D1401">
        <v>572.16</v>
      </c>
      <c r="E1401">
        <v>2409.17</v>
      </c>
      <c r="F1401" t="str">
        <f t="shared" si="42"/>
        <v>julho</v>
      </c>
      <c r="G1401">
        <f t="shared" si="43"/>
        <v>2023</v>
      </c>
    </row>
    <row r="1402" spans="1:7" x14ac:dyDescent="0.25">
      <c r="A1402">
        <v>4032404</v>
      </c>
      <c r="B1402" s="1">
        <v>45108</v>
      </c>
      <c r="C1402" t="s">
        <v>254</v>
      </c>
      <c r="D1402">
        <v>101.12</v>
      </c>
      <c r="E1402">
        <v>446.22</v>
      </c>
      <c r="F1402" t="str">
        <f t="shared" si="42"/>
        <v>julho</v>
      </c>
      <c r="G1402">
        <f t="shared" si="43"/>
        <v>2023</v>
      </c>
    </row>
    <row r="1403" spans="1:7" x14ac:dyDescent="0.25">
      <c r="A1403">
        <v>4032500</v>
      </c>
      <c r="B1403" s="1">
        <v>45108</v>
      </c>
      <c r="C1403" t="s">
        <v>256</v>
      </c>
      <c r="D1403">
        <v>272.10000000000002</v>
      </c>
      <c r="E1403">
        <v>743.22</v>
      </c>
      <c r="F1403" t="str">
        <f t="shared" si="42"/>
        <v>julho</v>
      </c>
      <c r="G1403">
        <f t="shared" si="43"/>
        <v>2023</v>
      </c>
    </row>
    <row r="1404" spans="1:7" x14ac:dyDescent="0.25">
      <c r="A1404">
        <v>4032611</v>
      </c>
      <c r="B1404" s="1">
        <v>45108</v>
      </c>
      <c r="C1404" t="s">
        <v>258</v>
      </c>
      <c r="D1404">
        <v>41.34</v>
      </c>
      <c r="E1404">
        <v>128.06</v>
      </c>
      <c r="F1404" t="str">
        <f t="shared" si="42"/>
        <v>julho</v>
      </c>
      <c r="G1404">
        <f t="shared" si="43"/>
        <v>2023</v>
      </c>
    </row>
    <row r="1405" spans="1:7" x14ac:dyDescent="0.25">
      <c r="A1405">
        <v>4032704</v>
      </c>
      <c r="B1405" s="1">
        <v>45108</v>
      </c>
      <c r="C1405" t="s">
        <v>260</v>
      </c>
      <c r="D1405">
        <v>238.04</v>
      </c>
      <c r="E1405">
        <v>701.47</v>
      </c>
      <c r="F1405" t="str">
        <f t="shared" si="42"/>
        <v>julho</v>
      </c>
      <c r="G1405">
        <f t="shared" si="43"/>
        <v>2023</v>
      </c>
    </row>
    <row r="1406" spans="1:7" x14ac:dyDescent="0.25">
      <c r="A1406">
        <v>4032800</v>
      </c>
      <c r="B1406" s="1">
        <v>45108</v>
      </c>
      <c r="C1406" t="s">
        <v>262</v>
      </c>
      <c r="D1406">
        <v>101.7</v>
      </c>
      <c r="E1406">
        <v>591.55999999999995</v>
      </c>
      <c r="F1406" t="str">
        <f t="shared" si="42"/>
        <v>julho</v>
      </c>
      <c r="G1406">
        <f t="shared" si="43"/>
        <v>2023</v>
      </c>
    </row>
    <row r="1407" spans="1:7" x14ac:dyDescent="0.25">
      <c r="A1407">
        <v>4032902</v>
      </c>
      <c r="B1407" s="1">
        <v>45108</v>
      </c>
      <c r="C1407" t="s">
        <v>264</v>
      </c>
      <c r="D1407">
        <v>127.18</v>
      </c>
      <c r="E1407">
        <v>653.82000000000005</v>
      </c>
      <c r="F1407" t="str">
        <f t="shared" si="42"/>
        <v>julho</v>
      </c>
      <c r="G1407">
        <f t="shared" si="43"/>
        <v>2023</v>
      </c>
    </row>
    <row r="1408" spans="1:7" x14ac:dyDescent="0.25">
      <c r="A1408">
        <v>4033011</v>
      </c>
      <c r="B1408" s="1">
        <v>45108</v>
      </c>
      <c r="C1408" t="s">
        <v>266</v>
      </c>
      <c r="D1408">
        <v>58.37</v>
      </c>
      <c r="E1408">
        <v>300.61</v>
      </c>
      <c r="F1408" t="str">
        <f t="shared" si="42"/>
        <v>julho</v>
      </c>
      <c r="G1408">
        <f t="shared" si="43"/>
        <v>2023</v>
      </c>
    </row>
    <row r="1409" spans="1:7" x14ac:dyDescent="0.25">
      <c r="A1409">
        <v>4033111</v>
      </c>
      <c r="B1409" s="1">
        <v>45108</v>
      </c>
      <c r="C1409" t="s">
        <v>268</v>
      </c>
      <c r="D1409">
        <v>175.39</v>
      </c>
      <c r="E1409">
        <v>758.07</v>
      </c>
      <c r="F1409" t="str">
        <f t="shared" si="42"/>
        <v>julho</v>
      </c>
      <c r="G1409">
        <f t="shared" si="43"/>
        <v>2023</v>
      </c>
    </row>
    <row r="1410" spans="1:7" x14ac:dyDescent="0.25">
      <c r="A1410">
        <v>4033211</v>
      </c>
      <c r="B1410" s="1">
        <v>45108</v>
      </c>
      <c r="C1410" t="s">
        <v>270</v>
      </c>
      <c r="D1410">
        <v>68.599999999999994</v>
      </c>
      <c r="E1410">
        <v>311.88</v>
      </c>
      <c r="F1410" t="str">
        <f t="shared" si="42"/>
        <v>julho</v>
      </c>
      <c r="G1410">
        <f t="shared" si="43"/>
        <v>2023</v>
      </c>
    </row>
    <row r="1411" spans="1:7" x14ac:dyDescent="0.25">
      <c r="A1411">
        <v>4033311</v>
      </c>
      <c r="B1411" s="1">
        <v>45108</v>
      </c>
      <c r="C1411" t="s">
        <v>272</v>
      </c>
      <c r="D1411">
        <v>6.57</v>
      </c>
      <c r="E1411">
        <v>40.729999999999997</v>
      </c>
      <c r="F1411" t="str">
        <f t="shared" ref="F1411:F1474" si="44">TEXT(B1411,"mmmm")</f>
        <v>julho</v>
      </c>
      <c r="G1411">
        <f t="shared" ref="G1411:G1474" si="45">YEAR(B1411)</f>
        <v>2023</v>
      </c>
    </row>
    <row r="1412" spans="1:7" x14ac:dyDescent="0.25">
      <c r="A1412">
        <v>4033400</v>
      </c>
      <c r="B1412" s="1">
        <v>45108</v>
      </c>
      <c r="C1412" t="s">
        <v>274</v>
      </c>
      <c r="D1412">
        <v>757</v>
      </c>
      <c r="E1412">
        <v>2219.83</v>
      </c>
      <c r="F1412" t="str">
        <f t="shared" si="44"/>
        <v>julho</v>
      </c>
      <c r="G1412">
        <f t="shared" si="45"/>
        <v>2023</v>
      </c>
    </row>
    <row r="1413" spans="1:7" x14ac:dyDescent="0.25">
      <c r="A1413">
        <v>4033511</v>
      </c>
      <c r="B1413" s="1">
        <v>45108</v>
      </c>
      <c r="C1413" t="s">
        <v>276</v>
      </c>
      <c r="D1413">
        <v>1205.1099999999999</v>
      </c>
      <c r="E1413">
        <v>3823.82</v>
      </c>
      <c r="F1413" t="str">
        <f t="shared" si="44"/>
        <v>julho</v>
      </c>
      <c r="G1413">
        <f t="shared" si="45"/>
        <v>2023</v>
      </c>
    </row>
    <row r="1414" spans="1:7" x14ac:dyDescent="0.25">
      <c r="A1414">
        <v>4033601</v>
      </c>
      <c r="B1414" s="1">
        <v>45108</v>
      </c>
      <c r="C1414" t="s">
        <v>696</v>
      </c>
      <c r="D1414">
        <v>5235.8</v>
      </c>
      <c r="E1414">
        <v>23561.119999999999</v>
      </c>
      <c r="F1414" t="str">
        <f t="shared" si="44"/>
        <v>julho</v>
      </c>
      <c r="G1414">
        <f t="shared" si="45"/>
        <v>2023</v>
      </c>
    </row>
    <row r="1415" spans="1:7" x14ac:dyDescent="0.25">
      <c r="A1415">
        <v>4033900</v>
      </c>
      <c r="B1415" s="1">
        <v>45108</v>
      </c>
      <c r="C1415" t="s">
        <v>278</v>
      </c>
      <c r="D1415">
        <v>17.2</v>
      </c>
      <c r="E1415">
        <v>88.4</v>
      </c>
      <c r="F1415" t="str">
        <f t="shared" si="44"/>
        <v>julho</v>
      </c>
      <c r="G1415">
        <f t="shared" si="45"/>
        <v>2023</v>
      </c>
    </row>
    <row r="1416" spans="1:7" x14ac:dyDescent="0.25">
      <c r="A1416">
        <v>4034011</v>
      </c>
      <c r="B1416" s="1">
        <v>45108</v>
      </c>
      <c r="C1416" t="s">
        <v>280</v>
      </c>
      <c r="D1416">
        <v>784.39</v>
      </c>
      <c r="E1416">
        <v>4028.74</v>
      </c>
      <c r="F1416" t="str">
        <f t="shared" si="44"/>
        <v>julho</v>
      </c>
      <c r="G1416">
        <f t="shared" si="45"/>
        <v>2023</v>
      </c>
    </row>
    <row r="1417" spans="1:7" x14ac:dyDescent="0.25">
      <c r="A1417">
        <v>4034211</v>
      </c>
      <c r="B1417" s="1">
        <v>45108</v>
      </c>
      <c r="C1417" t="s">
        <v>282</v>
      </c>
      <c r="D1417">
        <v>273.38</v>
      </c>
      <c r="E1417">
        <v>1173.22</v>
      </c>
      <c r="F1417" t="str">
        <f t="shared" si="44"/>
        <v>julho</v>
      </c>
      <c r="G1417">
        <f t="shared" si="45"/>
        <v>2023</v>
      </c>
    </row>
    <row r="1418" spans="1:7" x14ac:dyDescent="0.25">
      <c r="A1418">
        <v>4034400</v>
      </c>
      <c r="B1418" s="1">
        <v>45108</v>
      </c>
      <c r="C1418" t="s">
        <v>284</v>
      </c>
      <c r="D1418">
        <v>156.19999999999999</v>
      </c>
      <c r="E1418">
        <v>414.63</v>
      </c>
      <c r="F1418" t="str">
        <f t="shared" si="44"/>
        <v>julho</v>
      </c>
      <c r="G1418">
        <f t="shared" si="45"/>
        <v>2023</v>
      </c>
    </row>
    <row r="1419" spans="1:7" x14ac:dyDescent="0.25">
      <c r="A1419">
        <v>4034502</v>
      </c>
      <c r="B1419" s="1">
        <v>45108</v>
      </c>
      <c r="C1419" t="s">
        <v>286</v>
      </c>
      <c r="D1419">
        <v>33.200000000000003</v>
      </c>
      <c r="E1419">
        <v>96.89</v>
      </c>
      <c r="F1419" t="str">
        <f t="shared" si="44"/>
        <v>julho</v>
      </c>
      <c r="G1419">
        <f t="shared" si="45"/>
        <v>2023</v>
      </c>
    </row>
    <row r="1420" spans="1:7" x14ac:dyDescent="0.25">
      <c r="A1420">
        <v>8030004</v>
      </c>
      <c r="B1420" s="1">
        <v>45108</v>
      </c>
      <c r="C1420" t="s">
        <v>697</v>
      </c>
      <c r="D1420">
        <v>2</v>
      </c>
      <c r="E1420">
        <v>20</v>
      </c>
      <c r="F1420" t="str">
        <f t="shared" si="44"/>
        <v>julho</v>
      </c>
      <c r="G1420">
        <f t="shared" si="45"/>
        <v>2023</v>
      </c>
    </row>
    <row r="1421" spans="1:7" x14ac:dyDescent="0.25">
      <c r="A1421">
        <v>8040011</v>
      </c>
      <c r="B1421" s="1">
        <v>45108</v>
      </c>
      <c r="C1421" t="s">
        <v>560</v>
      </c>
      <c r="D1421">
        <v>21</v>
      </c>
      <c r="E1421">
        <v>62.79</v>
      </c>
      <c r="F1421" t="str">
        <f t="shared" si="44"/>
        <v>julho</v>
      </c>
      <c r="G1421">
        <f t="shared" si="45"/>
        <v>2023</v>
      </c>
    </row>
    <row r="1422" spans="1:7" x14ac:dyDescent="0.25">
      <c r="A1422">
        <v>8040039</v>
      </c>
      <c r="B1422" s="1">
        <v>45108</v>
      </c>
      <c r="C1422" t="s">
        <v>564</v>
      </c>
      <c r="D1422">
        <v>2.37</v>
      </c>
      <c r="E1422">
        <v>32.520000000000003</v>
      </c>
      <c r="F1422" t="str">
        <f t="shared" si="44"/>
        <v>julho</v>
      </c>
      <c r="G1422">
        <f t="shared" si="45"/>
        <v>2023</v>
      </c>
    </row>
    <row r="1423" spans="1:7" x14ac:dyDescent="0.25">
      <c r="A1423">
        <v>8040040</v>
      </c>
      <c r="B1423" s="1">
        <v>45108</v>
      </c>
      <c r="C1423" t="s">
        <v>698</v>
      </c>
      <c r="D1423">
        <v>2016</v>
      </c>
      <c r="E1423">
        <v>10609.2</v>
      </c>
      <c r="F1423" t="str">
        <f t="shared" si="44"/>
        <v>julho</v>
      </c>
      <c r="G1423">
        <f t="shared" si="45"/>
        <v>2023</v>
      </c>
    </row>
    <row r="1424" spans="1:7" x14ac:dyDescent="0.25">
      <c r="A1424">
        <v>8040048</v>
      </c>
      <c r="B1424" s="1">
        <v>45108</v>
      </c>
      <c r="C1424" t="s">
        <v>699</v>
      </c>
      <c r="D1424">
        <v>32</v>
      </c>
      <c r="E1424">
        <v>82.24</v>
      </c>
      <c r="F1424" t="str">
        <f t="shared" si="44"/>
        <v>julho</v>
      </c>
      <c r="G1424">
        <f t="shared" si="45"/>
        <v>2023</v>
      </c>
    </row>
    <row r="1425" spans="1:7" x14ac:dyDescent="0.25">
      <c r="A1425">
        <v>8040049</v>
      </c>
      <c r="B1425" s="1">
        <v>45108</v>
      </c>
      <c r="C1425" t="s">
        <v>643</v>
      </c>
      <c r="D1425">
        <v>136</v>
      </c>
      <c r="E1425">
        <v>1548.8</v>
      </c>
      <c r="F1425" t="str">
        <f t="shared" si="44"/>
        <v>julho</v>
      </c>
      <c r="G1425">
        <f t="shared" si="45"/>
        <v>2023</v>
      </c>
    </row>
    <row r="1426" spans="1:7" x14ac:dyDescent="0.25">
      <c r="A1426">
        <v>8040052</v>
      </c>
      <c r="B1426" s="1">
        <v>45108</v>
      </c>
      <c r="C1426" t="s">
        <v>700</v>
      </c>
      <c r="D1426">
        <v>6.3</v>
      </c>
      <c r="E1426">
        <v>73.709999999999994</v>
      </c>
      <c r="F1426" t="str">
        <f t="shared" si="44"/>
        <v>julho</v>
      </c>
      <c r="G1426">
        <f t="shared" si="45"/>
        <v>2023</v>
      </c>
    </row>
    <row r="1427" spans="1:7" x14ac:dyDescent="0.25">
      <c r="A1427">
        <v>8050002</v>
      </c>
      <c r="B1427" s="1">
        <v>45108</v>
      </c>
      <c r="C1427" t="s">
        <v>322</v>
      </c>
      <c r="D1427">
        <v>1</v>
      </c>
      <c r="E1427">
        <v>6.46</v>
      </c>
      <c r="F1427" t="str">
        <f t="shared" si="44"/>
        <v>julho</v>
      </c>
      <c r="G1427">
        <f t="shared" si="45"/>
        <v>2023</v>
      </c>
    </row>
    <row r="1428" spans="1:7" x14ac:dyDescent="0.25">
      <c r="A1428">
        <v>8070003</v>
      </c>
      <c r="B1428" s="1">
        <v>45108</v>
      </c>
      <c r="C1428" t="s">
        <v>328</v>
      </c>
      <c r="D1428">
        <v>1200</v>
      </c>
      <c r="E1428">
        <v>744</v>
      </c>
      <c r="F1428" t="str">
        <f t="shared" si="44"/>
        <v>julho</v>
      </c>
      <c r="G1428">
        <f t="shared" si="45"/>
        <v>2023</v>
      </c>
    </row>
    <row r="1429" spans="1:7" x14ac:dyDescent="0.25">
      <c r="A1429">
        <v>8070008</v>
      </c>
      <c r="B1429" s="1">
        <v>45108</v>
      </c>
      <c r="C1429" t="s">
        <v>368</v>
      </c>
      <c r="D1429">
        <v>1360</v>
      </c>
      <c r="E1429">
        <v>13532</v>
      </c>
      <c r="F1429" t="str">
        <f t="shared" si="44"/>
        <v>julho</v>
      </c>
      <c r="G1429">
        <f t="shared" si="45"/>
        <v>2023</v>
      </c>
    </row>
    <row r="1430" spans="1:7" x14ac:dyDescent="0.25">
      <c r="A1430">
        <v>8070053</v>
      </c>
      <c r="B1430" s="1">
        <v>45108</v>
      </c>
      <c r="C1430" t="s">
        <v>661</v>
      </c>
      <c r="D1430">
        <v>524.44000000000005</v>
      </c>
      <c r="E1430">
        <v>796.69</v>
      </c>
      <c r="F1430" t="str">
        <f t="shared" si="44"/>
        <v>julho</v>
      </c>
      <c r="G1430">
        <f t="shared" si="45"/>
        <v>2023</v>
      </c>
    </row>
    <row r="1431" spans="1:7" x14ac:dyDescent="0.25">
      <c r="A1431">
        <v>8070060</v>
      </c>
      <c r="B1431" s="1">
        <v>45108</v>
      </c>
      <c r="C1431" t="s">
        <v>701</v>
      </c>
      <c r="D1431">
        <v>4170</v>
      </c>
      <c r="E1431">
        <v>9384</v>
      </c>
      <c r="F1431" t="str">
        <f t="shared" si="44"/>
        <v>julho</v>
      </c>
      <c r="G1431">
        <f t="shared" si="45"/>
        <v>2023</v>
      </c>
    </row>
    <row r="1432" spans="1:7" x14ac:dyDescent="0.25">
      <c r="A1432">
        <v>8120008</v>
      </c>
      <c r="B1432" s="1">
        <v>45108</v>
      </c>
      <c r="C1432" t="s">
        <v>409</v>
      </c>
      <c r="D1432">
        <v>3</v>
      </c>
      <c r="E1432">
        <v>32.1</v>
      </c>
      <c r="F1432" t="str">
        <f t="shared" si="44"/>
        <v>julho</v>
      </c>
      <c r="G1432">
        <f t="shared" si="45"/>
        <v>2023</v>
      </c>
    </row>
    <row r="1433" spans="1:7" x14ac:dyDescent="0.25">
      <c r="A1433">
        <v>8120009</v>
      </c>
      <c r="B1433" s="1">
        <v>45108</v>
      </c>
      <c r="C1433" t="s">
        <v>506</v>
      </c>
      <c r="D1433">
        <v>1387.5</v>
      </c>
      <c r="E1433">
        <v>16238.69</v>
      </c>
      <c r="F1433" t="str">
        <f t="shared" si="44"/>
        <v>julho</v>
      </c>
      <c r="G1433">
        <f t="shared" si="45"/>
        <v>2023</v>
      </c>
    </row>
    <row r="1434" spans="1:7" x14ac:dyDescent="0.25">
      <c r="A1434">
        <v>8120011</v>
      </c>
      <c r="B1434" s="1">
        <v>45108</v>
      </c>
      <c r="C1434" t="s">
        <v>379</v>
      </c>
      <c r="D1434">
        <v>786.41</v>
      </c>
      <c r="E1434">
        <v>10380.61</v>
      </c>
      <c r="F1434" t="str">
        <f t="shared" si="44"/>
        <v>julho</v>
      </c>
      <c r="G1434">
        <f t="shared" si="45"/>
        <v>2023</v>
      </c>
    </row>
    <row r="1435" spans="1:7" x14ac:dyDescent="0.25">
      <c r="A1435">
        <v>8120014</v>
      </c>
      <c r="B1435" s="1">
        <v>45108</v>
      </c>
      <c r="C1435" t="s">
        <v>411</v>
      </c>
      <c r="D1435">
        <v>374.2</v>
      </c>
      <c r="E1435">
        <v>6960.12</v>
      </c>
      <c r="F1435" t="str">
        <f t="shared" si="44"/>
        <v>julho</v>
      </c>
      <c r="G1435">
        <f t="shared" si="45"/>
        <v>2023</v>
      </c>
    </row>
    <row r="1436" spans="1:7" x14ac:dyDescent="0.25">
      <c r="A1436">
        <v>8120015</v>
      </c>
      <c r="B1436" s="1">
        <v>45108</v>
      </c>
      <c r="C1436" t="s">
        <v>412</v>
      </c>
      <c r="D1436">
        <v>1</v>
      </c>
      <c r="E1436">
        <v>4.2300000000000004</v>
      </c>
      <c r="F1436" t="str">
        <f t="shared" si="44"/>
        <v>julho</v>
      </c>
      <c r="G1436">
        <f t="shared" si="45"/>
        <v>2023</v>
      </c>
    </row>
    <row r="1437" spans="1:7" x14ac:dyDescent="0.25">
      <c r="A1437">
        <v>8120016</v>
      </c>
      <c r="B1437" s="1">
        <v>45108</v>
      </c>
      <c r="C1437" t="s">
        <v>510</v>
      </c>
      <c r="D1437">
        <v>1299.54</v>
      </c>
      <c r="E1437">
        <v>8706.92</v>
      </c>
      <c r="F1437" t="str">
        <f t="shared" si="44"/>
        <v>julho</v>
      </c>
      <c r="G1437">
        <f t="shared" si="45"/>
        <v>2023</v>
      </c>
    </row>
    <row r="1438" spans="1:7" x14ac:dyDescent="0.25">
      <c r="A1438">
        <v>8120035</v>
      </c>
      <c r="B1438" s="1">
        <v>45108</v>
      </c>
      <c r="C1438" t="s">
        <v>702</v>
      </c>
      <c r="D1438">
        <v>1980</v>
      </c>
      <c r="E1438">
        <v>9741.6</v>
      </c>
      <c r="F1438" t="str">
        <f t="shared" si="44"/>
        <v>julho</v>
      </c>
      <c r="G1438">
        <f t="shared" si="45"/>
        <v>2023</v>
      </c>
    </row>
    <row r="1439" spans="1:7" x14ac:dyDescent="0.25">
      <c r="A1439">
        <v>8130001</v>
      </c>
      <c r="B1439" s="1">
        <v>45108</v>
      </c>
      <c r="C1439" t="s">
        <v>380</v>
      </c>
      <c r="D1439">
        <v>3</v>
      </c>
      <c r="E1439">
        <v>7.05</v>
      </c>
      <c r="F1439" t="str">
        <f t="shared" si="44"/>
        <v>julho</v>
      </c>
      <c r="G1439">
        <f t="shared" si="45"/>
        <v>2023</v>
      </c>
    </row>
    <row r="1440" spans="1:7" x14ac:dyDescent="0.25">
      <c r="A1440">
        <v>8130010</v>
      </c>
      <c r="B1440" s="1">
        <v>45108</v>
      </c>
      <c r="C1440" t="s">
        <v>619</v>
      </c>
      <c r="D1440">
        <v>900</v>
      </c>
      <c r="E1440">
        <v>1305</v>
      </c>
      <c r="F1440" t="str">
        <f t="shared" si="44"/>
        <v>julho</v>
      </c>
      <c r="G1440">
        <f t="shared" si="45"/>
        <v>2023</v>
      </c>
    </row>
    <row r="1441" spans="1:7" x14ac:dyDescent="0.25">
      <c r="A1441">
        <v>8140001</v>
      </c>
      <c r="B1441" s="1">
        <v>45108</v>
      </c>
      <c r="C1441" t="s">
        <v>381</v>
      </c>
      <c r="D1441">
        <v>572</v>
      </c>
      <c r="E1441">
        <v>2459.6</v>
      </c>
      <c r="F1441" t="str">
        <f t="shared" si="44"/>
        <v>julho</v>
      </c>
      <c r="G1441">
        <f t="shared" si="45"/>
        <v>2023</v>
      </c>
    </row>
    <row r="1442" spans="1:7" x14ac:dyDescent="0.25">
      <c r="A1442">
        <v>8140006</v>
      </c>
      <c r="B1442" s="1">
        <v>45108</v>
      </c>
      <c r="C1442" t="s">
        <v>423</v>
      </c>
      <c r="D1442">
        <v>3</v>
      </c>
      <c r="E1442">
        <v>6.96</v>
      </c>
      <c r="F1442" t="str">
        <f t="shared" si="44"/>
        <v>julho</v>
      </c>
      <c r="G1442">
        <f t="shared" si="45"/>
        <v>2023</v>
      </c>
    </row>
    <row r="1443" spans="1:7" x14ac:dyDescent="0.25">
      <c r="A1443">
        <v>8140014</v>
      </c>
      <c r="B1443" s="1">
        <v>45108</v>
      </c>
      <c r="C1443" t="s">
        <v>675</v>
      </c>
      <c r="D1443">
        <v>75</v>
      </c>
      <c r="E1443">
        <v>297</v>
      </c>
      <c r="F1443" t="str">
        <f t="shared" si="44"/>
        <v>julho</v>
      </c>
      <c r="G1443">
        <f t="shared" si="45"/>
        <v>2023</v>
      </c>
    </row>
    <row r="1444" spans="1:7" x14ac:dyDescent="0.25">
      <c r="A1444">
        <v>8140015</v>
      </c>
      <c r="B1444" s="1">
        <v>45108</v>
      </c>
      <c r="C1444" t="s">
        <v>676</v>
      </c>
      <c r="D1444">
        <v>502</v>
      </c>
      <c r="E1444">
        <v>1962.2</v>
      </c>
      <c r="F1444" t="str">
        <f t="shared" si="44"/>
        <v>julho</v>
      </c>
      <c r="G1444">
        <f t="shared" si="45"/>
        <v>2023</v>
      </c>
    </row>
    <row r="1445" spans="1:7" x14ac:dyDescent="0.25">
      <c r="A1445">
        <v>8140016</v>
      </c>
      <c r="B1445" s="1">
        <v>45108</v>
      </c>
      <c r="C1445" t="s">
        <v>677</v>
      </c>
      <c r="D1445">
        <v>1</v>
      </c>
      <c r="E1445">
        <v>4.3099999999999996</v>
      </c>
      <c r="F1445" t="str">
        <f t="shared" si="44"/>
        <v>julho</v>
      </c>
      <c r="G1445">
        <f t="shared" si="45"/>
        <v>2023</v>
      </c>
    </row>
    <row r="1446" spans="1:7" x14ac:dyDescent="0.25">
      <c r="A1446">
        <v>8140020</v>
      </c>
      <c r="B1446" s="1">
        <v>45108</v>
      </c>
      <c r="C1446" t="s">
        <v>703</v>
      </c>
      <c r="D1446">
        <v>1</v>
      </c>
      <c r="E1446">
        <v>17.52</v>
      </c>
      <c r="F1446" t="str">
        <f t="shared" si="44"/>
        <v>julho</v>
      </c>
      <c r="G1446">
        <f t="shared" si="45"/>
        <v>2023</v>
      </c>
    </row>
    <row r="1447" spans="1:7" x14ac:dyDescent="0.25">
      <c r="A1447">
        <v>8140021</v>
      </c>
      <c r="B1447" s="1">
        <v>45108</v>
      </c>
      <c r="C1447" t="s">
        <v>704</v>
      </c>
      <c r="D1447">
        <v>1</v>
      </c>
      <c r="E1447">
        <v>25.14</v>
      </c>
      <c r="F1447" t="str">
        <f t="shared" si="44"/>
        <v>julho</v>
      </c>
      <c r="G1447">
        <f t="shared" si="45"/>
        <v>2023</v>
      </c>
    </row>
    <row r="1448" spans="1:7" x14ac:dyDescent="0.25">
      <c r="A1448">
        <v>8150004</v>
      </c>
      <c r="B1448" s="1">
        <v>45108</v>
      </c>
      <c r="C1448" t="s">
        <v>625</v>
      </c>
      <c r="D1448">
        <v>42.5</v>
      </c>
      <c r="E1448">
        <v>348.5</v>
      </c>
      <c r="F1448" t="str">
        <f t="shared" si="44"/>
        <v>julho</v>
      </c>
      <c r="G1448">
        <f t="shared" si="45"/>
        <v>2023</v>
      </c>
    </row>
    <row r="1449" spans="1:7" x14ac:dyDescent="0.25">
      <c r="A1449">
        <v>8150009</v>
      </c>
      <c r="B1449" s="1">
        <v>45108</v>
      </c>
      <c r="C1449" t="s">
        <v>678</v>
      </c>
      <c r="D1449">
        <v>463</v>
      </c>
      <c r="E1449">
        <v>8733.4</v>
      </c>
      <c r="F1449" t="str">
        <f t="shared" si="44"/>
        <v>julho</v>
      </c>
      <c r="G1449">
        <f t="shared" si="45"/>
        <v>2023</v>
      </c>
    </row>
    <row r="1450" spans="1:7" x14ac:dyDescent="0.25">
      <c r="A1450">
        <v>8150010</v>
      </c>
      <c r="B1450" s="1">
        <v>45108</v>
      </c>
      <c r="C1450" t="s">
        <v>705</v>
      </c>
      <c r="D1450">
        <v>600</v>
      </c>
      <c r="E1450">
        <v>9780</v>
      </c>
      <c r="F1450" t="str">
        <f t="shared" si="44"/>
        <v>julho</v>
      </c>
      <c r="G1450">
        <f t="shared" si="45"/>
        <v>2023</v>
      </c>
    </row>
    <row r="1451" spans="1:7" x14ac:dyDescent="0.25">
      <c r="A1451">
        <v>8150015</v>
      </c>
      <c r="B1451" s="1">
        <v>45108</v>
      </c>
      <c r="C1451" t="s">
        <v>628</v>
      </c>
      <c r="D1451">
        <v>1920</v>
      </c>
      <c r="E1451">
        <v>7200</v>
      </c>
      <c r="F1451" t="str">
        <f t="shared" si="44"/>
        <v>julho</v>
      </c>
      <c r="G1451">
        <f t="shared" si="45"/>
        <v>2023</v>
      </c>
    </row>
    <row r="1452" spans="1:7" x14ac:dyDescent="0.25">
      <c r="A1452">
        <v>8150020</v>
      </c>
      <c r="B1452" s="1">
        <v>45108</v>
      </c>
      <c r="C1452" t="s">
        <v>706</v>
      </c>
      <c r="D1452">
        <v>2</v>
      </c>
      <c r="E1452">
        <v>17.899999999999999</v>
      </c>
      <c r="F1452" t="str">
        <f t="shared" si="44"/>
        <v>julho</v>
      </c>
      <c r="G1452">
        <f t="shared" si="45"/>
        <v>2023</v>
      </c>
    </row>
    <row r="1453" spans="1:7" x14ac:dyDescent="0.25">
      <c r="A1453">
        <v>8160002</v>
      </c>
      <c r="B1453" s="1">
        <v>45108</v>
      </c>
      <c r="C1453" t="s">
        <v>707</v>
      </c>
      <c r="D1453">
        <v>4492.4399999999996</v>
      </c>
      <c r="E1453">
        <v>31447.08</v>
      </c>
      <c r="F1453" t="str">
        <f t="shared" si="44"/>
        <v>julho</v>
      </c>
      <c r="G1453">
        <f t="shared" si="45"/>
        <v>2023</v>
      </c>
    </row>
    <row r="1454" spans="1:7" x14ac:dyDescent="0.25">
      <c r="A1454">
        <v>8160003</v>
      </c>
      <c r="B1454" s="1">
        <v>45108</v>
      </c>
      <c r="C1454" t="s">
        <v>708</v>
      </c>
      <c r="D1454">
        <v>621.16</v>
      </c>
      <c r="E1454">
        <v>4348.12</v>
      </c>
      <c r="F1454" t="str">
        <f t="shared" si="44"/>
        <v>julho</v>
      </c>
      <c r="G1454">
        <f t="shared" si="45"/>
        <v>2023</v>
      </c>
    </row>
    <row r="1455" spans="1:7" x14ac:dyDescent="0.25">
      <c r="A1455">
        <v>1010100</v>
      </c>
      <c r="B1455" s="1">
        <v>45139</v>
      </c>
      <c r="C1455" t="s">
        <v>709</v>
      </c>
      <c r="D1455">
        <v>4.5999999999999996</v>
      </c>
      <c r="E1455">
        <v>17.25</v>
      </c>
      <c r="F1455" t="str">
        <f t="shared" si="44"/>
        <v>agosto</v>
      </c>
      <c r="G1455">
        <f t="shared" si="45"/>
        <v>2023</v>
      </c>
    </row>
    <row r="1456" spans="1:7" x14ac:dyDescent="0.25">
      <c r="A1456">
        <v>1010200</v>
      </c>
      <c r="B1456" s="1">
        <v>45139</v>
      </c>
      <c r="C1456" t="s">
        <v>331</v>
      </c>
      <c r="D1456">
        <v>829.8</v>
      </c>
      <c r="E1456">
        <v>248.94</v>
      </c>
      <c r="F1456" t="str">
        <f t="shared" si="44"/>
        <v>agosto</v>
      </c>
      <c r="G1456">
        <f t="shared" si="45"/>
        <v>2023</v>
      </c>
    </row>
    <row r="1457" spans="1:7" x14ac:dyDescent="0.25">
      <c r="A1457">
        <v>1010300</v>
      </c>
      <c r="B1457" s="1">
        <v>45139</v>
      </c>
      <c r="C1457" t="s">
        <v>333</v>
      </c>
      <c r="D1457">
        <v>346.9</v>
      </c>
      <c r="E1457">
        <v>104.07</v>
      </c>
      <c r="F1457" t="str">
        <f t="shared" si="44"/>
        <v>agosto</v>
      </c>
      <c r="G1457">
        <f t="shared" si="45"/>
        <v>2023</v>
      </c>
    </row>
    <row r="1458" spans="1:7" x14ac:dyDescent="0.25">
      <c r="A1458">
        <v>1010500</v>
      </c>
      <c r="B1458" s="1">
        <v>45139</v>
      </c>
      <c r="C1458" t="s">
        <v>6</v>
      </c>
      <c r="D1458">
        <v>1113.18</v>
      </c>
      <c r="E1458">
        <v>730.57</v>
      </c>
      <c r="F1458" t="str">
        <f t="shared" si="44"/>
        <v>agosto</v>
      </c>
      <c r="G1458">
        <f t="shared" si="45"/>
        <v>2023</v>
      </c>
    </row>
    <row r="1459" spans="1:7" x14ac:dyDescent="0.25">
      <c r="A1459">
        <v>1010600</v>
      </c>
      <c r="B1459" s="1">
        <v>45139</v>
      </c>
      <c r="C1459" t="s">
        <v>334</v>
      </c>
      <c r="D1459">
        <v>13478.5</v>
      </c>
      <c r="E1459">
        <v>8818.66</v>
      </c>
      <c r="F1459" t="str">
        <f t="shared" si="44"/>
        <v>agosto</v>
      </c>
      <c r="G1459">
        <f t="shared" si="45"/>
        <v>2023</v>
      </c>
    </row>
    <row r="1460" spans="1:7" x14ac:dyDescent="0.25">
      <c r="A1460">
        <v>1010700</v>
      </c>
      <c r="B1460" s="1">
        <v>45139</v>
      </c>
      <c r="C1460" t="s">
        <v>335</v>
      </c>
      <c r="D1460">
        <v>380.38</v>
      </c>
      <c r="E1460">
        <v>787.77</v>
      </c>
      <c r="F1460" t="str">
        <f t="shared" si="44"/>
        <v>agosto</v>
      </c>
      <c r="G1460">
        <f t="shared" si="45"/>
        <v>2023</v>
      </c>
    </row>
    <row r="1461" spans="1:7" x14ac:dyDescent="0.25">
      <c r="A1461">
        <v>1010701</v>
      </c>
      <c r="B1461" s="1">
        <v>45139</v>
      </c>
      <c r="C1461" t="s">
        <v>12</v>
      </c>
      <c r="D1461">
        <v>77.099999999999994</v>
      </c>
      <c r="E1461">
        <v>598.38</v>
      </c>
      <c r="F1461" t="str">
        <f t="shared" si="44"/>
        <v>agosto</v>
      </c>
      <c r="G1461">
        <f t="shared" si="45"/>
        <v>2023</v>
      </c>
    </row>
    <row r="1462" spans="1:7" x14ac:dyDescent="0.25">
      <c r="A1462">
        <v>1010900</v>
      </c>
      <c r="B1462" s="1">
        <v>45139</v>
      </c>
      <c r="C1462" t="s">
        <v>710</v>
      </c>
      <c r="D1462">
        <v>5.9</v>
      </c>
      <c r="E1462">
        <v>8.5399999999999991</v>
      </c>
      <c r="F1462" t="str">
        <f t="shared" si="44"/>
        <v>agosto</v>
      </c>
      <c r="G1462">
        <f t="shared" si="45"/>
        <v>2023</v>
      </c>
    </row>
    <row r="1463" spans="1:7" x14ac:dyDescent="0.25">
      <c r="A1463">
        <v>1010902</v>
      </c>
      <c r="B1463" s="1">
        <v>45139</v>
      </c>
      <c r="C1463" t="s">
        <v>711</v>
      </c>
      <c r="D1463">
        <v>382.42</v>
      </c>
      <c r="E1463">
        <v>503.51</v>
      </c>
      <c r="F1463" t="str">
        <f t="shared" si="44"/>
        <v>agosto</v>
      </c>
      <c r="G1463">
        <f t="shared" si="45"/>
        <v>2023</v>
      </c>
    </row>
    <row r="1464" spans="1:7" x14ac:dyDescent="0.25">
      <c r="A1464">
        <v>1010903</v>
      </c>
      <c r="B1464" s="1">
        <v>45139</v>
      </c>
      <c r="C1464" t="s">
        <v>629</v>
      </c>
      <c r="D1464">
        <v>39.4</v>
      </c>
      <c r="E1464">
        <v>38.770000000000003</v>
      </c>
      <c r="F1464" t="str">
        <f t="shared" si="44"/>
        <v>agosto</v>
      </c>
      <c r="G1464">
        <f t="shared" si="45"/>
        <v>2023</v>
      </c>
    </row>
    <row r="1465" spans="1:7" x14ac:dyDescent="0.25">
      <c r="A1465">
        <v>1011000</v>
      </c>
      <c r="B1465" s="1">
        <v>45139</v>
      </c>
      <c r="C1465" t="s">
        <v>20</v>
      </c>
      <c r="D1465">
        <v>1176.8800000000001</v>
      </c>
      <c r="E1465">
        <v>856.91</v>
      </c>
      <c r="F1465" t="str">
        <f t="shared" si="44"/>
        <v>agosto</v>
      </c>
      <c r="G1465">
        <f t="shared" si="45"/>
        <v>2023</v>
      </c>
    </row>
    <row r="1466" spans="1:7" x14ac:dyDescent="0.25">
      <c r="A1466">
        <v>1011100</v>
      </c>
      <c r="B1466" s="1">
        <v>45139</v>
      </c>
      <c r="C1466" t="s">
        <v>293</v>
      </c>
      <c r="D1466">
        <v>36</v>
      </c>
      <c r="E1466">
        <v>18.149999999999999</v>
      </c>
      <c r="F1466" t="str">
        <f t="shared" si="44"/>
        <v>agosto</v>
      </c>
      <c r="G1466">
        <f t="shared" si="45"/>
        <v>2023</v>
      </c>
    </row>
    <row r="1467" spans="1:7" x14ac:dyDescent="0.25">
      <c r="A1467">
        <v>1011200</v>
      </c>
      <c r="B1467" s="1">
        <v>45139</v>
      </c>
      <c r="C1467" t="s">
        <v>712</v>
      </c>
      <c r="D1467">
        <v>47.8</v>
      </c>
      <c r="E1467">
        <v>64.849999999999994</v>
      </c>
      <c r="F1467" t="str">
        <f t="shared" si="44"/>
        <v>agosto</v>
      </c>
      <c r="G1467">
        <f t="shared" si="45"/>
        <v>2023</v>
      </c>
    </row>
    <row r="1468" spans="1:7" x14ac:dyDescent="0.25">
      <c r="A1468">
        <v>1011201</v>
      </c>
      <c r="B1468" s="1">
        <v>45139</v>
      </c>
      <c r="C1468" t="s">
        <v>338</v>
      </c>
      <c r="D1468">
        <v>113.6</v>
      </c>
      <c r="E1468">
        <v>306.72000000000003</v>
      </c>
      <c r="F1468" t="str">
        <f t="shared" si="44"/>
        <v>agosto</v>
      </c>
      <c r="G1468">
        <f t="shared" si="45"/>
        <v>2023</v>
      </c>
    </row>
    <row r="1469" spans="1:7" x14ac:dyDescent="0.25">
      <c r="A1469">
        <v>1011202</v>
      </c>
      <c r="B1469" s="1">
        <v>45139</v>
      </c>
      <c r="C1469" t="s">
        <v>340</v>
      </c>
      <c r="D1469">
        <v>426.8</v>
      </c>
      <c r="E1469">
        <v>85.36</v>
      </c>
      <c r="F1469" t="str">
        <f t="shared" si="44"/>
        <v>agosto</v>
      </c>
      <c r="G1469">
        <f t="shared" si="45"/>
        <v>2023</v>
      </c>
    </row>
    <row r="1470" spans="1:7" x14ac:dyDescent="0.25">
      <c r="A1470">
        <v>1011203</v>
      </c>
      <c r="B1470" s="1">
        <v>45139</v>
      </c>
      <c r="C1470" t="s">
        <v>342</v>
      </c>
      <c r="D1470">
        <v>137.30000000000001</v>
      </c>
      <c r="E1470">
        <v>82.38</v>
      </c>
      <c r="F1470" t="str">
        <f t="shared" si="44"/>
        <v>agosto</v>
      </c>
      <c r="G1470">
        <f t="shared" si="45"/>
        <v>2023</v>
      </c>
    </row>
    <row r="1471" spans="1:7" x14ac:dyDescent="0.25">
      <c r="A1471">
        <v>1011204</v>
      </c>
      <c r="B1471" s="1">
        <v>45139</v>
      </c>
      <c r="C1471" t="s">
        <v>344</v>
      </c>
      <c r="D1471">
        <v>105.1</v>
      </c>
      <c r="E1471">
        <v>178.67</v>
      </c>
      <c r="F1471" t="str">
        <f t="shared" si="44"/>
        <v>agosto</v>
      </c>
      <c r="G1471">
        <f t="shared" si="45"/>
        <v>2023</v>
      </c>
    </row>
    <row r="1472" spans="1:7" x14ac:dyDescent="0.25">
      <c r="A1472">
        <v>1011211</v>
      </c>
      <c r="B1472" s="1">
        <v>45139</v>
      </c>
      <c r="C1472" t="s">
        <v>685</v>
      </c>
      <c r="D1472">
        <v>254.6</v>
      </c>
      <c r="E1472">
        <v>89.13</v>
      </c>
      <c r="F1472" t="str">
        <f t="shared" si="44"/>
        <v>agosto</v>
      </c>
      <c r="G1472">
        <f t="shared" si="45"/>
        <v>2023</v>
      </c>
    </row>
    <row r="1473" spans="1:7" x14ac:dyDescent="0.25">
      <c r="A1473">
        <v>1011300</v>
      </c>
      <c r="B1473" s="1">
        <v>45139</v>
      </c>
      <c r="C1473" t="s">
        <v>295</v>
      </c>
      <c r="D1473">
        <v>7890.6</v>
      </c>
      <c r="E1473">
        <v>3990.97</v>
      </c>
      <c r="F1473" t="str">
        <f t="shared" si="44"/>
        <v>agosto</v>
      </c>
      <c r="G1473">
        <f t="shared" si="45"/>
        <v>2023</v>
      </c>
    </row>
    <row r="1474" spans="1:7" x14ac:dyDescent="0.25">
      <c r="A1474">
        <v>1011400</v>
      </c>
      <c r="B1474" s="1">
        <v>45139</v>
      </c>
      <c r="C1474" t="s">
        <v>25</v>
      </c>
      <c r="D1474">
        <v>5.4</v>
      </c>
      <c r="E1474">
        <v>13.5</v>
      </c>
      <c r="F1474" t="str">
        <f t="shared" si="44"/>
        <v>agosto</v>
      </c>
      <c r="G1474">
        <f t="shared" si="45"/>
        <v>2023</v>
      </c>
    </row>
    <row r="1475" spans="1:7" x14ac:dyDescent="0.25">
      <c r="A1475">
        <v>1011500</v>
      </c>
      <c r="B1475" s="1">
        <v>45139</v>
      </c>
      <c r="C1475" t="s">
        <v>27</v>
      </c>
      <c r="D1475">
        <v>1705.5</v>
      </c>
      <c r="E1475">
        <v>1343.14</v>
      </c>
      <c r="F1475" t="str">
        <f t="shared" ref="F1475:F1538" si="46">TEXT(B1475,"mmmm")</f>
        <v>agosto</v>
      </c>
      <c r="G1475">
        <f t="shared" ref="G1475:G1538" si="47">YEAR(B1475)</f>
        <v>2023</v>
      </c>
    </row>
    <row r="1476" spans="1:7" x14ac:dyDescent="0.25">
      <c r="A1476">
        <v>1011501</v>
      </c>
      <c r="B1476" s="1">
        <v>45139</v>
      </c>
      <c r="C1476" t="s">
        <v>297</v>
      </c>
      <c r="D1476">
        <v>1808</v>
      </c>
      <c r="E1476">
        <v>723.2</v>
      </c>
      <c r="F1476" t="str">
        <f t="shared" si="46"/>
        <v>agosto</v>
      </c>
      <c r="G1476">
        <f t="shared" si="47"/>
        <v>2023</v>
      </c>
    </row>
    <row r="1477" spans="1:7" x14ac:dyDescent="0.25">
      <c r="A1477">
        <v>1011604</v>
      </c>
      <c r="B1477" s="1">
        <v>45139</v>
      </c>
      <c r="C1477" t="s">
        <v>29</v>
      </c>
      <c r="D1477">
        <v>21854</v>
      </c>
      <c r="E1477">
        <v>1748.32</v>
      </c>
      <c r="F1477" t="str">
        <f t="shared" si="46"/>
        <v>agosto</v>
      </c>
      <c r="G1477">
        <f t="shared" si="47"/>
        <v>2023</v>
      </c>
    </row>
    <row r="1478" spans="1:7" x14ac:dyDescent="0.25">
      <c r="A1478">
        <v>1011700</v>
      </c>
      <c r="B1478" s="1">
        <v>45139</v>
      </c>
      <c r="C1478" t="s">
        <v>31</v>
      </c>
      <c r="D1478">
        <v>153.22</v>
      </c>
      <c r="E1478">
        <v>248.95</v>
      </c>
      <c r="F1478" t="str">
        <f t="shared" si="46"/>
        <v>agosto</v>
      </c>
      <c r="G1478">
        <f t="shared" si="47"/>
        <v>2023</v>
      </c>
    </row>
    <row r="1479" spans="1:7" x14ac:dyDescent="0.25">
      <c r="A1479">
        <v>1011800</v>
      </c>
      <c r="B1479" s="1">
        <v>45139</v>
      </c>
      <c r="C1479" t="s">
        <v>713</v>
      </c>
      <c r="D1479">
        <v>1336.61</v>
      </c>
      <c r="E1479">
        <v>2451.8200000000002</v>
      </c>
      <c r="F1479" t="str">
        <f t="shared" si="46"/>
        <v>agosto</v>
      </c>
      <c r="G1479">
        <f t="shared" si="47"/>
        <v>2023</v>
      </c>
    </row>
    <row r="1480" spans="1:7" x14ac:dyDescent="0.25">
      <c r="A1480">
        <v>1011801</v>
      </c>
      <c r="B1480" s="1">
        <v>45139</v>
      </c>
      <c r="C1480" t="s">
        <v>714</v>
      </c>
      <c r="D1480">
        <v>109.26</v>
      </c>
      <c r="E1480">
        <v>163.89</v>
      </c>
      <c r="F1480" t="str">
        <f t="shared" si="46"/>
        <v>agosto</v>
      </c>
      <c r="G1480">
        <f t="shared" si="47"/>
        <v>2023</v>
      </c>
    </row>
    <row r="1481" spans="1:7" x14ac:dyDescent="0.25">
      <c r="A1481">
        <v>1011901</v>
      </c>
      <c r="B1481" s="1">
        <v>45139</v>
      </c>
      <c r="C1481" t="s">
        <v>715</v>
      </c>
      <c r="D1481">
        <v>37.4</v>
      </c>
      <c r="E1481">
        <v>37.4</v>
      </c>
      <c r="F1481" t="str">
        <f t="shared" si="46"/>
        <v>agosto</v>
      </c>
      <c r="G1481">
        <f t="shared" si="47"/>
        <v>2023</v>
      </c>
    </row>
    <row r="1482" spans="1:7" x14ac:dyDescent="0.25">
      <c r="A1482">
        <v>1012100</v>
      </c>
      <c r="B1482" s="1">
        <v>45139</v>
      </c>
      <c r="C1482" t="s">
        <v>302</v>
      </c>
      <c r="D1482">
        <v>428.7</v>
      </c>
      <c r="E1482">
        <v>1200.3599999999999</v>
      </c>
      <c r="F1482" t="str">
        <f t="shared" si="46"/>
        <v>agosto</v>
      </c>
      <c r="G1482">
        <f t="shared" si="47"/>
        <v>2023</v>
      </c>
    </row>
    <row r="1483" spans="1:7" x14ac:dyDescent="0.25">
      <c r="A1483">
        <v>1012200</v>
      </c>
      <c r="B1483" s="1">
        <v>45139</v>
      </c>
      <c r="C1483" t="s">
        <v>39</v>
      </c>
      <c r="D1483">
        <v>652.4</v>
      </c>
      <c r="E1483">
        <v>1060.69</v>
      </c>
      <c r="F1483" t="str">
        <f t="shared" si="46"/>
        <v>agosto</v>
      </c>
      <c r="G1483">
        <f t="shared" si="47"/>
        <v>2023</v>
      </c>
    </row>
    <row r="1484" spans="1:7" x14ac:dyDescent="0.25">
      <c r="A1484">
        <v>1012201</v>
      </c>
      <c r="B1484" s="1">
        <v>45139</v>
      </c>
      <c r="C1484" t="s">
        <v>716</v>
      </c>
      <c r="D1484">
        <v>700.9</v>
      </c>
      <c r="E1484">
        <v>1280.23</v>
      </c>
      <c r="F1484" t="str">
        <f t="shared" si="46"/>
        <v>agosto</v>
      </c>
      <c r="G1484">
        <f t="shared" si="47"/>
        <v>2023</v>
      </c>
    </row>
    <row r="1485" spans="1:7" x14ac:dyDescent="0.25">
      <c r="A1485">
        <v>1012203</v>
      </c>
      <c r="B1485" s="1">
        <v>45139</v>
      </c>
      <c r="C1485" t="s">
        <v>43</v>
      </c>
      <c r="D1485">
        <v>1816.1</v>
      </c>
      <c r="E1485">
        <v>3083.06</v>
      </c>
      <c r="F1485" t="str">
        <f t="shared" si="46"/>
        <v>agosto</v>
      </c>
      <c r="G1485">
        <f t="shared" si="47"/>
        <v>2023</v>
      </c>
    </row>
    <row r="1486" spans="1:7" x14ac:dyDescent="0.25">
      <c r="A1486">
        <v>1012300</v>
      </c>
      <c r="B1486" s="1">
        <v>45139</v>
      </c>
      <c r="C1486" t="s">
        <v>45</v>
      </c>
      <c r="D1486">
        <v>223.9</v>
      </c>
      <c r="E1486">
        <v>333.32</v>
      </c>
      <c r="F1486" t="str">
        <f t="shared" si="46"/>
        <v>agosto</v>
      </c>
      <c r="G1486">
        <f t="shared" si="47"/>
        <v>2023</v>
      </c>
    </row>
    <row r="1487" spans="1:7" x14ac:dyDescent="0.25">
      <c r="A1487">
        <v>1012301</v>
      </c>
      <c r="B1487" s="1">
        <v>45139</v>
      </c>
      <c r="C1487" t="s">
        <v>47</v>
      </c>
      <c r="D1487">
        <v>50</v>
      </c>
      <c r="E1487">
        <v>62.5</v>
      </c>
      <c r="F1487" t="str">
        <f t="shared" si="46"/>
        <v>agosto</v>
      </c>
      <c r="G1487">
        <f t="shared" si="47"/>
        <v>2023</v>
      </c>
    </row>
    <row r="1488" spans="1:7" x14ac:dyDescent="0.25">
      <c r="A1488">
        <v>1012400</v>
      </c>
      <c r="B1488" s="1">
        <v>45139</v>
      </c>
      <c r="C1488" t="s">
        <v>49</v>
      </c>
      <c r="D1488">
        <v>865.6</v>
      </c>
      <c r="E1488">
        <v>1397.99</v>
      </c>
      <c r="F1488" t="str">
        <f t="shared" si="46"/>
        <v>agosto</v>
      </c>
      <c r="G1488">
        <f t="shared" si="47"/>
        <v>2023</v>
      </c>
    </row>
    <row r="1489" spans="1:7" x14ac:dyDescent="0.25">
      <c r="A1489">
        <v>1012401</v>
      </c>
      <c r="B1489" s="1">
        <v>45139</v>
      </c>
      <c r="C1489" t="s">
        <v>51</v>
      </c>
      <c r="D1489">
        <v>138.61000000000001</v>
      </c>
      <c r="E1489">
        <v>188.04</v>
      </c>
      <c r="F1489" t="str">
        <f t="shared" si="46"/>
        <v>agosto</v>
      </c>
      <c r="G1489">
        <f t="shared" si="47"/>
        <v>2023</v>
      </c>
    </row>
    <row r="1490" spans="1:7" x14ac:dyDescent="0.25">
      <c r="A1490">
        <v>1012500</v>
      </c>
      <c r="B1490" s="1">
        <v>45139</v>
      </c>
      <c r="C1490" t="s">
        <v>53</v>
      </c>
      <c r="D1490">
        <v>1118.3</v>
      </c>
      <c r="E1490">
        <v>447.77</v>
      </c>
      <c r="F1490" t="str">
        <f t="shared" si="46"/>
        <v>agosto</v>
      </c>
      <c r="G1490">
        <f t="shared" si="47"/>
        <v>2023</v>
      </c>
    </row>
    <row r="1491" spans="1:7" x14ac:dyDescent="0.25">
      <c r="A1491">
        <v>1012601</v>
      </c>
      <c r="B1491" s="1">
        <v>45139</v>
      </c>
      <c r="C1491" t="s">
        <v>55</v>
      </c>
      <c r="D1491">
        <v>113</v>
      </c>
      <c r="E1491">
        <v>113</v>
      </c>
      <c r="F1491" t="str">
        <f t="shared" si="46"/>
        <v>agosto</v>
      </c>
      <c r="G1491">
        <f t="shared" si="47"/>
        <v>2023</v>
      </c>
    </row>
    <row r="1492" spans="1:7" x14ac:dyDescent="0.25">
      <c r="A1492">
        <v>1012700</v>
      </c>
      <c r="B1492" s="1">
        <v>45139</v>
      </c>
      <c r="C1492" t="s">
        <v>630</v>
      </c>
      <c r="D1492">
        <v>43.5</v>
      </c>
      <c r="E1492">
        <v>56.55</v>
      </c>
      <c r="F1492" t="str">
        <f t="shared" si="46"/>
        <v>agosto</v>
      </c>
      <c r="G1492">
        <f t="shared" si="47"/>
        <v>2023</v>
      </c>
    </row>
    <row r="1493" spans="1:7" x14ac:dyDescent="0.25">
      <c r="A1493">
        <v>1012800</v>
      </c>
      <c r="B1493" s="1">
        <v>45139</v>
      </c>
      <c r="C1493" t="s">
        <v>439</v>
      </c>
      <c r="D1493">
        <v>44.6</v>
      </c>
      <c r="E1493">
        <v>66.900000000000006</v>
      </c>
      <c r="F1493" t="str">
        <f t="shared" si="46"/>
        <v>agosto</v>
      </c>
      <c r="G1493">
        <f t="shared" si="47"/>
        <v>2023</v>
      </c>
    </row>
    <row r="1494" spans="1:7" x14ac:dyDescent="0.25">
      <c r="A1494">
        <v>1013100</v>
      </c>
      <c r="B1494" s="1">
        <v>45139</v>
      </c>
      <c r="C1494" t="s">
        <v>57</v>
      </c>
      <c r="D1494">
        <v>48.64</v>
      </c>
      <c r="E1494">
        <v>65.06</v>
      </c>
      <c r="F1494" t="str">
        <f t="shared" si="46"/>
        <v>agosto</v>
      </c>
      <c r="G1494">
        <f t="shared" si="47"/>
        <v>2023</v>
      </c>
    </row>
    <row r="1495" spans="1:7" x14ac:dyDescent="0.25">
      <c r="A1495">
        <v>1013101</v>
      </c>
      <c r="B1495" s="1">
        <v>45139</v>
      </c>
      <c r="C1495" t="s">
        <v>717</v>
      </c>
      <c r="D1495">
        <v>4374</v>
      </c>
      <c r="E1495">
        <v>8748</v>
      </c>
      <c r="F1495" t="str">
        <f t="shared" si="46"/>
        <v>agosto</v>
      </c>
      <c r="G1495">
        <f t="shared" si="47"/>
        <v>2023</v>
      </c>
    </row>
    <row r="1496" spans="1:7" x14ac:dyDescent="0.25">
      <c r="A1496">
        <v>1013200</v>
      </c>
      <c r="B1496" s="1">
        <v>45139</v>
      </c>
      <c r="C1496" t="s">
        <v>59</v>
      </c>
      <c r="D1496">
        <v>518.5</v>
      </c>
      <c r="E1496">
        <v>557.54999999999995</v>
      </c>
      <c r="F1496" t="str">
        <f t="shared" si="46"/>
        <v>agosto</v>
      </c>
      <c r="G1496">
        <f t="shared" si="47"/>
        <v>2023</v>
      </c>
    </row>
    <row r="1497" spans="1:7" x14ac:dyDescent="0.25">
      <c r="A1497">
        <v>1013201</v>
      </c>
      <c r="B1497" s="1">
        <v>45139</v>
      </c>
      <c r="C1497" t="s">
        <v>347</v>
      </c>
      <c r="D1497">
        <v>624</v>
      </c>
      <c r="E1497">
        <v>774</v>
      </c>
      <c r="F1497" t="str">
        <f t="shared" si="46"/>
        <v>agosto</v>
      </c>
      <c r="G1497">
        <f t="shared" si="47"/>
        <v>2023</v>
      </c>
    </row>
    <row r="1498" spans="1:7" x14ac:dyDescent="0.25">
      <c r="A1498">
        <v>1013300</v>
      </c>
      <c r="B1498" s="1">
        <v>45139</v>
      </c>
      <c r="C1498" t="s">
        <v>348</v>
      </c>
      <c r="D1498">
        <v>611.20000000000005</v>
      </c>
      <c r="E1498">
        <v>183.36</v>
      </c>
      <c r="F1498" t="str">
        <f t="shared" si="46"/>
        <v>agosto</v>
      </c>
      <c r="G1498">
        <f t="shared" si="47"/>
        <v>2023</v>
      </c>
    </row>
    <row r="1499" spans="1:7" x14ac:dyDescent="0.25">
      <c r="A1499">
        <v>1013500</v>
      </c>
      <c r="B1499" s="1">
        <v>45139</v>
      </c>
      <c r="C1499" t="s">
        <v>61</v>
      </c>
      <c r="D1499">
        <v>59.5</v>
      </c>
      <c r="E1499">
        <v>29.75</v>
      </c>
      <c r="F1499" t="str">
        <f t="shared" si="46"/>
        <v>agosto</v>
      </c>
      <c r="G1499">
        <f t="shared" si="47"/>
        <v>2023</v>
      </c>
    </row>
    <row r="1500" spans="1:7" x14ac:dyDescent="0.25">
      <c r="A1500">
        <v>1100100</v>
      </c>
      <c r="B1500" s="1">
        <v>45139</v>
      </c>
      <c r="C1500" t="s">
        <v>63</v>
      </c>
      <c r="D1500">
        <v>65981.740000000005</v>
      </c>
      <c r="E1500">
        <v>195538.51</v>
      </c>
      <c r="F1500" t="str">
        <f t="shared" si="46"/>
        <v>agosto</v>
      </c>
      <c r="G1500">
        <f t="shared" si="47"/>
        <v>2023</v>
      </c>
    </row>
    <row r="1501" spans="1:7" x14ac:dyDescent="0.25">
      <c r="A1501">
        <v>1100101</v>
      </c>
      <c r="B1501" s="1">
        <v>45139</v>
      </c>
      <c r="C1501" t="s">
        <v>65</v>
      </c>
      <c r="D1501">
        <v>531.20000000000005</v>
      </c>
      <c r="E1501">
        <v>1628.21</v>
      </c>
      <c r="F1501" t="str">
        <f t="shared" si="46"/>
        <v>agosto</v>
      </c>
      <c r="G1501">
        <f t="shared" si="47"/>
        <v>2023</v>
      </c>
    </row>
    <row r="1502" spans="1:7" x14ac:dyDescent="0.25">
      <c r="A1502">
        <v>1100200</v>
      </c>
      <c r="B1502" s="1">
        <v>45139</v>
      </c>
      <c r="C1502" t="s">
        <v>67</v>
      </c>
      <c r="D1502">
        <v>65481.04</v>
      </c>
      <c r="E1502">
        <v>214800.37</v>
      </c>
      <c r="F1502" t="str">
        <f t="shared" si="46"/>
        <v>agosto</v>
      </c>
      <c r="G1502">
        <f t="shared" si="47"/>
        <v>2023</v>
      </c>
    </row>
    <row r="1503" spans="1:7" x14ac:dyDescent="0.25">
      <c r="A1503">
        <v>1100300</v>
      </c>
      <c r="B1503" s="1">
        <v>45139</v>
      </c>
      <c r="C1503" t="s">
        <v>69</v>
      </c>
      <c r="D1503">
        <v>12492.39</v>
      </c>
      <c r="E1503">
        <v>40786.980000000003</v>
      </c>
      <c r="F1503" t="str">
        <f t="shared" si="46"/>
        <v>agosto</v>
      </c>
      <c r="G1503">
        <f t="shared" si="47"/>
        <v>2023</v>
      </c>
    </row>
    <row r="1504" spans="1:7" x14ac:dyDescent="0.25">
      <c r="A1504">
        <v>1100301</v>
      </c>
      <c r="B1504" s="1">
        <v>45139</v>
      </c>
      <c r="C1504" t="s">
        <v>71</v>
      </c>
      <c r="D1504">
        <v>1972.5</v>
      </c>
      <c r="E1504">
        <v>6669.16</v>
      </c>
      <c r="F1504" t="str">
        <f t="shared" si="46"/>
        <v>agosto</v>
      </c>
      <c r="G1504">
        <f t="shared" si="47"/>
        <v>2023</v>
      </c>
    </row>
    <row r="1505" spans="1:7" x14ac:dyDescent="0.25">
      <c r="A1505">
        <v>1100400</v>
      </c>
      <c r="B1505" s="1">
        <v>45139</v>
      </c>
      <c r="C1505" t="s">
        <v>73</v>
      </c>
      <c r="D1505">
        <v>15118.79</v>
      </c>
      <c r="E1505">
        <v>45539.62</v>
      </c>
      <c r="F1505" t="str">
        <f t="shared" si="46"/>
        <v>agosto</v>
      </c>
      <c r="G1505">
        <f t="shared" si="47"/>
        <v>2023</v>
      </c>
    </row>
    <row r="1506" spans="1:7" x14ac:dyDescent="0.25">
      <c r="A1506">
        <v>1100500</v>
      </c>
      <c r="B1506" s="1">
        <v>45139</v>
      </c>
      <c r="C1506" t="s">
        <v>75</v>
      </c>
      <c r="D1506">
        <v>212.99</v>
      </c>
      <c r="E1506">
        <v>678.63</v>
      </c>
      <c r="F1506" t="str">
        <f t="shared" si="46"/>
        <v>agosto</v>
      </c>
      <c r="G1506">
        <f t="shared" si="47"/>
        <v>2023</v>
      </c>
    </row>
    <row r="1507" spans="1:7" x14ac:dyDescent="0.25">
      <c r="A1507">
        <v>1100600</v>
      </c>
      <c r="B1507" s="1">
        <v>45139</v>
      </c>
      <c r="C1507" t="s">
        <v>77</v>
      </c>
      <c r="D1507">
        <v>11561.74</v>
      </c>
      <c r="E1507">
        <v>42841.93</v>
      </c>
      <c r="F1507" t="str">
        <f t="shared" si="46"/>
        <v>agosto</v>
      </c>
      <c r="G1507">
        <f t="shared" si="47"/>
        <v>2023</v>
      </c>
    </row>
    <row r="1508" spans="1:7" x14ac:dyDescent="0.25">
      <c r="A1508">
        <v>1100602</v>
      </c>
      <c r="B1508" s="1">
        <v>45139</v>
      </c>
      <c r="C1508" t="s">
        <v>79</v>
      </c>
      <c r="D1508">
        <v>510.55</v>
      </c>
      <c r="E1508">
        <v>2973.26</v>
      </c>
      <c r="F1508" t="str">
        <f t="shared" si="46"/>
        <v>agosto</v>
      </c>
      <c r="G1508">
        <f t="shared" si="47"/>
        <v>2023</v>
      </c>
    </row>
    <row r="1509" spans="1:7" x14ac:dyDescent="0.25">
      <c r="A1509">
        <v>1100603</v>
      </c>
      <c r="B1509" s="1">
        <v>45139</v>
      </c>
      <c r="C1509" t="s">
        <v>304</v>
      </c>
      <c r="D1509">
        <v>160</v>
      </c>
      <c r="E1509">
        <v>806</v>
      </c>
      <c r="F1509" t="str">
        <f t="shared" si="46"/>
        <v>agosto</v>
      </c>
      <c r="G1509">
        <f t="shared" si="47"/>
        <v>2023</v>
      </c>
    </row>
    <row r="1510" spans="1:7" x14ac:dyDescent="0.25">
      <c r="A1510">
        <v>1100605</v>
      </c>
      <c r="B1510" s="1">
        <v>45139</v>
      </c>
      <c r="C1510" t="s">
        <v>631</v>
      </c>
      <c r="D1510">
        <v>2022.83</v>
      </c>
      <c r="E1510">
        <v>7288.39</v>
      </c>
      <c r="F1510" t="str">
        <f t="shared" si="46"/>
        <v>agosto</v>
      </c>
      <c r="G1510">
        <f t="shared" si="47"/>
        <v>2023</v>
      </c>
    </row>
    <row r="1511" spans="1:7" x14ac:dyDescent="0.25">
      <c r="A1511">
        <v>1100608</v>
      </c>
      <c r="B1511" s="1">
        <v>45139</v>
      </c>
      <c r="C1511" t="s">
        <v>349</v>
      </c>
      <c r="D1511">
        <v>13607.25</v>
      </c>
      <c r="E1511">
        <v>49116.49</v>
      </c>
      <c r="F1511" t="str">
        <f t="shared" si="46"/>
        <v>agosto</v>
      </c>
      <c r="G1511">
        <f t="shared" si="47"/>
        <v>2023</v>
      </c>
    </row>
    <row r="1512" spans="1:7" x14ac:dyDescent="0.25">
      <c r="A1512">
        <v>1100700</v>
      </c>
      <c r="B1512" s="1">
        <v>45139</v>
      </c>
      <c r="C1512" t="s">
        <v>83</v>
      </c>
      <c r="D1512">
        <v>20720.349999999999</v>
      </c>
      <c r="E1512">
        <v>74378.679999999993</v>
      </c>
      <c r="F1512" t="str">
        <f t="shared" si="46"/>
        <v>agosto</v>
      </c>
      <c r="G1512">
        <f t="shared" si="47"/>
        <v>2023</v>
      </c>
    </row>
    <row r="1513" spans="1:7" x14ac:dyDescent="0.25">
      <c r="A1513">
        <v>1100701</v>
      </c>
      <c r="B1513" s="1">
        <v>45139</v>
      </c>
      <c r="C1513" t="s">
        <v>84</v>
      </c>
      <c r="D1513">
        <v>571.1</v>
      </c>
      <c r="E1513">
        <v>2448.06</v>
      </c>
      <c r="F1513" t="str">
        <f t="shared" si="46"/>
        <v>agosto</v>
      </c>
      <c r="G1513">
        <f t="shared" si="47"/>
        <v>2023</v>
      </c>
    </row>
    <row r="1514" spans="1:7" x14ac:dyDescent="0.25">
      <c r="A1514">
        <v>1100703</v>
      </c>
      <c r="B1514" s="1">
        <v>45139</v>
      </c>
      <c r="C1514" t="s">
        <v>86</v>
      </c>
      <c r="D1514">
        <v>2454.62</v>
      </c>
      <c r="E1514">
        <v>10388.700000000001</v>
      </c>
      <c r="F1514" t="str">
        <f t="shared" si="46"/>
        <v>agosto</v>
      </c>
      <c r="G1514">
        <f t="shared" si="47"/>
        <v>2023</v>
      </c>
    </row>
    <row r="1515" spans="1:7" x14ac:dyDescent="0.25">
      <c r="A1515">
        <v>1100704</v>
      </c>
      <c r="B1515" s="1">
        <v>45139</v>
      </c>
      <c r="C1515" t="s">
        <v>718</v>
      </c>
      <c r="D1515">
        <v>5.2</v>
      </c>
      <c r="E1515">
        <v>15.6</v>
      </c>
      <c r="F1515" t="str">
        <f t="shared" si="46"/>
        <v>agosto</v>
      </c>
      <c r="G1515">
        <f t="shared" si="47"/>
        <v>2023</v>
      </c>
    </row>
    <row r="1516" spans="1:7" x14ac:dyDescent="0.25">
      <c r="A1516">
        <v>1100705</v>
      </c>
      <c r="B1516" s="1">
        <v>45139</v>
      </c>
      <c r="C1516" t="s">
        <v>88</v>
      </c>
      <c r="D1516">
        <v>167.66</v>
      </c>
      <c r="E1516">
        <v>264.98</v>
      </c>
      <c r="F1516" t="str">
        <f t="shared" si="46"/>
        <v>agosto</v>
      </c>
      <c r="G1516">
        <f t="shared" si="47"/>
        <v>2023</v>
      </c>
    </row>
    <row r="1517" spans="1:7" x14ac:dyDescent="0.25">
      <c r="A1517">
        <v>1100707</v>
      </c>
      <c r="B1517" s="1">
        <v>45139</v>
      </c>
      <c r="C1517" t="s">
        <v>686</v>
      </c>
      <c r="D1517">
        <v>39.299999999999997</v>
      </c>
      <c r="E1517">
        <v>184.71</v>
      </c>
      <c r="F1517" t="str">
        <f t="shared" si="46"/>
        <v>agosto</v>
      </c>
      <c r="G1517">
        <f t="shared" si="47"/>
        <v>2023</v>
      </c>
    </row>
    <row r="1518" spans="1:7" x14ac:dyDescent="0.25">
      <c r="A1518">
        <v>1100800</v>
      </c>
      <c r="B1518" s="1">
        <v>45139</v>
      </c>
      <c r="C1518" t="s">
        <v>90</v>
      </c>
      <c r="D1518">
        <v>13358.18</v>
      </c>
      <c r="E1518">
        <v>45489.42</v>
      </c>
      <c r="F1518" t="str">
        <f t="shared" si="46"/>
        <v>agosto</v>
      </c>
      <c r="G1518">
        <f t="shared" si="47"/>
        <v>2023</v>
      </c>
    </row>
    <row r="1519" spans="1:7" x14ac:dyDescent="0.25">
      <c r="A1519">
        <v>1100802</v>
      </c>
      <c r="B1519" s="1">
        <v>45139</v>
      </c>
      <c r="C1519" t="s">
        <v>306</v>
      </c>
      <c r="D1519">
        <v>197.3</v>
      </c>
      <c r="E1519">
        <v>667.21</v>
      </c>
      <c r="F1519" t="str">
        <f t="shared" si="46"/>
        <v>agosto</v>
      </c>
      <c r="G1519">
        <f t="shared" si="47"/>
        <v>2023</v>
      </c>
    </row>
    <row r="1520" spans="1:7" x14ac:dyDescent="0.25">
      <c r="A1520">
        <v>1100900</v>
      </c>
      <c r="B1520" s="1">
        <v>45139</v>
      </c>
      <c r="C1520" t="s">
        <v>94</v>
      </c>
      <c r="D1520">
        <v>615.04999999999995</v>
      </c>
      <c r="E1520">
        <v>3613.92</v>
      </c>
      <c r="F1520" t="str">
        <f t="shared" si="46"/>
        <v>agosto</v>
      </c>
      <c r="G1520">
        <f t="shared" si="47"/>
        <v>2023</v>
      </c>
    </row>
    <row r="1521" spans="1:7" x14ac:dyDescent="0.25">
      <c r="A1521">
        <v>1101000</v>
      </c>
      <c r="B1521" s="1">
        <v>45139</v>
      </c>
      <c r="C1521" t="s">
        <v>96</v>
      </c>
      <c r="D1521">
        <v>10947.19</v>
      </c>
      <c r="E1521">
        <v>42510</v>
      </c>
      <c r="F1521" t="str">
        <f t="shared" si="46"/>
        <v>agosto</v>
      </c>
      <c r="G1521">
        <f t="shared" si="47"/>
        <v>2023</v>
      </c>
    </row>
    <row r="1522" spans="1:7" x14ac:dyDescent="0.25">
      <c r="A1522">
        <v>1101001</v>
      </c>
      <c r="B1522" s="1">
        <v>45139</v>
      </c>
      <c r="C1522" t="s">
        <v>98</v>
      </c>
      <c r="D1522">
        <v>464.1</v>
      </c>
      <c r="E1522">
        <v>1984.18</v>
      </c>
      <c r="F1522" t="str">
        <f t="shared" si="46"/>
        <v>agosto</v>
      </c>
      <c r="G1522">
        <f t="shared" si="47"/>
        <v>2023</v>
      </c>
    </row>
    <row r="1523" spans="1:7" x14ac:dyDescent="0.25">
      <c r="A1523">
        <v>1101002</v>
      </c>
      <c r="B1523" s="1">
        <v>45139</v>
      </c>
      <c r="C1523" t="s">
        <v>687</v>
      </c>
      <c r="D1523">
        <v>1330.53</v>
      </c>
      <c r="E1523">
        <v>5758.17</v>
      </c>
      <c r="F1523" t="str">
        <f t="shared" si="46"/>
        <v>agosto</v>
      </c>
      <c r="G1523">
        <f t="shared" si="47"/>
        <v>2023</v>
      </c>
    </row>
    <row r="1524" spans="1:7" x14ac:dyDescent="0.25">
      <c r="A1524">
        <v>1101100</v>
      </c>
      <c r="B1524" s="1">
        <v>45139</v>
      </c>
      <c r="C1524" t="s">
        <v>100</v>
      </c>
      <c r="D1524">
        <v>46050.26</v>
      </c>
      <c r="E1524">
        <v>170951.4</v>
      </c>
      <c r="F1524" t="str">
        <f t="shared" si="46"/>
        <v>agosto</v>
      </c>
      <c r="G1524">
        <f t="shared" si="47"/>
        <v>2023</v>
      </c>
    </row>
    <row r="1525" spans="1:7" x14ac:dyDescent="0.25">
      <c r="A1525">
        <v>1101105</v>
      </c>
      <c r="B1525" s="1">
        <v>45139</v>
      </c>
      <c r="C1525" t="s">
        <v>542</v>
      </c>
      <c r="D1525">
        <v>188.08</v>
      </c>
      <c r="E1525">
        <v>827.55</v>
      </c>
      <c r="F1525" t="str">
        <f t="shared" si="46"/>
        <v>agosto</v>
      </c>
      <c r="G1525">
        <f t="shared" si="47"/>
        <v>2023</v>
      </c>
    </row>
    <row r="1526" spans="1:7" x14ac:dyDescent="0.25">
      <c r="A1526">
        <v>1101107</v>
      </c>
      <c r="B1526" s="1">
        <v>45139</v>
      </c>
      <c r="C1526" t="s">
        <v>719</v>
      </c>
      <c r="D1526">
        <v>1349.79</v>
      </c>
      <c r="E1526">
        <v>4600.08</v>
      </c>
      <c r="F1526" t="str">
        <f t="shared" si="46"/>
        <v>agosto</v>
      </c>
      <c r="G1526">
        <f t="shared" si="47"/>
        <v>2023</v>
      </c>
    </row>
    <row r="1527" spans="1:7" x14ac:dyDescent="0.25">
      <c r="A1527">
        <v>1101300</v>
      </c>
      <c r="B1527" s="1">
        <v>45139</v>
      </c>
      <c r="C1527" t="s">
        <v>102</v>
      </c>
      <c r="D1527">
        <v>274.10000000000002</v>
      </c>
      <c r="E1527">
        <v>1107.22</v>
      </c>
      <c r="F1527" t="str">
        <f t="shared" si="46"/>
        <v>agosto</v>
      </c>
      <c r="G1527">
        <f t="shared" si="47"/>
        <v>2023</v>
      </c>
    </row>
    <row r="1528" spans="1:7" x14ac:dyDescent="0.25">
      <c r="A1528">
        <v>1101400</v>
      </c>
      <c r="B1528" s="1">
        <v>45139</v>
      </c>
      <c r="C1528" t="s">
        <v>104</v>
      </c>
      <c r="D1528">
        <v>19714.439999999999</v>
      </c>
      <c r="E1528">
        <v>58037.19</v>
      </c>
      <c r="F1528" t="str">
        <f t="shared" si="46"/>
        <v>agosto</v>
      </c>
      <c r="G1528">
        <f t="shared" si="47"/>
        <v>2023</v>
      </c>
    </row>
    <row r="1529" spans="1:7" x14ac:dyDescent="0.25">
      <c r="A1529">
        <v>1101500</v>
      </c>
      <c r="B1529" s="1">
        <v>45139</v>
      </c>
      <c r="C1529" t="s">
        <v>106</v>
      </c>
      <c r="D1529">
        <v>598.08000000000004</v>
      </c>
      <c r="E1529">
        <v>1791.65</v>
      </c>
      <c r="F1529" t="str">
        <f t="shared" si="46"/>
        <v>agosto</v>
      </c>
      <c r="G1529">
        <f t="shared" si="47"/>
        <v>2023</v>
      </c>
    </row>
    <row r="1530" spans="1:7" x14ac:dyDescent="0.25">
      <c r="A1530">
        <v>1101600</v>
      </c>
      <c r="B1530" s="1">
        <v>45139</v>
      </c>
      <c r="C1530" t="s">
        <v>720</v>
      </c>
      <c r="D1530">
        <v>127.7</v>
      </c>
      <c r="E1530">
        <v>391.01</v>
      </c>
      <c r="F1530" t="str">
        <f t="shared" si="46"/>
        <v>agosto</v>
      </c>
      <c r="G1530">
        <f t="shared" si="47"/>
        <v>2023</v>
      </c>
    </row>
    <row r="1531" spans="1:7" x14ac:dyDescent="0.25">
      <c r="A1531">
        <v>1101700</v>
      </c>
      <c r="B1531" s="1">
        <v>45139</v>
      </c>
      <c r="C1531" t="s">
        <v>110</v>
      </c>
      <c r="D1531">
        <v>3970.5</v>
      </c>
      <c r="E1531">
        <v>11723.66</v>
      </c>
      <c r="F1531" t="str">
        <f t="shared" si="46"/>
        <v>agosto</v>
      </c>
      <c r="G1531">
        <f t="shared" si="47"/>
        <v>2023</v>
      </c>
    </row>
    <row r="1532" spans="1:7" x14ac:dyDescent="0.25">
      <c r="A1532">
        <v>1101801</v>
      </c>
      <c r="B1532" s="1">
        <v>45139</v>
      </c>
      <c r="C1532" t="s">
        <v>112</v>
      </c>
      <c r="D1532">
        <v>1379.21</v>
      </c>
      <c r="E1532">
        <v>3937.52</v>
      </c>
      <c r="F1532" t="str">
        <f t="shared" si="46"/>
        <v>agosto</v>
      </c>
      <c r="G1532">
        <f t="shared" si="47"/>
        <v>2023</v>
      </c>
    </row>
    <row r="1533" spans="1:7" x14ac:dyDescent="0.25">
      <c r="A1533">
        <v>1101900</v>
      </c>
      <c r="B1533" s="1">
        <v>45139</v>
      </c>
      <c r="C1533" t="s">
        <v>114</v>
      </c>
      <c r="D1533">
        <v>15310.73</v>
      </c>
      <c r="E1533">
        <v>53449.3</v>
      </c>
      <c r="F1533" t="str">
        <f t="shared" si="46"/>
        <v>agosto</v>
      </c>
      <c r="G1533">
        <f t="shared" si="47"/>
        <v>2023</v>
      </c>
    </row>
    <row r="1534" spans="1:7" x14ac:dyDescent="0.25">
      <c r="A1534">
        <v>1101901</v>
      </c>
      <c r="B1534" s="1">
        <v>45139</v>
      </c>
      <c r="C1534" t="s">
        <v>448</v>
      </c>
      <c r="D1534">
        <v>1894.91</v>
      </c>
      <c r="E1534">
        <v>6495.49</v>
      </c>
      <c r="F1534" t="str">
        <f t="shared" si="46"/>
        <v>agosto</v>
      </c>
      <c r="G1534">
        <f t="shared" si="47"/>
        <v>2023</v>
      </c>
    </row>
    <row r="1535" spans="1:7" x14ac:dyDescent="0.25">
      <c r="A1535">
        <v>1101902</v>
      </c>
      <c r="B1535" s="1">
        <v>45139</v>
      </c>
      <c r="C1535" t="s">
        <v>351</v>
      </c>
      <c r="D1535">
        <v>1274.94</v>
      </c>
      <c r="E1535">
        <v>5396.49</v>
      </c>
      <c r="F1535" t="str">
        <f t="shared" si="46"/>
        <v>agosto</v>
      </c>
      <c r="G1535">
        <f t="shared" si="47"/>
        <v>2023</v>
      </c>
    </row>
    <row r="1536" spans="1:7" x14ac:dyDescent="0.25">
      <c r="A1536">
        <v>1102000</v>
      </c>
      <c r="B1536" s="1">
        <v>45139</v>
      </c>
      <c r="C1536" t="s">
        <v>115</v>
      </c>
      <c r="D1536">
        <v>26.2</v>
      </c>
      <c r="E1536">
        <v>112.66</v>
      </c>
      <c r="F1536" t="str">
        <f t="shared" si="46"/>
        <v>agosto</v>
      </c>
      <c r="G1536">
        <f t="shared" si="47"/>
        <v>2023</v>
      </c>
    </row>
    <row r="1537" spans="1:7" x14ac:dyDescent="0.25">
      <c r="A1537">
        <v>1102200</v>
      </c>
      <c r="B1537" s="1">
        <v>45139</v>
      </c>
      <c r="C1537" t="s">
        <v>117</v>
      </c>
      <c r="D1537">
        <v>25.6</v>
      </c>
      <c r="E1537">
        <v>93.44</v>
      </c>
      <c r="F1537" t="str">
        <f t="shared" si="46"/>
        <v>agosto</v>
      </c>
      <c r="G1537">
        <f t="shared" si="47"/>
        <v>2023</v>
      </c>
    </row>
    <row r="1538" spans="1:7" x14ac:dyDescent="0.25">
      <c r="A1538">
        <v>1102300</v>
      </c>
      <c r="B1538" s="1">
        <v>45139</v>
      </c>
      <c r="C1538" t="s">
        <v>119</v>
      </c>
      <c r="D1538">
        <v>7592.1</v>
      </c>
      <c r="E1538">
        <v>24443.33</v>
      </c>
      <c r="F1538" t="str">
        <f t="shared" si="46"/>
        <v>agosto</v>
      </c>
      <c r="G1538">
        <f t="shared" si="47"/>
        <v>2023</v>
      </c>
    </row>
    <row r="1539" spans="1:7" x14ac:dyDescent="0.25">
      <c r="A1539">
        <v>1103000</v>
      </c>
      <c r="B1539" s="1">
        <v>45139</v>
      </c>
      <c r="C1539" t="s">
        <v>121</v>
      </c>
      <c r="D1539">
        <v>701.11</v>
      </c>
      <c r="E1539">
        <v>1418.29</v>
      </c>
      <c r="F1539" t="str">
        <f t="shared" ref="F1539:F1602" si="48">TEXT(B1539,"mmmm")</f>
        <v>agosto</v>
      </c>
      <c r="G1539">
        <f t="shared" ref="G1539:G1602" si="49">YEAR(B1539)</f>
        <v>2023</v>
      </c>
    </row>
    <row r="1540" spans="1:7" x14ac:dyDescent="0.25">
      <c r="A1540">
        <v>1103001</v>
      </c>
      <c r="B1540" s="1">
        <v>45139</v>
      </c>
      <c r="C1540" t="s">
        <v>123</v>
      </c>
      <c r="D1540">
        <v>51.95</v>
      </c>
      <c r="E1540">
        <v>105.36</v>
      </c>
      <c r="F1540" t="str">
        <f t="shared" si="48"/>
        <v>agosto</v>
      </c>
      <c r="G1540">
        <f t="shared" si="49"/>
        <v>2023</v>
      </c>
    </row>
    <row r="1541" spans="1:7" x14ac:dyDescent="0.25">
      <c r="A1541">
        <v>2010902</v>
      </c>
      <c r="B1541" s="1">
        <v>45139</v>
      </c>
      <c r="C1541" t="s">
        <v>127</v>
      </c>
      <c r="D1541">
        <v>7.5</v>
      </c>
      <c r="E1541">
        <v>6.75</v>
      </c>
      <c r="F1541" t="str">
        <f t="shared" si="48"/>
        <v>agosto</v>
      </c>
      <c r="G1541">
        <f t="shared" si="49"/>
        <v>2023</v>
      </c>
    </row>
    <row r="1542" spans="1:7" x14ac:dyDescent="0.25">
      <c r="A1542">
        <v>2010904</v>
      </c>
      <c r="B1542" s="1">
        <v>45139</v>
      </c>
      <c r="C1542" t="s">
        <v>721</v>
      </c>
      <c r="D1542">
        <v>507.5</v>
      </c>
      <c r="E1542">
        <v>527.75</v>
      </c>
      <c r="F1542" t="str">
        <f t="shared" si="48"/>
        <v>agosto</v>
      </c>
      <c r="G1542">
        <f t="shared" si="49"/>
        <v>2023</v>
      </c>
    </row>
    <row r="1543" spans="1:7" x14ac:dyDescent="0.25">
      <c r="A1543">
        <v>2010905</v>
      </c>
      <c r="B1543" s="1">
        <v>45139</v>
      </c>
      <c r="C1543" t="s">
        <v>544</v>
      </c>
      <c r="D1543">
        <v>165</v>
      </c>
      <c r="E1543">
        <v>128.25</v>
      </c>
      <c r="F1543" t="str">
        <f t="shared" si="48"/>
        <v>agosto</v>
      </c>
      <c r="G1543">
        <f t="shared" si="49"/>
        <v>2023</v>
      </c>
    </row>
    <row r="1544" spans="1:7" x14ac:dyDescent="0.25">
      <c r="A1544">
        <v>2011700</v>
      </c>
      <c r="B1544" s="1">
        <v>45139</v>
      </c>
      <c r="C1544" t="s">
        <v>129</v>
      </c>
      <c r="D1544">
        <v>35.9</v>
      </c>
      <c r="E1544">
        <v>96.34</v>
      </c>
      <c r="F1544" t="str">
        <f t="shared" si="48"/>
        <v>agosto</v>
      </c>
      <c r="G1544">
        <f t="shared" si="49"/>
        <v>2023</v>
      </c>
    </row>
    <row r="1545" spans="1:7" x14ac:dyDescent="0.25">
      <c r="A1545">
        <v>2090002</v>
      </c>
      <c r="B1545" s="1">
        <v>45139</v>
      </c>
      <c r="C1545" t="s">
        <v>451</v>
      </c>
      <c r="D1545">
        <v>161.84</v>
      </c>
      <c r="E1545">
        <v>828.31</v>
      </c>
      <c r="F1545" t="str">
        <f t="shared" si="48"/>
        <v>agosto</v>
      </c>
      <c r="G1545">
        <f t="shared" si="49"/>
        <v>2023</v>
      </c>
    </row>
    <row r="1546" spans="1:7" x14ac:dyDescent="0.25">
      <c r="A1546">
        <v>2101100</v>
      </c>
      <c r="B1546" s="1">
        <v>45139</v>
      </c>
      <c r="C1546" t="s">
        <v>453</v>
      </c>
      <c r="D1546">
        <v>207.1</v>
      </c>
      <c r="E1546">
        <v>931.95</v>
      </c>
      <c r="F1546" t="str">
        <f t="shared" si="48"/>
        <v>agosto</v>
      </c>
      <c r="G1546">
        <f t="shared" si="49"/>
        <v>2023</v>
      </c>
    </row>
    <row r="1547" spans="1:7" x14ac:dyDescent="0.25">
      <c r="A1547">
        <v>3020103</v>
      </c>
      <c r="B1547" s="1">
        <v>45139</v>
      </c>
      <c r="C1547" t="s">
        <v>131</v>
      </c>
      <c r="D1547">
        <v>8830.56</v>
      </c>
      <c r="E1547">
        <v>29383.62</v>
      </c>
      <c r="F1547" t="str">
        <f t="shared" si="48"/>
        <v>agosto</v>
      </c>
      <c r="G1547">
        <f t="shared" si="49"/>
        <v>2023</v>
      </c>
    </row>
    <row r="1548" spans="1:7" x14ac:dyDescent="0.25">
      <c r="A1548">
        <v>3020212</v>
      </c>
      <c r="B1548" s="1">
        <v>45139</v>
      </c>
      <c r="C1548" t="s">
        <v>133</v>
      </c>
      <c r="D1548">
        <v>2488.48</v>
      </c>
      <c r="E1548">
        <v>9222.5300000000007</v>
      </c>
      <c r="F1548" t="str">
        <f t="shared" si="48"/>
        <v>agosto</v>
      </c>
      <c r="G1548">
        <f t="shared" si="49"/>
        <v>2023</v>
      </c>
    </row>
    <row r="1549" spans="1:7" x14ac:dyDescent="0.25">
      <c r="A1549">
        <v>3020214</v>
      </c>
      <c r="B1549" s="1">
        <v>45139</v>
      </c>
      <c r="C1549" t="s">
        <v>135</v>
      </c>
      <c r="D1549">
        <v>1292.3599999999999</v>
      </c>
      <c r="E1549">
        <v>4598.53</v>
      </c>
      <c r="F1549" t="str">
        <f t="shared" si="48"/>
        <v>agosto</v>
      </c>
      <c r="G1549">
        <f t="shared" si="49"/>
        <v>2023</v>
      </c>
    </row>
    <row r="1550" spans="1:7" x14ac:dyDescent="0.25">
      <c r="A1550">
        <v>3020315</v>
      </c>
      <c r="B1550" s="1">
        <v>45139</v>
      </c>
      <c r="C1550" t="s">
        <v>137</v>
      </c>
      <c r="D1550">
        <v>4494.92</v>
      </c>
      <c r="E1550">
        <v>15982.23</v>
      </c>
      <c r="F1550" t="str">
        <f t="shared" si="48"/>
        <v>agosto</v>
      </c>
      <c r="G1550">
        <f t="shared" si="49"/>
        <v>2023</v>
      </c>
    </row>
    <row r="1551" spans="1:7" x14ac:dyDescent="0.25">
      <c r="A1551">
        <v>3020316</v>
      </c>
      <c r="B1551" s="1">
        <v>45139</v>
      </c>
      <c r="C1551" t="s">
        <v>139</v>
      </c>
      <c r="D1551">
        <v>232.3</v>
      </c>
      <c r="E1551">
        <v>738.72</v>
      </c>
      <c r="F1551" t="str">
        <f t="shared" si="48"/>
        <v>agosto</v>
      </c>
      <c r="G1551">
        <f t="shared" si="49"/>
        <v>2023</v>
      </c>
    </row>
    <row r="1552" spans="1:7" x14ac:dyDescent="0.25">
      <c r="A1552">
        <v>3020402</v>
      </c>
      <c r="B1552" s="1">
        <v>45139</v>
      </c>
      <c r="C1552" t="s">
        <v>141</v>
      </c>
      <c r="D1552">
        <v>4025.37</v>
      </c>
      <c r="E1552">
        <v>14737.46</v>
      </c>
      <c r="F1552" t="str">
        <f t="shared" si="48"/>
        <v>agosto</v>
      </c>
      <c r="G1552">
        <f t="shared" si="49"/>
        <v>2023</v>
      </c>
    </row>
    <row r="1553" spans="1:7" x14ac:dyDescent="0.25">
      <c r="A1553">
        <v>3020504</v>
      </c>
      <c r="B1553" s="1">
        <v>45139</v>
      </c>
      <c r="C1553" t="s">
        <v>143</v>
      </c>
      <c r="D1553">
        <v>879.96</v>
      </c>
      <c r="E1553">
        <v>3327.06</v>
      </c>
      <c r="F1553" t="str">
        <f t="shared" si="48"/>
        <v>agosto</v>
      </c>
      <c r="G1553">
        <f t="shared" si="49"/>
        <v>2023</v>
      </c>
    </row>
    <row r="1554" spans="1:7" x14ac:dyDescent="0.25">
      <c r="A1554">
        <v>3020622</v>
      </c>
      <c r="B1554" s="1">
        <v>45139</v>
      </c>
      <c r="C1554" t="s">
        <v>145</v>
      </c>
      <c r="D1554">
        <v>5960.16</v>
      </c>
      <c r="E1554">
        <v>22136.48</v>
      </c>
      <c r="F1554" t="str">
        <f t="shared" si="48"/>
        <v>agosto</v>
      </c>
      <c r="G1554">
        <f t="shared" si="49"/>
        <v>2023</v>
      </c>
    </row>
    <row r="1555" spans="1:7" x14ac:dyDescent="0.25">
      <c r="A1555">
        <v>3020623</v>
      </c>
      <c r="B1555" s="1">
        <v>45139</v>
      </c>
      <c r="C1555" t="s">
        <v>147</v>
      </c>
      <c r="D1555">
        <v>1290.05</v>
      </c>
      <c r="E1555">
        <v>4987.2299999999996</v>
      </c>
      <c r="F1555" t="str">
        <f t="shared" si="48"/>
        <v>agosto</v>
      </c>
      <c r="G1555">
        <f t="shared" si="49"/>
        <v>2023</v>
      </c>
    </row>
    <row r="1556" spans="1:7" x14ac:dyDescent="0.25">
      <c r="A1556">
        <v>3020725</v>
      </c>
      <c r="B1556" s="1">
        <v>45139</v>
      </c>
      <c r="C1556" t="s">
        <v>149</v>
      </c>
      <c r="D1556">
        <v>418.63</v>
      </c>
      <c r="E1556">
        <v>1587.39</v>
      </c>
      <c r="F1556" t="str">
        <f t="shared" si="48"/>
        <v>agosto</v>
      </c>
      <c r="G1556">
        <f t="shared" si="49"/>
        <v>2023</v>
      </c>
    </row>
    <row r="1557" spans="1:7" x14ac:dyDescent="0.25">
      <c r="A1557">
        <v>3020823</v>
      </c>
      <c r="B1557" s="1">
        <v>45139</v>
      </c>
      <c r="C1557" t="s">
        <v>151</v>
      </c>
      <c r="D1557">
        <v>2043.64</v>
      </c>
      <c r="E1557">
        <v>7711.65</v>
      </c>
      <c r="F1557" t="str">
        <f t="shared" si="48"/>
        <v>agosto</v>
      </c>
      <c r="G1557">
        <f t="shared" si="49"/>
        <v>2023</v>
      </c>
    </row>
    <row r="1558" spans="1:7" x14ac:dyDescent="0.25">
      <c r="A1558">
        <v>3020824</v>
      </c>
      <c r="B1558" s="1">
        <v>45139</v>
      </c>
      <c r="C1558" t="s">
        <v>153</v>
      </c>
      <c r="D1558">
        <v>2497.34</v>
      </c>
      <c r="E1558">
        <v>9388.89</v>
      </c>
      <c r="F1558" t="str">
        <f t="shared" si="48"/>
        <v>agosto</v>
      </c>
      <c r="G1558">
        <f t="shared" si="49"/>
        <v>2023</v>
      </c>
    </row>
    <row r="1559" spans="1:7" x14ac:dyDescent="0.25">
      <c r="A1559">
        <v>3020825</v>
      </c>
      <c r="B1559" s="1">
        <v>45139</v>
      </c>
      <c r="C1559" t="s">
        <v>455</v>
      </c>
      <c r="D1559">
        <v>220.51</v>
      </c>
      <c r="E1559">
        <v>904.08</v>
      </c>
      <c r="F1559" t="str">
        <f t="shared" si="48"/>
        <v>agosto</v>
      </c>
      <c r="G1559">
        <f t="shared" si="49"/>
        <v>2023</v>
      </c>
    </row>
    <row r="1560" spans="1:7" x14ac:dyDescent="0.25">
      <c r="A1560">
        <v>3020924</v>
      </c>
      <c r="B1560" s="1">
        <v>45139</v>
      </c>
      <c r="C1560" t="s">
        <v>155</v>
      </c>
      <c r="D1560">
        <v>1636.1</v>
      </c>
      <c r="E1560">
        <v>6224.47</v>
      </c>
      <c r="F1560" t="str">
        <f t="shared" si="48"/>
        <v>agosto</v>
      </c>
      <c r="G1560">
        <f t="shared" si="49"/>
        <v>2023</v>
      </c>
    </row>
    <row r="1561" spans="1:7" x14ac:dyDescent="0.25">
      <c r="A1561">
        <v>3020925</v>
      </c>
      <c r="B1561" s="1">
        <v>45139</v>
      </c>
      <c r="C1561" t="s">
        <v>157</v>
      </c>
      <c r="D1561">
        <v>3907.87</v>
      </c>
      <c r="E1561">
        <v>14943.1</v>
      </c>
      <c r="F1561" t="str">
        <f t="shared" si="48"/>
        <v>agosto</v>
      </c>
      <c r="G1561">
        <f t="shared" si="49"/>
        <v>2023</v>
      </c>
    </row>
    <row r="1562" spans="1:7" x14ac:dyDescent="0.25">
      <c r="A1562">
        <v>3021436</v>
      </c>
      <c r="B1562" s="1">
        <v>45139</v>
      </c>
      <c r="C1562" t="s">
        <v>546</v>
      </c>
      <c r="D1562">
        <v>931.88</v>
      </c>
      <c r="E1562">
        <v>3026.27</v>
      </c>
      <c r="F1562" t="str">
        <f t="shared" si="48"/>
        <v>agosto</v>
      </c>
      <c r="G1562">
        <f t="shared" si="49"/>
        <v>2023</v>
      </c>
    </row>
    <row r="1563" spans="1:7" x14ac:dyDescent="0.25">
      <c r="A1563">
        <v>3021537</v>
      </c>
      <c r="B1563" s="1">
        <v>45139</v>
      </c>
      <c r="C1563" t="s">
        <v>161</v>
      </c>
      <c r="D1563">
        <v>7.63</v>
      </c>
      <c r="E1563">
        <v>25.18</v>
      </c>
      <c r="F1563" t="str">
        <f t="shared" si="48"/>
        <v>agosto</v>
      </c>
      <c r="G1563">
        <f t="shared" si="49"/>
        <v>2023</v>
      </c>
    </row>
    <row r="1564" spans="1:7" x14ac:dyDescent="0.25">
      <c r="A1564">
        <v>3021538</v>
      </c>
      <c r="B1564" s="1">
        <v>45139</v>
      </c>
      <c r="C1564" t="s">
        <v>548</v>
      </c>
      <c r="D1564">
        <v>75.61</v>
      </c>
      <c r="E1564">
        <v>226.25</v>
      </c>
      <c r="F1564" t="str">
        <f t="shared" si="48"/>
        <v>agosto</v>
      </c>
      <c r="G1564">
        <f t="shared" si="49"/>
        <v>2023</v>
      </c>
    </row>
    <row r="1565" spans="1:7" x14ac:dyDescent="0.25">
      <c r="A1565">
        <v>3021639</v>
      </c>
      <c r="B1565" s="1">
        <v>45139</v>
      </c>
      <c r="C1565" t="s">
        <v>457</v>
      </c>
      <c r="D1565">
        <v>40.799999999999997</v>
      </c>
      <c r="E1565">
        <v>122.64</v>
      </c>
      <c r="F1565" t="str">
        <f t="shared" si="48"/>
        <v>agosto</v>
      </c>
      <c r="G1565">
        <f t="shared" si="49"/>
        <v>2023</v>
      </c>
    </row>
    <row r="1566" spans="1:7" x14ac:dyDescent="0.25">
      <c r="A1566">
        <v>3021739</v>
      </c>
      <c r="B1566" s="1">
        <v>45139</v>
      </c>
      <c r="C1566" t="s">
        <v>165</v>
      </c>
      <c r="D1566">
        <v>689.92</v>
      </c>
      <c r="E1566">
        <v>1931.77</v>
      </c>
      <c r="F1566" t="str">
        <f t="shared" si="48"/>
        <v>agosto</v>
      </c>
      <c r="G1566">
        <f t="shared" si="49"/>
        <v>2023</v>
      </c>
    </row>
    <row r="1567" spans="1:7" x14ac:dyDescent="0.25">
      <c r="A1567">
        <v>3021740</v>
      </c>
      <c r="B1567" s="1">
        <v>45139</v>
      </c>
      <c r="C1567" t="s">
        <v>459</v>
      </c>
      <c r="D1567">
        <v>1177.68</v>
      </c>
      <c r="E1567">
        <v>3145.87</v>
      </c>
      <c r="F1567" t="str">
        <f t="shared" si="48"/>
        <v>agosto</v>
      </c>
      <c r="G1567">
        <f t="shared" si="49"/>
        <v>2023</v>
      </c>
    </row>
    <row r="1568" spans="1:7" x14ac:dyDescent="0.25">
      <c r="A1568">
        <v>3021760</v>
      </c>
      <c r="B1568" s="1">
        <v>45139</v>
      </c>
      <c r="C1568" t="s">
        <v>167</v>
      </c>
      <c r="D1568">
        <v>592.62</v>
      </c>
      <c r="E1568">
        <v>1484.6</v>
      </c>
      <c r="F1568" t="str">
        <f t="shared" si="48"/>
        <v>agosto</v>
      </c>
      <c r="G1568">
        <f t="shared" si="49"/>
        <v>2023</v>
      </c>
    </row>
    <row r="1569" spans="1:7" x14ac:dyDescent="0.25">
      <c r="A1569">
        <v>3021811</v>
      </c>
      <c r="B1569" s="1">
        <v>45139</v>
      </c>
      <c r="C1569" t="s">
        <v>169</v>
      </c>
      <c r="D1569">
        <v>1013.57</v>
      </c>
      <c r="E1569">
        <v>2533.44</v>
      </c>
      <c r="F1569" t="str">
        <f t="shared" si="48"/>
        <v>agosto</v>
      </c>
      <c r="G1569">
        <f t="shared" si="49"/>
        <v>2023</v>
      </c>
    </row>
    <row r="1570" spans="1:7" x14ac:dyDescent="0.25">
      <c r="A1570">
        <v>3021812</v>
      </c>
      <c r="B1570" s="1">
        <v>45139</v>
      </c>
      <c r="C1570" t="s">
        <v>171</v>
      </c>
      <c r="D1570">
        <v>1331.74</v>
      </c>
      <c r="E1570">
        <v>3124.61</v>
      </c>
      <c r="F1570" t="str">
        <f t="shared" si="48"/>
        <v>agosto</v>
      </c>
      <c r="G1570">
        <f t="shared" si="49"/>
        <v>2023</v>
      </c>
    </row>
    <row r="1571" spans="1:7" x14ac:dyDescent="0.25">
      <c r="A1571">
        <v>3022100</v>
      </c>
      <c r="B1571" s="1">
        <v>45139</v>
      </c>
      <c r="C1571" t="s">
        <v>173</v>
      </c>
      <c r="D1571">
        <v>468.75</v>
      </c>
      <c r="E1571">
        <v>1793.64</v>
      </c>
      <c r="F1571" t="str">
        <f t="shared" si="48"/>
        <v>agosto</v>
      </c>
      <c r="G1571">
        <f t="shared" si="49"/>
        <v>2023</v>
      </c>
    </row>
    <row r="1572" spans="1:7" x14ac:dyDescent="0.25">
      <c r="A1572">
        <v>3022208</v>
      </c>
      <c r="B1572" s="1">
        <v>45139</v>
      </c>
      <c r="C1572" t="s">
        <v>307</v>
      </c>
      <c r="D1572">
        <v>806.53</v>
      </c>
      <c r="E1572">
        <v>3080.84</v>
      </c>
      <c r="F1572" t="str">
        <f t="shared" si="48"/>
        <v>agosto</v>
      </c>
      <c r="G1572">
        <f t="shared" si="49"/>
        <v>2023</v>
      </c>
    </row>
    <row r="1573" spans="1:7" x14ac:dyDescent="0.25">
      <c r="A1573">
        <v>3022311</v>
      </c>
      <c r="B1573" s="1">
        <v>45139</v>
      </c>
      <c r="C1573" t="s">
        <v>176</v>
      </c>
      <c r="D1573">
        <v>2954.68</v>
      </c>
      <c r="E1573">
        <v>7050.33</v>
      </c>
      <c r="F1573" t="str">
        <f t="shared" si="48"/>
        <v>agosto</v>
      </c>
      <c r="G1573">
        <f t="shared" si="49"/>
        <v>2023</v>
      </c>
    </row>
    <row r="1574" spans="1:7" x14ac:dyDescent="0.25">
      <c r="A1574">
        <v>3022312</v>
      </c>
      <c r="B1574" s="1">
        <v>45139</v>
      </c>
      <c r="C1574" t="s">
        <v>308</v>
      </c>
      <c r="D1574">
        <v>77.08</v>
      </c>
      <c r="E1574">
        <v>215.82</v>
      </c>
      <c r="F1574" t="str">
        <f t="shared" si="48"/>
        <v>agosto</v>
      </c>
      <c r="G1574">
        <f t="shared" si="49"/>
        <v>2023</v>
      </c>
    </row>
    <row r="1575" spans="1:7" x14ac:dyDescent="0.25">
      <c r="A1575">
        <v>3022411</v>
      </c>
      <c r="B1575" s="1">
        <v>45139</v>
      </c>
      <c r="C1575" t="s">
        <v>178</v>
      </c>
      <c r="D1575">
        <v>77.67</v>
      </c>
      <c r="E1575">
        <v>206.57</v>
      </c>
      <c r="F1575" t="str">
        <f t="shared" si="48"/>
        <v>agosto</v>
      </c>
      <c r="G1575">
        <f t="shared" si="49"/>
        <v>2023</v>
      </c>
    </row>
    <row r="1576" spans="1:7" x14ac:dyDescent="0.25">
      <c r="A1576">
        <v>3022511</v>
      </c>
      <c r="B1576" s="1">
        <v>45139</v>
      </c>
      <c r="C1576" t="s">
        <v>180</v>
      </c>
      <c r="D1576">
        <v>10.85</v>
      </c>
      <c r="E1576">
        <v>29.64</v>
      </c>
      <c r="F1576" t="str">
        <f t="shared" si="48"/>
        <v>agosto</v>
      </c>
      <c r="G1576">
        <f t="shared" si="49"/>
        <v>2023</v>
      </c>
    </row>
    <row r="1577" spans="1:7" x14ac:dyDescent="0.25">
      <c r="A1577">
        <v>3022601</v>
      </c>
      <c r="B1577" s="1">
        <v>45139</v>
      </c>
      <c r="C1577" t="s">
        <v>182</v>
      </c>
      <c r="D1577">
        <v>279.5</v>
      </c>
      <c r="E1577">
        <v>1141.31</v>
      </c>
      <c r="F1577" t="str">
        <f t="shared" si="48"/>
        <v>agosto</v>
      </c>
      <c r="G1577">
        <f t="shared" si="49"/>
        <v>2023</v>
      </c>
    </row>
    <row r="1578" spans="1:7" x14ac:dyDescent="0.25">
      <c r="A1578">
        <v>3022703</v>
      </c>
      <c r="B1578" s="1">
        <v>45139</v>
      </c>
      <c r="C1578" t="s">
        <v>309</v>
      </c>
      <c r="D1578">
        <v>841</v>
      </c>
      <c r="E1578">
        <v>2306.5500000000002</v>
      </c>
      <c r="F1578" t="str">
        <f t="shared" si="48"/>
        <v>agosto</v>
      </c>
      <c r="G1578">
        <f t="shared" si="49"/>
        <v>2023</v>
      </c>
    </row>
    <row r="1579" spans="1:7" x14ac:dyDescent="0.25">
      <c r="A1579">
        <v>3022805</v>
      </c>
      <c r="B1579" s="1">
        <v>45139</v>
      </c>
      <c r="C1579" t="s">
        <v>186</v>
      </c>
      <c r="D1579">
        <v>2090</v>
      </c>
      <c r="E1579">
        <v>4372.8500000000004</v>
      </c>
      <c r="F1579" t="str">
        <f t="shared" si="48"/>
        <v>agosto</v>
      </c>
      <c r="G1579">
        <f t="shared" si="49"/>
        <v>2023</v>
      </c>
    </row>
    <row r="1580" spans="1:7" x14ac:dyDescent="0.25">
      <c r="A1580">
        <v>3022906</v>
      </c>
      <c r="B1580" s="1">
        <v>45139</v>
      </c>
      <c r="C1580" t="s">
        <v>188</v>
      </c>
      <c r="D1580">
        <v>5420</v>
      </c>
      <c r="E1580">
        <v>11033.31</v>
      </c>
      <c r="F1580" t="str">
        <f t="shared" si="48"/>
        <v>agosto</v>
      </c>
      <c r="G1580">
        <f t="shared" si="49"/>
        <v>2023</v>
      </c>
    </row>
    <row r="1581" spans="1:7" x14ac:dyDescent="0.25">
      <c r="A1581">
        <v>3023007</v>
      </c>
      <c r="B1581" s="1">
        <v>45139</v>
      </c>
      <c r="C1581" t="s">
        <v>190</v>
      </c>
      <c r="D1581">
        <v>1260</v>
      </c>
      <c r="E1581">
        <v>2574.9</v>
      </c>
      <c r="F1581" t="str">
        <f t="shared" si="48"/>
        <v>agosto</v>
      </c>
      <c r="G1581">
        <f t="shared" si="49"/>
        <v>2023</v>
      </c>
    </row>
    <row r="1582" spans="1:7" x14ac:dyDescent="0.25">
      <c r="A1582">
        <v>3024001</v>
      </c>
      <c r="B1582" s="1">
        <v>45139</v>
      </c>
      <c r="C1582" t="s">
        <v>192</v>
      </c>
      <c r="D1582">
        <v>1455.76</v>
      </c>
      <c r="E1582">
        <v>5561.79</v>
      </c>
      <c r="F1582" t="str">
        <f t="shared" si="48"/>
        <v>agosto</v>
      </c>
      <c r="G1582">
        <f t="shared" si="49"/>
        <v>2023</v>
      </c>
    </row>
    <row r="1583" spans="1:7" x14ac:dyDescent="0.25">
      <c r="A1583">
        <v>3024003</v>
      </c>
      <c r="B1583" s="1">
        <v>45139</v>
      </c>
      <c r="C1583" t="s">
        <v>196</v>
      </c>
      <c r="D1583">
        <v>402.26</v>
      </c>
      <c r="E1583">
        <v>1132.6099999999999</v>
      </c>
      <c r="F1583" t="str">
        <f t="shared" si="48"/>
        <v>agosto</v>
      </c>
      <c r="G1583">
        <f t="shared" si="49"/>
        <v>2023</v>
      </c>
    </row>
    <row r="1584" spans="1:7" x14ac:dyDescent="0.25">
      <c r="A1584">
        <v>3024004</v>
      </c>
      <c r="B1584" s="1">
        <v>45139</v>
      </c>
      <c r="C1584" t="s">
        <v>198</v>
      </c>
      <c r="D1584">
        <v>1195.8399999999999</v>
      </c>
      <c r="E1584">
        <v>1199.0999999999999</v>
      </c>
      <c r="F1584" t="str">
        <f t="shared" si="48"/>
        <v>agosto</v>
      </c>
      <c r="G1584">
        <f t="shared" si="49"/>
        <v>2023</v>
      </c>
    </row>
    <row r="1585" spans="1:7" x14ac:dyDescent="0.25">
      <c r="A1585">
        <v>4030100</v>
      </c>
      <c r="B1585" s="1">
        <v>45139</v>
      </c>
      <c r="C1585" t="s">
        <v>200</v>
      </c>
      <c r="D1585">
        <v>436.5</v>
      </c>
      <c r="E1585">
        <v>2694.12</v>
      </c>
      <c r="F1585" t="str">
        <f t="shared" si="48"/>
        <v>agosto</v>
      </c>
      <c r="G1585">
        <f t="shared" si="49"/>
        <v>2023</v>
      </c>
    </row>
    <row r="1586" spans="1:7" x14ac:dyDescent="0.25">
      <c r="A1586">
        <v>4030211</v>
      </c>
      <c r="B1586" s="1">
        <v>45139</v>
      </c>
      <c r="C1586" t="s">
        <v>202</v>
      </c>
      <c r="D1586">
        <v>1220.52</v>
      </c>
      <c r="E1586">
        <v>7002.24</v>
      </c>
      <c r="F1586" t="str">
        <f t="shared" si="48"/>
        <v>agosto</v>
      </c>
      <c r="G1586">
        <f t="shared" si="49"/>
        <v>2023</v>
      </c>
    </row>
    <row r="1587" spans="1:7" x14ac:dyDescent="0.25">
      <c r="A1587">
        <v>4030311</v>
      </c>
      <c r="B1587" s="1">
        <v>45139</v>
      </c>
      <c r="C1587" t="s">
        <v>311</v>
      </c>
      <c r="D1587">
        <v>267.99</v>
      </c>
      <c r="E1587">
        <v>1825.53</v>
      </c>
      <c r="F1587" t="str">
        <f t="shared" si="48"/>
        <v>agosto</v>
      </c>
      <c r="G1587">
        <f t="shared" si="49"/>
        <v>2023</v>
      </c>
    </row>
    <row r="1588" spans="1:7" x14ac:dyDescent="0.25">
      <c r="A1588">
        <v>4030401</v>
      </c>
      <c r="B1588" s="1">
        <v>45139</v>
      </c>
      <c r="C1588" t="s">
        <v>461</v>
      </c>
      <c r="D1588">
        <v>563.64</v>
      </c>
      <c r="E1588">
        <v>2913.63</v>
      </c>
      <c r="F1588" t="str">
        <f t="shared" si="48"/>
        <v>agosto</v>
      </c>
      <c r="G1588">
        <f t="shared" si="49"/>
        <v>2023</v>
      </c>
    </row>
    <row r="1589" spans="1:7" x14ac:dyDescent="0.25">
      <c r="A1589">
        <v>4030511</v>
      </c>
      <c r="B1589" s="1">
        <v>45139</v>
      </c>
      <c r="C1589" t="s">
        <v>208</v>
      </c>
      <c r="D1589">
        <v>19.25</v>
      </c>
      <c r="E1589">
        <v>114.57</v>
      </c>
      <c r="F1589" t="str">
        <f t="shared" si="48"/>
        <v>agosto</v>
      </c>
      <c r="G1589">
        <f t="shared" si="49"/>
        <v>2023</v>
      </c>
    </row>
    <row r="1590" spans="1:7" x14ac:dyDescent="0.25">
      <c r="A1590">
        <v>4030532</v>
      </c>
      <c r="B1590" s="1">
        <v>45139</v>
      </c>
      <c r="C1590" t="s">
        <v>210</v>
      </c>
      <c r="D1590">
        <v>25.5</v>
      </c>
      <c r="E1590">
        <v>150.29</v>
      </c>
      <c r="F1590" t="str">
        <f t="shared" si="48"/>
        <v>agosto</v>
      </c>
      <c r="G1590">
        <f t="shared" si="49"/>
        <v>2023</v>
      </c>
    </row>
    <row r="1591" spans="1:7" x14ac:dyDescent="0.25">
      <c r="A1591">
        <v>4030600</v>
      </c>
      <c r="B1591" s="1">
        <v>45139</v>
      </c>
      <c r="C1591" t="s">
        <v>212</v>
      </c>
      <c r="D1591">
        <v>613.20000000000005</v>
      </c>
      <c r="E1591">
        <v>1932.79</v>
      </c>
      <c r="F1591" t="str">
        <f t="shared" si="48"/>
        <v>agosto</v>
      </c>
      <c r="G1591">
        <f t="shared" si="49"/>
        <v>2023</v>
      </c>
    </row>
    <row r="1592" spans="1:7" x14ac:dyDescent="0.25">
      <c r="A1592">
        <v>4030711</v>
      </c>
      <c r="B1592" s="1">
        <v>45139</v>
      </c>
      <c r="C1592" t="s">
        <v>214</v>
      </c>
      <c r="D1592">
        <v>1368.91</v>
      </c>
      <c r="E1592">
        <v>4584.43</v>
      </c>
      <c r="F1592" t="str">
        <f t="shared" si="48"/>
        <v>agosto</v>
      </c>
      <c r="G1592">
        <f t="shared" si="49"/>
        <v>2023</v>
      </c>
    </row>
    <row r="1593" spans="1:7" x14ac:dyDescent="0.25">
      <c r="A1593">
        <v>4030811</v>
      </c>
      <c r="B1593" s="1">
        <v>45139</v>
      </c>
      <c r="C1593" t="s">
        <v>722</v>
      </c>
      <c r="D1593">
        <v>1948.46</v>
      </c>
      <c r="E1593">
        <v>6158.37</v>
      </c>
      <c r="F1593" t="str">
        <f t="shared" si="48"/>
        <v>agosto</v>
      </c>
      <c r="G1593">
        <f t="shared" si="49"/>
        <v>2023</v>
      </c>
    </row>
    <row r="1594" spans="1:7" x14ac:dyDescent="0.25">
      <c r="A1594">
        <v>4030813</v>
      </c>
      <c r="B1594" s="1">
        <v>45139</v>
      </c>
      <c r="C1594" t="s">
        <v>723</v>
      </c>
      <c r="D1594">
        <v>977.45</v>
      </c>
      <c r="E1594">
        <v>2894.54</v>
      </c>
      <c r="F1594" t="str">
        <f t="shared" si="48"/>
        <v>agosto</v>
      </c>
      <c r="G1594">
        <f t="shared" si="49"/>
        <v>2023</v>
      </c>
    </row>
    <row r="1595" spans="1:7" x14ac:dyDescent="0.25">
      <c r="A1595">
        <v>4030900</v>
      </c>
      <c r="B1595" s="1">
        <v>45139</v>
      </c>
      <c r="C1595" t="s">
        <v>220</v>
      </c>
      <c r="D1595">
        <v>6423.34</v>
      </c>
      <c r="E1595">
        <v>19479.349999999999</v>
      </c>
      <c r="F1595" t="str">
        <f t="shared" si="48"/>
        <v>agosto</v>
      </c>
      <c r="G1595">
        <f t="shared" si="49"/>
        <v>2023</v>
      </c>
    </row>
    <row r="1596" spans="1:7" x14ac:dyDescent="0.25">
      <c r="A1596">
        <v>4030910</v>
      </c>
      <c r="B1596" s="1">
        <v>45139</v>
      </c>
      <c r="C1596" t="s">
        <v>724</v>
      </c>
      <c r="D1596">
        <v>136.4</v>
      </c>
      <c r="E1596">
        <v>444.23</v>
      </c>
      <c r="F1596" t="str">
        <f t="shared" si="48"/>
        <v>agosto</v>
      </c>
      <c r="G1596">
        <f t="shared" si="49"/>
        <v>2023</v>
      </c>
    </row>
    <row r="1597" spans="1:7" x14ac:dyDescent="0.25">
      <c r="A1597">
        <v>4031012</v>
      </c>
      <c r="B1597" s="1">
        <v>45139</v>
      </c>
      <c r="C1597" t="s">
        <v>224</v>
      </c>
      <c r="D1597">
        <v>1185.49</v>
      </c>
      <c r="E1597">
        <v>3690.19</v>
      </c>
      <c r="F1597" t="str">
        <f t="shared" si="48"/>
        <v>agosto</v>
      </c>
      <c r="G1597">
        <f t="shared" si="49"/>
        <v>2023</v>
      </c>
    </row>
    <row r="1598" spans="1:7" x14ac:dyDescent="0.25">
      <c r="A1598">
        <v>4031017</v>
      </c>
      <c r="B1598" s="1">
        <v>45139</v>
      </c>
      <c r="C1598" t="s">
        <v>226</v>
      </c>
      <c r="D1598">
        <v>2923</v>
      </c>
      <c r="E1598">
        <v>1950.18</v>
      </c>
      <c r="F1598" t="str">
        <f t="shared" si="48"/>
        <v>agosto</v>
      </c>
      <c r="G1598">
        <f t="shared" si="49"/>
        <v>2023</v>
      </c>
    </row>
    <row r="1599" spans="1:7" x14ac:dyDescent="0.25">
      <c r="A1599">
        <v>4031102</v>
      </c>
      <c r="B1599" s="1">
        <v>45139</v>
      </c>
      <c r="C1599" t="s">
        <v>228</v>
      </c>
      <c r="D1599">
        <v>12694.64</v>
      </c>
      <c r="E1599">
        <v>37235.67</v>
      </c>
      <c r="F1599" t="str">
        <f t="shared" si="48"/>
        <v>agosto</v>
      </c>
      <c r="G1599">
        <f t="shared" si="49"/>
        <v>2023</v>
      </c>
    </row>
    <row r="1600" spans="1:7" x14ac:dyDescent="0.25">
      <c r="A1600">
        <v>4031200</v>
      </c>
      <c r="B1600" s="1">
        <v>45139</v>
      </c>
      <c r="C1600" t="s">
        <v>230</v>
      </c>
      <c r="D1600">
        <v>1240.28</v>
      </c>
      <c r="E1600">
        <v>3726.61</v>
      </c>
      <c r="F1600" t="str">
        <f t="shared" si="48"/>
        <v>agosto</v>
      </c>
      <c r="G1600">
        <f t="shared" si="49"/>
        <v>2023</v>
      </c>
    </row>
    <row r="1601" spans="1:7" x14ac:dyDescent="0.25">
      <c r="A1601">
        <v>4031304</v>
      </c>
      <c r="B1601" s="1">
        <v>45139</v>
      </c>
      <c r="C1601" t="s">
        <v>232</v>
      </c>
      <c r="D1601">
        <v>1835.47</v>
      </c>
      <c r="E1601">
        <v>5325.53</v>
      </c>
      <c r="F1601" t="str">
        <f t="shared" si="48"/>
        <v>agosto</v>
      </c>
      <c r="G1601">
        <f t="shared" si="49"/>
        <v>2023</v>
      </c>
    </row>
    <row r="1602" spans="1:7" x14ac:dyDescent="0.25">
      <c r="A1602">
        <v>4031411</v>
      </c>
      <c r="B1602" s="1">
        <v>45139</v>
      </c>
      <c r="C1602" t="s">
        <v>234</v>
      </c>
      <c r="D1602">
        <v>24.99</v>
      </c>
      <c r="E1602">
        <v>81.150000000000006</v>
      </c>
      <c r="F1602" t="str">
        <f t="shared" si="48"/>
        <v>agosto</v>
      </c>
      <c r="G1602">
        <f t="shared" si="49"/>
        <v>2023</v>
      </c>
    </row>
    <row r="1603" spans="1:7" x14ac:dyDescent="0.25">
      <c r="A1603">
        <v>4031500</v>
      </c>
      <c r="B1603" s="1">
        <v>45139</v>
      </c>
      <c r="C1603" t="s">
        <v>236</v>
      </c>
      <c r="D1603">
        <v>6550.8</v>
      </c>
      <c r="E1603">
        <v>18551.34</v>
      </c>
      <c r="F1603" t="str">
        <f t="shared" ref="F1603:F1666" si="50">TEXT(B1603,"mmmm")</f>
        <v>agosto</v>
      </c>
      <c r="G1603">
        <f t="shared" ref="G1603:G1666" si="51">YEAR(B1603)</f>
        <v>2023</v>
      </c>
    </row>
    <row r="1604" spans="1:7" x14ac:dyDescent="0.25">
      <c r="A1604">
        <v>4031604</v>
      </c>
      <c r="B1604" s="1">
        <v>45139</v>
      </c>
      <c r="C1604" t="s">
        <v>238</v>
      </c>
      <c r="D1604">
        <v>8040.57</v>
      </c>
      <c r="E1604">
        <v>21929.32</v>
      </c>
      <c r="F1604" t="str">
        <f t="shared" si="50"/>
        <v>agosto</v>
      </c>
      <c r="G1604">
        <f t="shared" si="51"/>
        <v>2023</v>
      </c>
    </row>
    <row r="1605" spans="1:7" x14ac:dyDescent="0.25">
      <c r="A1605">
        <v>4031605</v>
      </c>
      <c r="B1605" s="1">
        <v>45139</v>
      </c>
      <c r="C1605" t="s">
        <v>240</v>
      </c>
      <c r="D1605">
        <v>5.78</v>
      </c>
      <c r="E1605">
        <v>19.649999999999999</v>
      </c>
      <c r="F1605" t="str">
        <f t="shared" si="50"/>
        <v>agosto</v>
      </c>
      <c r="G1605">
        <f t="shared" si="51"/>
        <v>2023</v>
      </c>
    </row>
    <row r="1606" spans="1:7" x14ac:dyDescent="0.25">
      <c r="A1606">
        <v>4031700</v>
      </c>
      <c r="B1606" s="1">
        <v>45139</v>
      </c>
      <c r="C1606" t="s">
        <v>242</v>
      </c>
      <c r="D1606">
        <v>725.6</v>
      </c>
      <c r="E1606">
        <v>2164.34</v>
      </c>
      <c r="F1606" t="str">
        <f t="shared" si="50"/>
        <v>agosto</v>
      </c>
      <c r="G1606">
        <f t="shared" si="51"/>
        <v>2023</v>
      </c>
    </row>
    <row r="1607" spans="1:7" x14ac:dyDescent="0.25">
      <c r="A1607">
        <v>4031812</v>
      </c>
      <c r="B1607" s="1">
        <v>45139</v>
      </c>
      <c r="C1607" t="s">
        <v>244</v>
      </c>
      <c r="D1607">
        <v>612.48</v>
      </c>
      <c r="E1607">
        <v>1860.92</v>
      </c>
      <c r="F1607" t="str">
        <f t="shared" si="50"/>
        <v>agosto</v>
      </c>
      <c r="G1607">
        <f t="shared" si="51"/>
        <v>2023</v>
      </c>
    </row>
    <row r="1608" spans="1:7" x14ac:dyDescent="0.25">
      <c r="A1608">
        <v>4031813</v>
      </c>
      <c r="B1608" s="1">
        <v>45139</v>
      </c>
      <c r="C1608" t="s">
        <v>464</v>
      </c>
      <c r="D1608">
        <v>350</v>
      </c>
      <c r="E1608">
        <v>234.5</v>
      </c>
      <c r="F1608" t="str">
        <f t="shared" si="50"/>
        <v>agosto</v>
      </c>
      <c r="G1608">
        <f t="shared" si="51"/>
        <v>2023</v>
      </c>
    </row>
    <row r="1609" spans="1:7" x14ac:dyDescent="0.25">
      <c r="A1609">
        <v>4031904</v>
      </c>
      <c r="B1609" s="1">
        <v>45139</v>
      </c>
      <c r="C1609" t="s">
        <v>246</v>
      </c>
      <c r="D1609">
        <v>1284.51</v>
      </c>
      <c r="E1609">
        <v>3777.48</v>
      </c>
      <c r="F1609" t="str">
        <f t="shared" si="50"/>
        <v>agosto</v>
      </c>
      <c r="G1609">
        <f t="shared" si="51"/>
        <v>2023</v>
      </c>
    </row>
    <row r="1610" spans="1:7" x14ac:dyDescent="0.25">
      <c r="A1610">
        <v>4032111</v>
      </c>
      <c r="B1610" s="1">
        <v>45139</v>
      </c>
      <c r="C1610" t="s">
        <v>314</v>
      </c>
      <c r="D1610">
        <v>4.4000000000000004</v>
      </c>
      <c r="E1610">
        <v>22.66</v>
      </c>
      <c r="F1610" t="str">
        <f t="shared" si="50"/>
        <v>agosto</v>
      </c>
      <c r="G1610">
        <f t="shared" si="51"/>
        <v>2023</v>
      </c>
    </row>
    <row r="1611" spans="1:7" x14ac:dyDescent="0.25">
      <c r="A1611">
        <v>4032204</v>
      </c>
      <c r="B1611" s="1">
        <v>45139</v>
      </c>
      <c r="C1611" t="s">
        <v>315</v>
      </c>
      <c r="D1611">
        <v>15.12</v>
      </c>
      <c r="E1611">
        <v>77.510000000000005</v>
      </c>
      <c r="F1611" t="str">
        <f t="shared" si="50"/>
        <v>agosto</v>
      </c>
      <c r="G1611">
        <f t="shared" si="51"/>
        <v>2023</v>
      </c>
    </row>
    <row r="1612" spans="1:7" x14ac:dyDescent="0.25">
      <c r="A1612">
        <v>4032205</v>
      </c>
      <c r="B1612" s="1">
        <v>45139</v>
      </c>
      <c r="C1612" t="s">
        <v>553</v>
      </c>
      <c r="D1612">
        <v>219.9</v>
      </c>
      <c r="E1612">
        <v>1118.1300000000001</v>
      </c>
      <c r="F1612" t="str">
        <f t="shared" si="50"/>
        <v>agosto</v>
      </c>
      <c r="G1612">
        <f t="shared" si="51"/>
        <v>2023</v>
      </c>
    </row>
    <row r="1613" spans="1:7" x14ac:dyDescent="0.25">
      <c r="A1613">
        <v>4032206</v>
      </c>
      <c r="B1613" s="1">
        <v>45139</v>
      </c>
      <c r="C1613" t="s">
        <v>555</v>
      </c>
      <c r="D1613">
        <v>45.77</v>
      </c>
      <c r="E1613">
        <v>243.5</v>
      </c>
      <c r="F1613" t="str">
        <f t="shared" si="50"/>
        <v>agosto</v>
      </c>
      <c r="G1613">
        <f t="shared" si="51"/>
        <v>2023</v>
      </c>
    </row>
    <row r="1614" spans="1:7" x14ac:dyDescent="0.25">
      <c r="A1614">
        <v>4032312</v>
      </c>
      <c r="B1614" s="1">
        <v>45139</v>
      </c>
      <c r="C1614" t="s">
        <v>252</v>
      </c>
      <c r="D1614">
        <v>601.92999999999995</v>
      </c>
      <c r="E1614">
        <v>2548.63</v>
      </c>
      <c r="F1614" t="str">
        <f t="shared" si="50"/>
        <v>agosto</v>
      </c>
      <c r="G1614">
        <f t="shared" si="51"/>
        <v>2023</v>
      </c>
    </row>
    <row r="1615" spans="1:7" x14ac:dyDescent="0.25">
      <c r="A1615">
        <v>4032404</v>
      </c>
      <c r="B1615" s="1">
        <v>45139</v>
      </c>
      <c r="C1615" t="s">
        <v>254</v>
      </c>
      <c r="D1615">
        <v>148.88</v>
      </c>
      <c r="E1615">
        <v>661.97</v>
      </c>
      <c r="F1615" t="str">
        <f t="shared" si="50"/>
        <v>agosto</v>
      </c>
      <c r="G1615">
        <f t="shared" si="51"/>
        <v>2023</v>
      </c>
    </row>
    <row r="1616" spans="1:7" x14ac:dyDescent="0.25">
      <c r="A1616">
        <v>4032500</v>
      </c>
      <c r="B1616" s="1">
        <v>45139</v>
      </c>
      <c r="C1616" t="s">
        <v>256</v>
      </c>
      <c r="D1616">
        <v>426.6</v>
      </c>
      <c r="E1616">
        <v>1166.27</v>
      </c>
      <c r="F1616" t="str">
        <f t="shared" si="50"/>
        <v>agosto</v>
      </c>
      <c r="G1616">
        <f t="shared" si="51"/>
        <v>2023</v>
      </c>
    </row>
    <row r="1617" spans="1:7" x14ac:dyDescent="0.25">
      <c r="A1617">
        <v>4032611</v>
      </c>
      <c r="B1617" s="1">
        <v>45139</v>
      </c>
      <c r="C1617" t="s">
        <v>258</v>
      </c>
      <c r="D1617">
        <v>396.25</v>
      </c>
      <c r="E1617">
        <v>1095.33</v>
      </c>
      <c r="F1617" t="str">
        <f t="shared" si="50"/>
        <v>agosto</v>
      </c>
      <c r="G1617">
        <f t="shared" si="51"/>
        <v>2023</v>
      </c>
    </row>
    <row r="1618" spans="1:7" x14ac:dyDescent="0.25">
      <c r="A1618">
        <v>4032704</v>
      </c>
      <c r="B1618" s="1">
        <v>45139</v>
      </c>
      <c r="C1618" t="s">
        <v>260</v>
      </c>
      <c r="D1618">
        <v>332.11</v>
      </c>
      <c r="E1618">
        <v>972.18</v>
      </c>
      <c r="F1618" t="str">
        <f t="shared" si="50"/>
        <v>agosto</v>
      </c>
      <c r="G1618">
        <f t="shared" si="51"/>
        <v>2023</v>
      </c>
    </row>
    <row r="1619" spans="1:7" x14ac:dyDescent="0.25">
      <c r="A1619">
        <v>4032800</v>
      </c>
      <c r="B1619" s="1">
        <v>45139</v>
      </c>
      <c r="C1619" t="s">
        <v>262</v>
      </c>
      <c r="D1619">
        <v>127.3</v>
      </c>
      <c r="E1619">
        <v>715.61</v>
      </c>
      <c r="F1619" t="str">
        <f t="shared" si="50"/>
        <v>agosto</v>
      </c>
      <c r="G1619">
        <f t="shared" si="51"/>
        <v>2023</v>
      </c>
    </row>
    <row r="1620" spans="1:7" x14ac:dyDescent="0.25">
      <c r="A1620">
        <v>4032902</v>
      </c>
      <c r="B1620" s="1">
        <v>45139</v>
      </c>
      <c r="C1620" t="s">
        <v>264</v>
      </c>
      <c r="D1620">
        <v>278.93</v>
      </c>
      <c r="E1620">
        <v>1439.61</v>
      </c>
      <c r="F1620" t="str">
        <f t="shared" si="50"/>
        <v>agosto</v>
      </c>
      <c r="G1620">
        <f t="shared" si="51"/>
        <v>2023</v>
      </c>
    </row>
    <row r="1621" spans="1:7" x14ac:dyDescent="0.25">
      <c r="A1621">
        <v>4033011</v>
      </c>
      <c r="B1621" s="1">
        <v>45139</v>
      </c>
      <c r="C1621" t="s">
        <v>266</v>
      </c>
      <c r="D1621">
        <v>42.37</v>
      </c>
      <c r="E1621">
        <v>218.2</v>
      </c>
      <c r="F1621" t="str">
        <f t="shared" si="50"/>
        <v>agosto</v>
      </c>
      <c r="G1621">
        <f t="shared" si="51"/>
        <v>2023</v>
      </c>
    </row>
    <row r="1622" spans="1:7" x14ac:dyDescent="0.25">
      <c r="A1622">
        <v>4033111</v>
      </c>
      <c r="B1622" s="1">
        <v>45139</v>
      </c>
      <c r="C1622" t="s">
        <v>268</v>
      </c>
      <c r="D1622">
        <v>770.7</v>
      </c>
      <c r="E1622">
        <v>3287.39</v>
      </c>
      <c r="F1622" t="str">
        <f t="shared" si="50"/>
        <v>agosto</v>
      </c>
      <c r="G1622">
        <f t="shared" si="51"/>
        <v>2023</v>
      </c>
    </row>
    <row r="1623" spans="1:7" x14ac:dyDescent="0.25">
      <c r="A1623">
        <v>4033211</v>
      </c>
      <c r="B1623" s="1">
        <v>45139</v>
      </c>
      <c r="C1623" t="s">
        <v>270</v>
      </c>
      <c r="D1623">
        <v>15.97</v>
      </c>
      <c r="E1623">
        <v>73.22</v>
      </c>
      <c r="F1623" t="str">
        <f t="shared" si="50"/>
        <v>agosto</v>
      </c>
      <c r="G1623">
        <f t="shared" si="51"/>
        <v>2023</v>
      </c>
    </row>
    <row r="1624" spans="1:7" x14ac:dyDescent="0.25">
      <c r="A1624">
        <v>4033311</v>
      </c>
      <c r="B1624" s="1">
        <v>45139</v>
      </c>
      <c r="C1624" t="s">
        <v>272</v>
      </c>
      <c r="D1624">
        <v>10.14</v>
      </c>
      <c r="E1624">
        <v>63.76</v>
      </c>
      <c r="F1624" t="str">
        <f t="shared" si="50"/>
        <v>agosto</v>
      </c>
      <c r="G1624">
        <f t="shared" si="51"/>
        <v>2023</v>
      </c>
    </row>
    <row r="1625" spans="1:7" x14ac:dyDescent="0.25">
      <c r="A1625">
        <v>4033400</v>
      </c>
      <c r="B1625" s="1">
        <v>45139</v>
      </c>
      <c r="C1625" t="s">
        <v>274</v>
      </c>
      <c r="D1625">
        <v>551.79999999999995</v>
      </c>
      <c r="E1625">
        <v>1683.88</v>
      </c>
      <c r="F1625" t="str">
        <f t="shared" si="50"/>
        <v>agosto</v>
      </c>
      <c r="G1625">
        <f t="shared" si="51"/>
        <v>2023</v>
      </c>
    </row>
    <row r="1626" spans="1:7" x14ac:dyDescent="0.25">
      <c r="A1626">
        <v>4033511</v>
      </c>
      <c r="B1626" s="1">
        <v>45139</v>
      </c>
      <c r="C1626" t="s">
        <v>276</v>
      </c>
      <c r="D1626">
        <v>1378.33</v>
      </c>
      <c r="E1626">
        <v>4378.53</v>
      </c>
      <c r="F1626" t="str">
        <f t="shared" si="50"/>
        <v>agosto</v>
      </c>
      <c r="G1626">
        <f t="shared" si="51"/>
        <v>2023</v>
      </c>
    </row>
    <row r="1627" spans="1:7" x14ac:dyDescent="0.25">
      <c r="A1627">
        <v>4033900</v>
      </c>
      <c r="B1627" s="1">
        <v>45139</v>
      </c>
      <c r="C1627" t="s">
        <v>725</v>
      </c>
      <c r="D1627">
        <v>58.93</v>
      </c>
      <c r="E1627">
        <v>292.56</v>
      </c>
      <c r="F1627" t="str">
        <f t="shared" si="50"/>
        <v>agosto</v>
      </c>
      <c r="G1627">
        <f t="shared" si="51"/>
        <v>2023</v>
      </c>
    </row>
    <row r="1628" spans="1:7" x14ac:dyDescent="0.25">
      <c r="A1628">
        <v>4034011</v>
      </c>
      <c r="B1628" s="1">
        <v>45139</v>
      </c>
      <c r="C1628" t="s">
        <v>726</v>
      </c>
      <c r="D1628">
        <v>1501.02</v>
      </c>
      <c r="E1628">
        <v>7739.4</v>
      </c>
      <c r="F1628" t="str">
        <f t="shared" si="50"/>
        <v>agosto</v>
      </c>
      <c r="G1628">
        <f t="shared" si="51"/>
        <v>2023</v>
      </c>
    </row>
    <row r="1629" spans="1:7" x14ac:dyDescent="0.25">
      <c r="A1629">
        <v>4034116</v>
      </c>
      <c r="B1629" s="1">
        <v>45139</v>
      </c>
      <c r="C1629" t="s">
        <v>727</v>
      </c>
      <c r="D1629">
        <v>7.04</v>
      </c>
      <c r="E1629">
        <v>23.94</v>
      </c>
      <c r="F1629" t="str">
        <f t="shared" si="50"/>
        <v>agosto</v>
      </c>
      <c r="G1629">
        <f t="shared" si="51"/>
        <v>2023</v>
      </c>
    </row>
    <row r="1630" spans="1:7" x14ac:dyDescent="0.25">
      <c r="A1630">
        <v>4034211</v>
      </c>
      <c r="B1630" s="1">
        <v>45139</v>
      </c>
      <c r="C1630" t="s">
        <v>728</v>
      </c>
      <c r="D1630">
        <v>145.43</v>
      </c>
      <c r="E1630">
        <v>627.85</v>
      </c>
      <c r="F1630" t="str">
        <f t="shared" si="50"/>
        <v>agosto</v>
      </c>
      <c r="G1630">
        <f t="shared" si="51"/>
        <v>2023</v>
      </c>
    </row>
    <row r="1631" spans="1:7" x14ac:dyDescent="0.25">
      <c r="A1631">
        <v>4034400</v>
      </c>
      <c r="B1631" s="1">
        <v>45139</v>
      </c>
      <c r="C1631" t="s">
        <v>284</v>
      </c>
      <c r="D1631">
        <v>75.7</v>
      </c>
      <c r="E1631">
        <v>204.23</v>
      </c>
      <c r="F1631" t="str">
        <f t="shared" si="50"/>
        <v>agosto</v>
      </c>
      <c r="G1631">
        <f t="shared" si="51"/>
        <v>2023</v>
      </c>
    </row>
    <row r="1632" spans="1:7" x14ac:dyDescent="0.25">
      <c r="A1632">
        <v>4034502</v>
      </c>
      <c r="B1632" s="1">
        <v>45139</v>
      </c>
      <c r="C1632" t="s">
        <v>286</v>
      </c>
      <c r="D1632">
        <v>71.64</v>
      </c>
      <c r="E1632">
        <v>202.33</v>
      </c>
      <c r="F1632" t="str">
        <f t="shared" si="50"/>
        <v>agosto</v>
      </c>
      <c r="G1632">
        <f t="shared" si="51"/>
        <v>2023</v>
      </c>
    </row>
    <row r="1633" spans="1:7" x14ac:dyDescent="0.25">
      <c r="A1633">
        <v>8030004</v>
      </c>
      <c r="B1633" s="1">
        <v>45139</v>
      </c>
      <c r="C1633" t="s">
        <v>697</v>
      </c>
      <c r="D1633">
        <v>9</v>
      </c>
      <c r="E1633">
        <v>90</v>
      </c>
      <c r="F1633" t="str">
        <f t="shared" si="50"/>
        <v>agosto</v>
      </c>
      <c r="G1633">
        <f t="shared" si="51"/>
        <v>2023</v>
      </c>
    </row>
    <row r="1634" spans="1:7" x14ac:dyDescent="0.25">
      <c r="A1634">
        <v>8040001</v>
      </c>
      <c r="B1634" s="1">
        <v>45139</v>
      </c>
      <c r="C1634" t="s">
        <v>557</v>
      </c>
      <c r="D1634">
        <v>9</v>
      </c>
      <c r="E1634">
        <v>59.4</v>
      </c>
      <c r="F1634" t="str">
        <f t="shared" si="50"/>
        <v>agosto</v>
      </c>
      <c r="G1634">
        <f t="shared" si="51"/>
        <v>2023</v>
      </c>
    </row>
    <row r="1635" spans="1:7" x14ac:dyDescent="0.25">
      <c r="A1635">
        <v>8040008</v>
      </c>
      <c r="B1635" s="1">
        <v>45139</v>
      </c>
      <c r="C1635" t="s">
        <v>318</v>
      </c>
      <c r="D1635">
        <v>32</v>
      </c>
      <c r="E1635">
        <v>432</v>
      </c>
      <c r="F1635" t="str">
        <f t="shared" si="50"/>
        <v>agosto</v>
      </c>
      <c r="G1635">
        <f t="shared" si="51"/>
        <v>2023</v>
      </c>
    </row>
    <row r="1636" spans="1:7" x14ac:dyDescent="0.25">
      <c r="A1636">
        <v>8040009</v>
      </c>
      <c r="B1636" s="1">
        <v>45139</v>
      </c>
      <c r="C1636" t="s">
        <v>729</v>
      </c>
      <c r="D1636">
        <v>912</v>
      </c>
      <c r="E1636">
        <v>5617.2</v>
      </c>
      <c r="F1636" t="str">
        <f t="shared" si="50"/>
        <v>agosto</v>
      </c>
      <c r="G1636">
        <f t="shared" si="51"/>
        <v>2023</v>
      </c>
    </row>
    <row r="1637" spans="1:7" x14ac:dyDescent="0.25">
      <c r="A1637">
        <v>8040011</v>
      </c>
      <c r="B1637" s="1">
        <v>45139</v>
      </c>
      <c r="C1637" t="s">
        <v>560</v>
      </c>
      <c r="D1637">
        <v>19</v>
      </c>
      <c r="E1637">
        <v>56.81</v>
      </c>
      <c r="F1637" t="str">
        <f t="shared" si="50"/>
        <v>agosto</v>
      </c>
      <c r="G1637">
        <f t="shared" si="51"/>
        <v>2023</v>
      </c>
    </row>
    <row r="1638" spans="1:7" x14ac:dyDescent="0.25">
      <c r="A1638">
        <v>8040030</v>
      </c>
      <c r="B1638" s="1">
        <v>45139</v>
      </c>
      <c r="C1638" t="s">
        <v>730</v>
      </c>
      <c r="D1638">
        <v>6300</v>
      </c>
      <c r="E1638">
        <v>29610</v>
      </c>
      <c r="F1638" t="str">
        <f t="shared" si="50"/>
        <v>agosto</v>
      </c>
      <c r="G1638">
        <f t="shared" si="51"/>
        <v>2023</v>
      </c>
    </row>
    <row r="1639" spans="1:7" x14ac:dyDescent="0.25">
      <c r="A1639">
        <v>8040031</v>
      </c>
      <c r="B1639" s="1">
        <v>45139</v>
      </c>
      <c r="C1639" t="s">
        <v>731</v>
      </c>
      <c r="D1639">
        <v>5040</v>
      </c>
      <c r="E1639">
        <v>14414</v>
      </c>
      <c r="F1639" t="str">
        <f t="shared" si="50"/>
        <v>agosto</v>
      </c>
      <c r="G1639">
        <f t="shared" si="51"/>
        <v>2023</v>
      </c>
    </row>
    <row r="1640" spans="1:7" x14ac:dyDescent="0.25">
      <c r="A1640">
        <v>8040032</v>
      </c>
      <c r="B1640" s="1">
        <v>45139</v>
      </c>
      <c r="C1640" t="s">
        <v>732</v>
      </c>
      <c r="D1640">
        <v>3360</v>
      </c>
      <c r="E1640">
        <v>24057.599999999999</v>
      </c>
      <c r="F1640" t="str">
        <f t="shared" si="50"/>
        <v>agosto</v>
      </c>
      <c r="G1640">
        <f t="shared" si="51"/>
        <v>2023</v>
      </c>
    </row>
    <row r="1641" spans="1:7" x14ac:dyDescent="0.25">
      <c r="A1641">
        <v>8040039</v>
      </c>
      <c r="B1641" s="1">
        <v>45139</v>
      </c>
      <c r="C1641" t="s">
        <v>564</v>
      </c>
      <c r="D1641">
        <v>6.54</v>
      </c>
      <c r="E1641">
        <v>89.65</v>
      </c>
      <c r="F1641" t="str">
        <f t="shared" si="50"/>
        <v>agosto</v>
      </c>
      <c r="G1641">
        <f t="shared" si="51"/>
        <v>2023</v>
      </c>
    </row>
    <row r="1642" spans="1:7" x14ac:dyDescent="0.25">
      <c r="A1642">
        <v>8040040</v>
      </c>
      <c r="B1642" s="1">
        <v>45139</v>
      </c>
      <c r="C1642" t="s">
        <v>698</v>
      </c>
      <c r="D1642">
        <v>1008</v>
      </c>
      <c r="E1642">
        <v>5241.6000000000004</v>
      </c>
      <c r="F1642" t="str">
        <f t="shared" si="50"/>
        <v>agosto</v>
      </c>
      <c r="G1642">
        <f t="shared" si="51"/>
        <v>2023</v>
      </c>
    </row>
    <row r="1643" spans="1:7" x14ac:dyDescent="0.25">
      <c r="A1643">
        <v>8040046</v>
      </c>
      <c r="B1643" s="1">
        <v>45139</v>
      </c>
      <c r="C1643" t="s">
        <v>733</v>
      </c>
      <c r="D1643">
        <v>0.86</v>
      </c>
      <c r="E1643">
        <v>0</v>
      </c>
      <c r="F1643" t="str">
        <f t="shared" si="50"/>
        <v>agosto</v>
      </c>
      <c r="G1643">
        <f t="shared" si="51"/>
        <v>2023</v>
      </c>
    </row>
    <row r="1644" spans="1:7" x14ac:dyDescent="0.25">
      <c r="A1644">
        <v>8040048</v>
      </c>
      <c r="B1644" s="1">
        <v>45139</v>
      </c>
      <c r="C1644" t="s">
        <v>699</v>
      </c>
      <c r="D1644">
        <v>64</v>
      </c>
      <c r="E1644">
        <v>150.4</v>
      </c>
      <c r="F1644" t="str">
        <f t="shared" si="50"/>
        <v>agosto</v>
      </c>
      <c r="G1644">
        <f t="shared" si="51"/>
        <v>2023</v>
      </c>
    </row>
    <row r="1645" spans="1:7" x14ac:dyDescent="0.25">
      <c r="A1645">
        <v>8040049</v>
      </c>
      <c r="B1645" s="1">
        <v>45139</v>
      </c>
      <c r="C1645" t="s">
        <v>643</v>
      </c>
      <c r="D1645">
        <v>0.69</v>
      </c>
      <c r="E1645">
        <v>0</v>
      </c>
      <c r="F1645" t="str">
        <f t="shared" si="50"/>
        <v>agosto</v>
      </c>
      <c r="G1645">
        <f t="shared" si="51"/>
        <v>2023</v>
      </c>
    </row>
    <row r="1646" spans="1:7" x14ac:dyDescent="0.25">
      <c r="A1646">
        <v>8040051</v>
      </c>
      <c r="B1646" s="1">
        <v>45139</v>
      </c>
      <c r="C1646" t="s">
        <v>644</v>
      </c>
      <c r="D1646">
        <v>2755.15</v>
      </c>
      <c r="E1646">
        <v>29459.27</v>
      </c>
      <c r="F1646" t="str">
        <f t="shared" si="50"/>
        <v>agosto</v>
      </c>
      <c r="G1646">
        <f t="shared" si="51"/>
        <v>2023</v>
      </c>
    </row>
    <row r="1647" spans="1:7" x14ac:dyDescent="0.25">
      <c r="A1647">
        <v>8040052</v>
      </c>
      <c r="B1647" s="1">
        <v>45139</v>
      </c>
      <c r="C1647" t="s">
        <v>700</v>
      </c>
      <c r="D1647">
        <v>14</v>
      </c>
      <c r="E1647">
        <v>163.80000000000001</v>
      </c>
      <c r="F1647" t="str">
        <f t="shared" si="50"/>
        <v>agosto</v>
      </c>
      <c r="G1647">
        <f t="shared" si="51"/>
        <v>2023</v>
      </c>
    </row>
    <row r="1648" spans="1:7" x14ac:dyDescent="0.25">
      <c r="A1648">
        <v>8040057</v>
      </c>
      <c r="B1648" s="1">
        <v>45139</v>
      </c>
      <c r="C1648" t="s">
        <v>734</v>
      </c>
      <c r="D1648">
        <v>4</v>
      </c>
      <c r="E1648">
        <v>19.2</v>
      </c>
      <c r="F1648" t="str">
        <f t="shared" si="50"/>
        <v>agosto</v>
      </c>
      <c r="G1648">
        <f t="shared" si="51"/>
        <v>2023</v>
      </c>
    </row>
    <row r="1649" spans="1:7" x14ac:dyDescent="0.25">
      <c r="A1649">
        <v>8050002</v>
      </c>
      <c r="B1649" s="1">
        <v>45139</v>
      </c>
      <c r="C1649" t="s">
        <v>322</v>
      </c>
      <c r="D1649">
        <v>7</v>
      </c>
      <c r="E1649">
        <v>45.22</v>
      </c>
      <c r="F1649" t="str">
        <f t="shared" si="50"/>
        <v>agosto</v>
      </c>
      <c r="G1649">
        <f t="shared" si="51"/>
        <v>2023</v>
      </c>
    </row>
    <row r="1650" spans="1:7" x14ac:dyDescent="0.25">
      <c r="A1650">
        <v>8050005</v>
      </c>
      <c r="B1650" s="1">
        <v>45139</v>
      </c>
      <c r="C1650" t="s">
        <v>648</v>
      </c>
      <c r="D1650">
        <v>10</v>
      </c>
      <c r="E1650">
        <v>50.4</v>
      </c>
      <c r="F1650" t="str">
        <f t="shared" si="50"/>
        <v>agosto</v>
      </c>
      <c r="G1650">
        <f t="shared" si="51"/>
        <v>2023</v>
      </c>
    </row>
    <row r="1651" spans="1:7" x14ac:dyDescent="0.25">
      <c r="A1651">
        <v>8070009</v>
      </c>
      <c r="B1651" s="1">
        <v>45139</v>
      </c>
      <c r="C1651" t="s">
        <v>581</v>
      </c>
      <c r="D1651">
        <v>56</v>
      </c>
      <c r="E1651">
        <v>173.6</v>
      </c>
      <c r="F1651" t="str">
        <f t="shared" si="50"/>
        <v>agosto</v>
      </c>
      <c r="G1651">
        <f t="shared" si="51"/>
        <v>2023</v>
      </c>
    </row>
    <row r="1652" spans="1:7" x14ac:dyDescent="0.25">
      <c r="A1652">
        <v>8070016</v>
      </c>
      <c r="B1652" s="1">
        <v>45139</v>
      </c>
      <c r="C1652" t="s">
        <v>395</v>
      </c>
      <c r="D1652">
        <v>9</v>
      </c>
      <c r="E1652">
        <v>59.4</v>
      </c>
      <c r="F1652" t="str">
        <f t="shared" si="50"/>
        <v>agosto</v>
      </c>
      <c r="G1652">
        <f t="shared" si="51"/>
        <v>2023</v>
      </c>
    </row>
    <row r="1653" spans="1:7" x14ac:dyDescent="0.25">
      <c r="A1653">
        <v>8070019</v>
      </c>
      <c r="B1653" s="1">
        <v>45139</v>
      </c>
      <c r="C1653" t="s">
        <v>398</v>
      </c>
      <c r="D1653">
        <v>3108</v>
      </c>
      <c r="E1653">
        <v>11188.8</v>
      </c>
      <c r="F1653" t="str">
        <f t="shared" si="50"/>
        <v>agosto</v>
      </c>
      <c r="G1653">
        <f t="shared" si="51"/>
        <v>2023</v>
      </c>
    </row>
    <row r="1654" spans="1:7" x14ac:dyDescent="0.25">
      <c r="A1654">
        <v>8070025</v>
      </c>
      <c r="B1654" s="1">
        <v>45139</v>
      </c>
      <c r="C1654" t="s">
        <v>655</v>
      </c>
      <c r="D1654">
        <v>21</v>
      </c>
      <c r="E1654">
        <v>54.14</v>
      </c>
      <c r="F1654" t="str">
        <f t="shared" si="50"/>
        <v>agosto</v>
      </c>
      <c r="G1654">
        <f t="shared" si="51"/>
        <v>2023</v>
      </c>
    </row>
    <row r="1655" spans="1:7" x14ac:dyDescent="0.25">
      <c r="A1655">
        <v>8070026</v>
      </c>
      <c r="B1655" s="1">
        <v>45139</v>
      </c>
      <c r="C1655" t="s">
        <v>584</v>
      </c>
      <c r="D1655">
        <v>250</v>
      </c>
      <c r="E1655">
        <v>825</v>
      </c>
      <c r="F1655" t="str">
        <f t="shared" si="50"/>
        <v>agosto</v>
      </c>
      <c r="G1655">
        <f t="shared" si="51"/>
        <v>2023</v>
      </c>
    </row>
    <row r="1656" spans="1:7" x14ac:dyDescent="0.25">
      <c r="A1656">
        <v>8070029</v>
      </c>
      <c r="B1656" s="1">
        <v>45139</v>
      </c>
      <c r="C1656" t="s">
        <v>491</v>
      </c>
      <c r="D1656">
        <v>250</v>
      </c>
      <c r="E1656">
        <v>925</v>
      </c>
      <c r="F1656" t="str">
        <f t="shared" si="50"/>
        <v>agosto</v>
      </c>
      <c r="G1656">
        <f t="shared" si="51"/>
        <v>2023</v>
      </c>
    </row>
    <row r="1657" spans="1:7" x14ac:dyDescent="0.25">
      <c r="A1657">
        <v>8070053</v>
      </c>
      <c r="B1657" s="1">
        <v>45139</v>
      </c>
      <c r="C1657" t="s">
        <v>661</v>
      </c>
      <c r="D1657">
        <v>18.3</v>
      </c>
      <c r="E1657">
        <v>36.42</v>
      </c>
      <c r="F1657" t="str">
        <f t="shared" si="50"/>
        <v>agosto</v>
      </c>
      <c r="G1657">
        <f t="shared" si="51"/>
        <v>2023</v>
      </c>
    </row>
    <row r="1658" spans="1:7" x14ac:dyDescent="0.25">
      <c r="A1658">
        <v>8070060</v>
      </c>
      <c r="B1658" s="1">
        <v>45139</v>
      </c>
      <c r="C1658" t="s">
        <v>701</v>
      </c>
      <c r="D1658">
        <v>0</v>
      </c>
      <c r="E1658">
        <v>0</v>
      </c>
      <c r="F1658" t="str">
        <f t="shared" si="50"/>
        <v>agosto</v>
      </c>
      <c r="G1658">
        <f t="shared" si="51"/>
        <v>2023</v>
      </c>
    </row>
    <row r="1659" spans="1:7" x14ac:dyDescent="0.25">
      <c r="A1659">
        <v>8120003</v>
      </c>
      <c r="B1659" s="1">
        <v>45139</v>
      </c>
      <c r="C1659" t="s">
        <v>376</v>
      </c>
      <c r="D1659">
        <v>1008</v>
      </c>
      <c r="E1659">
        <v>2772</v>
      </c>
      <c r="F1659" t="str">
        <f t="shared" si="50"/>
        <v>agosto</v>
      </c>
      <c r="G1659">
        <f t="shared" si="51"/>
        <v>2023</v>
      </c>
    </row>
    <row r="1660" spans="1:7" x14ac:dyDescent="0.25">
      <c r="A1660">
        <v>8120006</v>
      </c>
      <c r="B1660" s="1">
        <v>45139</v>
      </c>
      <c r="C1660" t="s">
        <v>408</v>
      </c>
      <c r="D1660">
        <v>150.61000000000001</v>
      </c>
      <c r="E1660">
        <v>1046.74</v>
      </c>
      <c r="F1660" t="str">
        <f t="shared" si="50"/>
        <v>agosto</v>
      </c>
      <c r="G1660">
        <f t="shared" si="51"/>
        <v>2023</v>
      </c>
    </row>
    <row r="1661" spans="1:7" x14ac:dyDescent="0.25">
      <c r="A1661">
        <v>8120007</v>
      </c>
      <c r="B1661" s="1">
        <v>45139</v>
      </c>
      <c r="C1661" t="s">
        <v>377</v>
      </c>
      <c r="D1661">
        <v>34.700000000000003</v>
      </c>
      <c r="E1661">
        <v>279.33999999999997</v>
      </c>
      <c r="F1661" t="str">
        <f t="shared" si="50"/>
        <v>agosto</v>
      </c>
      <c r="G1661">
        <f t="shared" si="51"/>
        <v>2023</v>
      </c>
    </row>
    <row r="1662" spans="1:7" x14ac:dyDescent="0.25">
      <c r="A1662">
        <v>8120008</v>
      </c>
      <c r="B1662" s="1">
        <v>45139</v>
      </c>
      <c r="C1662" t="s">
        <v>409</v>
      </c>
      <c r="D1662">
        <v>38.47</v>
      </c>
      <c r="E1662">
        <v>381.45</v>
      </c>
      <c r="F1662" t="str">
        <f t="shared" si="50"/>
        <v>agosto</v>
      </c>
      <c r="G1662">
        <f t="shared" si="51"/>
        <v>2023</v>
      </c>
    </row>
    <row r="1663" spans="1:7" x14ac:dyDescent="0.25">
      <c r="A1663">
        <v>8120009</v>
      </c>
      <c r="B1663" s="1">
        <v>45139</v>
      </c>
      <c r="C1663" t="s">
        <v>506</v>
      </c>
      <c r="D1663">
        <v>1401.5</v>
      </c>
      <c r="E1663">
        <v>25840.47</v>
      </c>
      <c r="F1663" t="str">
        <f t="shared" si="50"/>
        <v>agosto</v>
      </c>
      <c r="G1663">
        <f t="shared" si="51"/>
        <v>2023</v>
      </c>
    </row>
    <row r="1664" spans="1:7" x14ac:dyDescent="0.25">
      <c r="A1664">
        <v>8120010</v>
      </c>
      <c r="B1664" s="1">
        <v>45139</v>
      </c>
      <c r="C1664" t="s">
        <v>378</v>
      </c>
      <c r="D1664">
        <v>39.07</v>
      </c>
      <c r="E1664">
        <v>496.19</v>
      </c>
      <c r="F1664" t="str">
        <f t="shared" si="50"/>
        <v>agosto</v>
      </c>
      <c r="G1664">
        <f t="shared" si="51"/>
        <v>2023</v>
      </c>
    </row>
    <row r="1665" spans="1:7" x14ac:dyDescent="0.25">
      <c r="A1665">
        <v>8120015</v>
      </c>
      <c r="B1665" s="1">
        <v>45139</v>
      </c>
      <c r="C1665" t="s">
        <v>412</v>
      </c>
      <c r="D1665">
        <v>5</v>
      </c>
      <c r="E1665">
        <v>21.15</v>
      </c>
      <c r="F1665" t="str">
        <f t="shared" si="50"/>
        <v>agosto</v>
      </c>
      <c r="G1665">
        <f t="shared" si="51"/>
        <v>2023</v>
      </c>
    </row>
    <row r="1666" spans="1:7" x14ac:dyDescent="0.25">
      <c r="A1666">
        <v>8120016</v>
      </c>
      <c r="B1666" s="1">
        <v>45139</v>
      </c>
      <c r="C1666" t="s">
        <v>510</v>
      </c>
      <c r="D1666">
        <v>1301.08</v>
      </c>
      <c r="E1666">
        <v>8717.2000000000007</v>
      </c>
      <c r="F1666" t="str">
        <f t="shared" si="50"/>
        <v>agosto</v>
      </c>
      <c r="G1666">
        <f t="shared" si="51"/>
        <v>2023</v>
      </c>
    </row>
    <row r="1667" spans="1:7" x14ac:dyDescent="0.25">
      <c r="A1667">
        <v>8120019</v>
      </c>
      <c r="B1667" s="1">
        <v>45139</v>
      </c>
      <c r="C1667" t="s">
        <v>668</v>
      </c>
      <c r="D1667">
        <v>18.39</v>
      </c>
      <c r="E1667">
        <v>175.26</v>
      </c>
      <c r="F1667" t="str">
        <f t="shared" ref="F1667:F1730" si="52">TEXT(B1667,"mmmm")</f>
        <v>agosto</v>
      </c>
      <c r="G1667">
        <f t="shared" ref="G1667:G1730" si="53">YEAR(B1667)</f>
        <v>2023</v>
      </c>
    </row>
    <row r="1668" spans="1:7" x14ac:dyDescent="0.25">
      <c r="A1668">
        <v>8120020</v>
      </c>
      <c r="B1668" s="1">
        <v>45139</v>
      </c>
      <c r="C1668" t="s">
        <v>735</v>
      </c>
      <c r="D1668">
        <v>1369.6</v>
      </c>
      <c r="E1668">
        <v>10135</v>
      </c>
      <c r="F1668" t="str">
        <f t="shared" si="52"/>
        <v>agosto</v>
      </c>
      <c r="G1668">
        <f t="shared" si="53"/>
        <v>2023</v>
      </c>
    </row>
    <row r="1669" spans="1:7" x14ac:dyDescent="0.25">
      <c r="A1669">
        <v>8120021</v>
      </c>
      <c r="B1669" s="1">
        <v>45139</v>
      </c>
      <c r="C1669" t="s">
        <v>736</v>
      </c>
      <c r="D1669">
        <v>659.22</v>
      </c>
      <c r="E1669">
        <v>6409.31</v>
      </c>
      <c r="F1669" t="str">
        <f t="shared" si="52"/>
        <v>agosto</v>
      </c>
      <c r="G1669">
        <f t="shared" si="53"/>
        <v>2023</v>
      </c>
    </row>
    <row r="1670" spans="1:7" x14ac:dyDescent="0.25">
      <c r="A1670">
        <v>8130001</v>
      </c>
      <c r="B1670" s="1">
        <v>45139</v>
      </c>
      <c r="C1670" t="s">
        <v>380</v>
      </c>
      <c r="D1670">
        <v>1520</v>
      </c>
      <c r="E1670">
        <v>3039.75</v>
      </c>
      <c r="F1670" t="str">
        <f t="shared" si="52"/>
        <v>agosto</v>
      </c>
      <c r="G1670">
        <f t="shared" si="53"/>
        <v>2023</v>
      </c>
    </row>
    <row r="1671" spans="1:7" x14ac:dyDescent="0.25">
      <c r="A1671">
        <v>8130003</v>
      </c>
      <c r="B1671" s="1">
        <v>45139</v>
      </c>
      <c r="C1671" t="s">
        <v>516</v>
      </c>
      <c r="D1671">
        <v>1</v>
      </c>
      <c r="E1671">
        <v>3.39</v>
      </c>
      <c r="F1671" t="str">
        <f t="shared" si="52"/>
        <v>agosto</v>
      </c>
      <c r="G1671">
        <f t="shared" si="53"/>
        <v>2023</v>
      </c>
    </row>
    <row r="1672" spans="1:7" x14ac:dyDescent="0.25">
      <c r="A1672">
        <v>8130007</v>
      </c>
      <c r="B1672" s="1">
        <v>45139</v>
      </c>
      <c r="C1672" t="s">
        <v>737</v>
      </c>
      <c r="D1672">
        <v>1050</v>
      </c>
      <c r="E1672">
        <v>1659</v>
      </c>
      <c r="F1672" t="str">
        <f t="shared" si="52"/>
        <v>agosto</v>
      </c>
      <c r="G1672">
        <f t="shared" si="53"/>
        <v>2023</v>
      </c>
    </row>
    <row r="1673" spans="1:7" x14ac:dyDescent="0.25">
      <c r="A1673">
        <v>8130009</v>
      </c>
      <c r="B1673" s="1">
        <v>45139</v>
      </c>
      <c r="C1673" t="s">
        <v>738</v>
      </c>
      <c r="D1673">
        <v>300</v>
      </c>
      <c r="E1673">
        <v>594</v>
      </c>
      <c r="F1673" t="str">
        <f t="shared" si="52"/>
        <v>agosto</v>
      </c>
      <c r="G1673">
        <f t="shared" si="53"/>
        <v>2023</v>
      </c>
    </row>
    <row r="1674" spans="1:7" x14ac:dyDescent="0.25">
      <c r="A1674">
        <v>8130010</v>
      </c>
      <c r="B1674" s="1">
        <v>45139</v>
      </c>
      <c r="C1674" t="s">
        <v>619</v>
      </c>
      <c r="D1674">
        <v>11250</v>
      </c>
      <c r="E1674">
        <v>14747.5</v>
      </c>
      <c r="F1674" t="str">
        <f t="shared" si="52"/>
        <v>agosto</v>
      </c>
      <c r="G1674">
        <f t="shared" si="53"/>
        <v>2023</v>
      </c>
    </row>
    <row r="1675" spans="1:7" x14ac:dyDescent="0.25">
      <c r="A1675">
        <v>8130013</v>
      </c>
      <c r="B1675" s="1">
        <v>45139</v>
      </c>
      <c r="C1675" t="s">
        <v>416</v>
      </c>
      <c r="D1675">
        <v>1120</v>
      </c>
      <c r="E1675">
        <v>2632</v>
      </c>
      <c r="F1675" t="str">
        <f t="shared" si="52"/>
        <v>agosto</v>
      </c>
      <c r="G1675">
        <f t="shared" si="53"/>
        <v>2023</v>
      </c>
    </row>
    <row r="1676" spans="1:7" x14ac:dyDescent="0.25">
      <c r="A1676">
        <v>8130015</v>
      </c>
      <c r="B1676" s="1">
        <v>45139</v>
      </c>
      <c r="C1676" t="s">
        <v>622</v>
      </c>
      <c r="D1676">
        <v>1</v>
      </c>
      <c r="E1676">
        <v>3.86</v>
      </c>
      <c r="F1676" t="str">
        <f t="shared" si="52"/>
        <v>agosto</v>
      </c>
      <c r="G1676">
        <f t="shared" si="53"/>
        <v>2023</v>
      </c>
    </row>
    <row r="1677" spans="1:7" x14ac:dyDescent="0.25">
      <c r="A1677">
        <v>8140006</v>
      </c>
      <c r="B1677" s="1">
        <v>45139</v>
      </c>
      <c r="C1677" t="s">
        <v>423</v>
      </c>
      <c r="D1677">
        <v>8</v>
      </c>
      <c r="E1677">
        <v>18.559999999999999</v>
      </c>
      <c r="F1677" t="str">
        <f t="shared" si="52"/>
        <v>agosto</v>
      </c>
      <c r="G1677">
        <f t="shared" si="53"/>
        <v>2023</v>
      </c>
    </row>
    <row r="1678" spans="1:7" x14ac:dyDescent="0.25">
      <c r="A1678">
        <v>8140013</v>
      </c>
      <c r="B1678" s="1">
        <v>45139</v>
      </c>
      <c r="C1678" t="s">
        <v>674</v>
      </c>
      <c r="D1678">
        <v>137</v>
      </c>
      <c r="E1678">
        <v>297.8</v>
      </c>
      <c r="F1678" t="str">
        <f t="shared" si="52"/>
        <v>agosto</v>
      </c>
      <c r="G1678">
        <f t="shared" si="53"/>
        <v>2023</v>
      </c>
    </row>
    <row r="1679" spans="1:7" x14ac:dyDescent="0.25">
      <c r="A1679">
        <v>8140014</v>
      </c>
      <c r="B1679" s="1">
        <v>45139</v>
      </c>
      <c r="C1679" t="s">
        <v>675</v>
      </c>
      <c r="D1679">
        <v>17</v>
      </c>
      <c r="E1679">
        <v>61.58</v>
      </c>
      <c r="F1679" t="str">
        <f t="shared" si="52"/>
        <v>agosto</v>
      </c>
      <c r="G1679">
        <f t="shared" si="53"/>
        <v>2023</v>
      </c>
    </row>
    <row r="1680" spans="1:7" x14ac:dyDescent="0.25">
      <c r="A1680">
        <v>8140015</v>
      </c>
      <c r="B1680" s="1">
        <v>45139</v>
      </c>
      <c r="C1680" t="s">
        <v>676</v>
      </c>
      <c r="D1680">
        <v>604</v>
      </c>
      <c r="E1680">
        <v>2271.4</v>
      </c>
      <c r="F1680" t="str">
        <f t="shared" si="52"/>
        <v>agosto</v>
      </c>
      <c r="G1680">
        <f t="shared" si="53"/>
        <v>2023</v>
      </c>
    </row>
    <row r="1681" spans="1:7" x14ac:dyDescent="0.25">
      <c r="A1681">
        <v>8140016</v>
      </c>
      <c r="B1681" s="1">
        <v>45139</v>
      </c>
      <c r="C1681" t="s">
        <v>677</v>
      </c>
      <c r="D1681">
        <v>394</v>
      </c>
      <c r="E1681">
        <v>1487.24</v>
      </c>
      <c r="F1681" t="str">
        <f t="shared" si="52"/>
        <v>agosto</v>
      </c>
      <c r="G1681">
        <f t="shared" si="53"/>
        <v>2023</v>
      </c>
    </row>
    <row r="1682" spans="1:7" x14ac:dyDescent="0.25">
      <c r="A1682">
        <v>8150001</v>
      </c>
      <c r="B1682" s="1">
        <v>45139</v>
      </c>
      <c r="C1682" t="s">
        <v>382</v>
      </c>
      <c r="D1682">
        <v>80</v>
      </c>
      <c r="E1682">
        <v>1091</v>
      </c>
      <c r="F1682" t="str">
        <f t="shared" si="52"/>
        <v>agosto</v>
      </c>
      <c r="G1682">
        <f t="shared" si="53"/>
        <v>2023</v>
      </c>
    </row>
    <row r="1683" spans="1:7" x14ac:dyDescent="0.25">
      <c r="A1683">
        <v>8150003</v>
      </c>
      <c r="B1683" s="1">
        <v>45139</v>
      </c>
      <c r="C1683" t="s">
        <v>384</v>
      </c>
      <c r="D1683">
        <v>330</v>
      </c>
      <c r="E1683">
        <v>2580</v>
      </c>
      <c r="F1683" t="str">
        <f t="shared" si="52"/>
        <v>agosto</v>
      </c>
      <c r="G1683">
        <f t="shared" si="53"/>
        <v>2023</v>
      </c>
    </row>
    <row r="1684" spans="1:7" x14ac:dyDescent="0.25">
      <c r="A1684">
        <v>8150004</v>
      </c>
      <c r="B1684" s="1">
        <v>45139</v>
      </c>
      <c r="C1684" t="s">
        <v>625</v>
      </c>
      <c r="D1684">
        <v>174.5</v>
      </c>
      <c r="E1684">
        <v>1303.5</v>
      </c>
      <c r="F1684" t="str">
        <f t="shared" si="52"/>
        <v>agosto</v>
      </c>
      <c r="G1684">
        <f t="shared" si="53"/>
        <v>2023</v>
      </c>
    </row>
    <row r="1685" spans="1:7" x14ac:dyDescent="0.25">
      <c r="A1685">
        <v>8150005</v>
      </c>
      <c r="B1685" s="1">
        <v>45139</v>
      </c>
      <c r="C1685" t="s">
        <v>386</v>
      </c>
      <c r="D1685">
        <v>90</v>
      </c>
      <c r="E1685">
        <v>495</v>
      </c>
      <c r="F1685" t="str">
        <f t="shared" si="52"/>
        <v>agosto</v>
      </c>
      <c r="G1685">
        <f t="shared" si="53"/>
        <v>2023</v>
      </c>
    </row>
    <row r="1686" spans="1:7" x14ac:dyDescent="0.25">
      <c r="A1686">
        <v>8150006</v>
      </c>
      <c r="B1686" s="1">
        <v>45139</v>
      </c>
      <c r="C1686" t="s">
        <v>387</v>
      </c>
      <c r="D1686">
        <v>2050</v>
      </c>
      <c r="E1686">
        <v>10762.5</v>
      </c>
      <c r="F1686" t="str">
        <f t="shared" si="52"/>
        <v>agosto</v>
      </c>
      <c r="G1686">
        <f t="shared" si="53"/>
        <v>2023</v>
      </c>
    </row>
    <row r="1687" spans="1:7" x14ac:dyDescent="0.25">
      <c r="A1687">
        <v>8150009</v>
      </c>
      <c r="B1687" s="1">
        <v>45139</v>
      </c>
      <c r="C1687" t="s">
        <v>678</v>
      </c>
      <c r="D1687">
        <v>30</v>
      </c>
      <c r="E1687">
        <v>570</v>
      </c>
      <c r="F1687" t="str">
        <f t="shared" si="52"/>
        <v>agosto</v>
      </c>
      <c r="G1687">
        <f t="shared" si="53"/>
        <v>2023</v>
      </c>
    </row>
    <row r="1688" spans="1:7" x14ac:dyDescent="0.25">
      <c r="A1688">
        <v>8150010</v>
      </c>
      <c r="B1688" s="1">
        <v>45139</v>
      </c>
      <c r="C1688" t="s">
        <v>705</v>
      </c>
      <c r="D1688">
        <v>600</v>
      </c>
      <c r="E1688">
        <v>10524</v>
      </c>
      <c r="F1688" t="str">
        <f t="shared" si="52"/>
        <v>agosto</v>
      </c>
      <c r="G1688">
        <f t="shared" si="53"/>
        <v>2023</v>
      </c>
    </row>
    <row r="1689" spans="1:7" x14ac:dyDescent="0.25">
      <c r="A1689">
        <v>8150011</v>
      </c>
      <c r="B1689" s="1">
        <v>45139</v>
      </c>
      <c r="C1689" t="s">
        <v>532</v>
      </c>
      <c r="D1689">
        <v>730</v>
      </c>
      <c r="E1689">
        <v>3945.7</v>
      </c>
      <c r="F1689" t="str">
        <f t="shared" si="52"/>
        <v>agosto</v>
      </c>
      <c r="G1689">
        <f t="shared" si="53"/>
        <v>2023</v>
      </c>
    </row>
    <row r="1690" spans="1:7" x14ac:dyDescent="0.25">
      <c r="A1690">
        <v>8150012</v>
      </c>
      <c r="B1690" s="1">
        <v>45139</v>
      </c>
      <c r="C1690" t="s">
        <v>626</v>
      </c>
      <c r="D1690">
        <v>1360</v>
      </c>
      <c r="E1690">
        <v>6880.8</v>
      </c>
      <c r="F1690" t="str">
        <f t="shared" si="52"/>
        <v>agosto</v>
      </c>
      <c r="G1690">
        <f t="shared" si="53"/>
        <v>2023</v>
      </c>
    </row>
    <row r="1691" spans="1:7" x14ac:dyDescent="0.25">
      <c r="A1691">
        <v>8150014</v>
      </c>
      <c r="B1691" s="1">
        <v>45139</v>
      </c>
      <c r="C1691" t="s">
        <v>538</v>
      </c>
      <c r="D1691">
        <v>50</v>
      </c>
      <c r="E1691">
        <v>194</v>
      </c>
      <c r="F1691" t="str">
        <f t="shared" si="52"/>
        <v>agosto</v>
      </c>
      <c r="G1691">
        <f t="shared" si="53"/>
        <v>2023</v>
      </c>
    </row>
    <row r="1692" spans="1:7" x14ac:dyDescent="0.25">
      <c r="A1692">
        <v>8150015</v>
      </c>
      <c r="B1692" s="1">
        <v>45139</v>
      </c>
      <c r="C1692" t="s">
        <v>628</v>
      </c>
      <c r="D1692">
        <v>10</v>
      </c>
      <c r="E1692">
        <v>37.5</v>
      </c>
      <c r="F1692" t="str">
        <f t="shared" si="52"/>
        <v>agosto</v>
      </c>
      <c r="G1692">
        <f t="shared" si="53"/>
        <v>2023</v>
      </c>
    </row>
    <row r="1693" spans="1:7" x14ac:dyDescent="0.25">
      <c r="A1693">
        <v>8150020</v>
      </c>
      <c r="B1693" s="1">
        <v>45139</v>
      </c>
      <c r="C1693" t="s">
        <v>706</v>
      </c>
      <c r="D1693">
        <v>27</v>
      </c>
      <c r="E1693">
        <v>231.15</v>
      </c>
      <c r="F1693" t="str">
        <f t="shared" si="52"/>
        <v>agosto</v>
      </c>
      <c r="G1693">
        <f t="shared" si="53"/>
        <v>2023</v>
      </c>
    </row>
    <row r="1694" spans="1:7" x14ac:dyDescent="0.25">
      <c r="A1694">
        <v>8150021</v>
      </c>
      <c r="B1694" s="1">
        <v>45139</v>
      </c>
      <c r="C1694" t="s">
        <v>739</v>
      </c>
      <c r="D1694">
        <v>10</v>
      </c>
      <c r="E1694">
        <v>82</v>
      </c>
      <c r="F1694" t="str">
        <f t="shared" si="52"/>
        <v>agosto</v>
      </c>
      <c r="G1694">
        <f t="shared" si="53"/>
        <v>2023</v>
      </c>
    </row>
    <row r="1695" spans="1:7" x14ac:dyDescent="0.25">
      <c r="A1695">
        <v>8150025</v>
      </c>
      <c r="B1695" s="1">
        <v>45139</v>
      </c>
      <c r="C1695" t="s">
        <v>679</v>
      </c>
      <c r="D1695">
        <v>648</v>
      </c>
      <c r="E1695">
        <v>5313.6</v>
      </c>
      <c r="F1695" t="str">
        <f t="shared" si="52"/>
        <v>agosto</v>
      </c>
      <c r="G1695">
        <f t="shared" si="53"/>
        <v>2023</v>
      </c>
    </row>
    <row r="1696" spans="1:7" x14ac:dyDescent="0.25">
      <c r="A1696">
        <v>1010100</v>
      </c>
      <c r="B1696" s="1">
        <v>45170</v>
      </c>
      <c r="C1696" t="s">
        <v>709</v>
      </c>
      <c r="D1696">
        <v>5.8</v>
      </c>
      <c r="E1696">
        <v>16.239999999999998</v>
      </c>
      <c r="F1696" t="str">
        <f t="shared" si="52"/>
        <v>setembro</v>
      </c>
      <c r="G1696">
        <f t="shared" si="53"/>
        <v>2023</v>
      </c>
    </row>
    <row r="1697" spans="1:7" x14ac:dyDescent="0.25">
      <c r="A1697">
        <v>1010200</v>
      </c>
      <c r="B1697" s="1">
        <v>45170</v>
      </c>
      <c r="C1697" t="s">
        <v>331</v>
      </c>
      <c r="D1697">
        <v>823.6</v>
      </c>
      <c r="E1697">
        <v>247.08</v>
      </c>
      <c r="F1697" t="str">
        <f t="shared" si="52"/>
        <v>setembro</v>
      </c>
      <c r="G1697">
        <f t="shared" si="53"/>
        <v>2023</v>
      </c>
    </row>
    <row r="1698" spans="1:7" x14ac:dyDescent="0.25">
      <c r="A1698">
        <v>1010300</v>
      </c>
      <c r="B1698" s="1">
        <v>45170</v>
      </c>
      <c r="C1698" t="s">
        <v>333</v>
      </c>
      <c r="D1698">
        <v>193.9</v>
      </c>
      <c r="E1698">
        <v>58.17</v>
      </c>
      <c r="F1698" t="str">
        <f t="shared" si="52"/>
        <v>setembro</v>
      </c>
      <c r="G1698">
        <f t="shared" si="53"/>
        <v>2023</v>
      </c>
    </row>
    <row r="1699" spans="1:7" x14ac:dyDescent="0.25">
      <c r="A1699">
        <v>1010500</v>
      </c>
      <c r="B1699" s="1">
        <v>45170</v>
      </c>
      <c r="C1699" t="s">
        <v>6</v>
      </c>
      <c r="D1699">
        <v>1943.1</v>
      </c>
      <c r="E1699">
        <v>1215.28</v>
      </c>
      <c r="F1699" t="str">
        <f t="shared" si="52"/>
        <v>setembro</v>
      </c>
      <c r="G1699">
        <f t="shared" si="53"/>
        <v>2023</v>
      </c>
    </row>
    <row r="1700" spans="1:7" x14ac:dyDescent="0.25">
      <c r="A1700">
        <v>1010600</v>
      </c>
      <c r="B1700" s="1">
        <v>45170</v>
      </c>
      <c r="C1700" t="s">
        <v>334</v>
      </c>
      <c r="D1700">
        <v>14032.28</v>
      </c>
      <c r="E1700">
        <v>9601.67</v>
      </c>
      <c r="F1700" t="str">
        <f t="shared" si="52"/>
        <v>setembro</v>
      </c>
      <c r="G1700">
        <f t="shared" si="53"/>
        <v>2023</v>
      </c>
    </row>
    <row r="1701" spans="1:7" x14ac:dyDescent="0.25">
      <c r="A1701">
        <v>1010700</v>
      </c>
      <c r="B1701" s="1">
        <v>45170</v>
      </c>
      <c r="C1701" t="s">
        <v>335</v>
      </c>
      <c r="D1701">
        <v>662.86</v>
      </c>
      <c r="E1701">
        <v>1390.99</v>
      </c>
      <c r="F1701" t="str">
        <f t="shared" si="52"/>
        <v>setembro</v>
      </c>
      <c r="G1701">
        <f t="shared" si="53"/>
        <v>2023</v>
      </c>
    </row>
    <row r="1702" spans="1:7" x14ac:dyDescent="0.25">
      <c r="A1702">
        <v>1010701</v>
      </c>
      <c r="B1702" s="1">
        <v>45170</v>
      </c>
      <c r="C1702" t="s">
        <v>12</v>
      </c>
      <c r="D1702">
        <v>19.2</v>
      </c>
      <c r="E1702">
        <v>177.4</v>
      </c>
      <c r="F1702" t="str">
        <f t="shared" si="52"/>
        <v>setembro</v>
      </c>
      <c r="G1702">
        <f t="shared" si="53"/>
        <v>2023</v>
      </c>
    </row>
    <row r="1703" spans="1:7" x14ac:dyDescent="0.25">
      <c r="A1703">
        <v>1010702</v>
      </c>
      <c r="B1703" s="1">
        <v>45170</v>
      </c>
      <c r="C1703" t="s">
        <v>740</v>
      </c>
      <c r="D1703">
        <v>118</v>
      </c>
      <c r="E1703">
        <v>241.9</v>
      </c>
      <c r="F1703" t="str">
        <f t="shared" si="52"/>
        <v>setembro</v>
      </c>
      <c r="G1703">
        <f t="shared" si="53"/>
        <v>2023</v>
      </c>
    </row>
    <row r="1704" spans="1:7" x14ac:dyDescent="0.25">
      <c r="A1704">
        <v>1010900</v>
      </c>
      <c r="B1704" s="1">
        <v>45170</v>
      </c>
      <c r="C1704" t="s">
        <v>336</v>
      </c>
      <c r="D1704">
        <v>5.2</v>
      </c>
      <c r="E1704">
        <v>7.8</v>
      </c>
      <c r="F1704" t="str">
        <f t="shared" si="52"/>
        <v>setembro</v>
      </c>
      <c r="G1704">
        <f t="shared" si="53"/>
        <v>2023</v>
      </c>
    </row>
    <row r="1705" spans="1:7" x14ac:dyDescent="0.25">
      <c r="A1705">
        <v>1010902</v>
      </c>
      <c r="B1705" s="1">
        <v>45170</v>
      </c>
      <c r="C1705" t="s">
        <v>431</v>
      </c>
      <c r="D1705">
        <v>607.48</v>
      </c>
      <c r="E1705">
        <v>736.19</v>
      </c>
      <c r="F1705" t="str">
        <f t="shared" si="52"/>
        <v>setembro</v>
      </c>
      <c r="G1705">
        <f t="shared" si="53"/>
        <v>2023</v>
      </c>
    </row>
    <row r="1706" spans="1:7" x14ac:dyDescent="0.25">
      <c r="A1706">
        <v>1010903</v>
      </c>
      <c r="B1706" s="1">
        <v>45170</v>
      </c>
      <c r="C1706" t="s">
        <v>629</v>
      </c>
      <c r="D1706">
        <v>112.9</v>
      </c>
      <c r="E1706">
        <v>109.2</v>
      </c>
      <c r="F1706" t="str">
        <f t="shared" si="52"/>
        <v>setembro</v>
      </c>
      <c r="G1706">
        <f t="shared" si="53"/>
        <v>2023</v>
      </c>
    </row>
    <row r="1707" spans="1:7" x14ac:dyDescent="0.25">
      <c r="A1707">
        <v>1011000</v>
      </c>
      <c r="B1707" s="1">
        <v>45170</v>
      </c>
      <c r="C1707" t="s">
        <v>20</v>
      </c>
      <c r="D1707">
        <v>973.52</v>
      </c>
      <c r="E1707">
        <v>708.85</v>
      </c>
      <c r="F1707" t="str">
        <f t="shared" si="52"/>
        <v>setembro</v>
      </c>
      <c r="G1707">
        <f t="shared" si="53"/>
        <v>2023</v>
      </c>
    </row>
    <row r="1708" spans="1:7" x14ac:dyDescent="0.25">
      <c r="A1708">
        <v>1011100</v>
      </c>
      <c r="B1708" s="1">
        <v>45170</v>
      </c>
      <c r="C1708" t="s">
        <v>293</v>
      </c>
      <c r="D1708">
        <v>37.340000000000003</v>
      </c>
      <c r="E1708">
        <v>19.16</v>
      </c>
      <c r="F1708" t="str">
        <f t="shared" si="52"/>
        <v>setembro</v>
      </c>
      <c r="G1708">
        <f t="shared" si="53"/>
        <v>2023</v>
      </c>
    </row>
    <row r="1709" spans="1:7" x14ac:dyDescent="0.25">
      <c r="A1709">
        <v>1011200</v>
      </c>
      <c r="B1709" s="1">
        <v>45170</v>
      </c>
      <c r="C1709" t="s">
        <v>24</v>
      </c>
      <c r="D1709">
        <v>47.8</v>
      </c>
      <c r="E1709">
        <v>66.260000000000005</v>
      </c>
      <c r="F1709" t="str">
        <f t="shared" si="52"/>
        <v>setembro</v>
      </c>
      <c r="G1709">
        <f t="shared" si="53"/>
        <v>2023</v>
      </c>
    </row>
    <row r="1710" spans="1:7" x14ac:dyDescent="0.25">
      <c r="A1710">
        <v>1011201</v>
      </c>
      <c r="B1710" s="1">
        <v>45170</v>
      </c>
      <c r="C1710" t="s">
        <v>338</v>
      </c>
      <c r="D1710">
        <v>122.8</v>
      </c>
      <c r="E1710">
        <v>331.56</v>
      </c>
      <c r="F1710" t="str">
        <f t="shared" si="52"/>
        <v>setembro</v>
      </c>
      <c r="G1710">
        <f t="shared" si="53"/>
        <v>2023</v>
      </c>
    </row>
    <row r="1711" spans="1:7" x14ac:dyDescent="0.25">
      <c r="A1711">
        <v>1011202</v>
      </c>
      <c r="B1711" s="1">
        <v>45170</v>
      </c>
      <c r="C1711" t="s">
        <v>340</v>
      </c>
      <c r="D1711">
        <v>531.1</v>
      </c>
      <c r="E1711">
        <v>106.22</v>
      </c>
      <c r="F1711" t="str">
        <f t="shared" si="52"/>
        <v>setembro</v>
      </c>
      <c r="G1711">
        <f t="shared" si="53"/>
        <v>2023</v>
      </c>
    </row>
    <row r="1712" spans="1:7" x14ac:dyDescent="0.25">
      <c r="A1712">
        <v>1011203</v>
      </c>
      <c r="B1712" s="1">
        <v>45170</v>
      </c>
      <c r="C1712" t="s">
        <v>342</v>
      </c>
      <c r="D1712">
        <v>127.7</v>
      </c>
      <c r="E1712">
        <v>76.62</v>
      </c>
      <c r="F1712" t="str">
        <f t="shared" si="52"/>
        <v>setembro</v>
      </c>
      <c r="G1712">
        <f t="shared" si="53"/>
        <v>2023</v>
      </c>
    </row>
    <row r="1713" spans="1:7" x14ac:dyDescent="0.25">
      <c r="A1713">
        <v>1011204</v>
      </c>
      <c r="B1713" s="1">
        <v>45170</v>
      </c>
      <c r="C1713" t="s">
        <v>344</v>
      </c>
      <c r="D1713">
        <v>151.9</v>
      </c>
      <c r="E1713">
        <v>258.23</v>
      </c>
      <c r="F1713" t="str">
        <f t="shared" si="52"/>
        <v>setembro</v>
      </c>
      <c r="G1713">
        <f t="shared" si="53"/>
        <v>2023</v>
      </c>
    </row>
    <row r="1714" spans="1:7" x14ac:dyDescent="0.25">
      <c r="A1714">
        <v>1011211</v>
      </c>
      <c r="B1714" s="1">
        <v>45170</v>
      </c>
      <c r="C1714" t="s">
        <v>685</v>
      </c>
      <c r="D1714">
        <v>263.10000000000002</v>
      </c>
      <c r="E1714">
        <v>92.11</v>
      </c>
      <c r="F1714" t="str">
        <f t="shared" si="52"/>
        <v>setembro</v>
      </c>
      <c r="G1714">
        <f t="shared" si="53"/>
        <v>2023</v>
      </c>
    </row>
    <row r="1715" spans="1:7" x14ac:dyDescent="0.25">
      <c r="A1715">
        <v>1011300</v>
      </c>
      <c r="B1715" s="1">
        <v>45170</v>
      </c>
      <c r="C1715" t="s">
        <v>295</v>
      </c>
      <c r="D1715">
        <v>5743.1</v>
      </c>
      <c r="E1715">
        <v>2621.1799999999998</v>
      </c>
      <c r="F1715" t="str">
        <f t="shared" si="52"/>
        <v>setembro</v>
      </c>
      <c r="G1715">
        <f t="shared" si="53"/>
        <v>2023</v>
      </c>
    </row>
    <row r="1716" spans="1:7" x14ac:dyDescent="0.25">
      <c r="A1716">
        <v>1011500</v>
      </c>
      <c r="B1716" s="1">
        <v>45170</v>
      </c>
      <c r="C1716" t="s">
        <v>27</v>
      </c>
      <c r="D1716">
        <v>2358.12</v>
      </c>
      <c r="E1716">
        <v>1882.88</v>
      </c>
      <c r="F1716" t="str">
        <f t="shared" si="52"/>
        <v>setembro</v>
      </c>
      <c r="G1716">
        <f t="shared" si="53"/>
        <v>2023</v>
      </c>
    </row>
    <row r="1717" spans="1:7" x14ac:dyDescent="0.25">
      <c r="A1717">
        <v>1011501</v>
      </c>
      <c r="B1717" s="1">
        <v>45170</v>
      </c>
      <c r="C1717" t="s">
        <v>297</v>
      </c>
      <c r="D1717">
        <v>1890</v>
      </c>
      <c r="E1717">
        <v>472.5</v>
      </c>
      <c r="F1717" t="str">
        <f t="shared" si="52"/>
        <v>setembro</v>
      </c>
      <c r="G1717">
        <f t="shared" si="53"/>
        <v>2023</v>
      </c>
    </row>
    <row r="1718" spans="1:7" x14ac:dyDescent="0.25">
      <c r="A1718">
        <v>1011604</v>
      </c>
      <c r="B1718" s="1">
        <v>45170</v>
      </c>
      <c r="C1718" t="s">
        <v>29</v>
      </c>
      <c r="D1718">
        <v>21478.5</v>
      </c>
      <c r="E1718">
        <v>1718.28</v>
      </c>
      <c r="F1718" t="str">
        <f t="shared" si="52"/>
        <v>setembro</v>
      </c>
      <c r="G1718">
        <f t="shared" si="53"/>
        <v>2023</v>
      </c>
    </row>
    <row r="1719" spans="1:7" x14ac:dyDescent="0.25">
      <c r="A1719">
        <v>1011700</v>
      </c>
      <c r="B1719" s="1">
        <v>45170</v>
      </c>
      <c r="C1719" t="s">
        <v>31</v>
      </c>
      <c r="D1719">
        <v>277.10000000000002</v>
      </c>
      <c r="E1719">
        <v>459.76</v>
      </c>
      <c r="F1719" t="str">
        <f t="shared" si="52"/>
        <v>setembro</v>
      </c>
      <c r="G1719">
        <f t="shared" si="53"/>
        <v>2023</v>
      </c>
    </row>
    <row r="1720" spans="1:7" x14ac:dyDescent="0.25">
      <c r="A1720">
        <v>1011800</v>
      </c>
      <c r="B1720" s="1">
        <v>45170</v>
      </c>
      <c r="C1720" t="s">
        <v>33</v>
      </c>
      <c r="D1720">
        <v>3423.87</v>
      </c>
      <c r="E1720">
        <v>6086.69</v>
      </c>
      <c r="F1720" t="str">
        <f t="shared" si="52"/>
        <v>setembro</v>
      </c>
      <c r="G1720">
        <f t="shared" si="53"/>
        <v>2023</v>
      </c>
    </row>
    <row r="1721" spans="1:7" x14ac:dyDescent="0.25">
      <c r="A1721">
        <v>1011801</v>
      </c>
      <c r="B1721" s="1">
        <v>45170</v>
      </c>
      <c r="C1721" t="s">
        <v>35</v>
      </c>
      <c r="D1721">
        <v>57.08</v>
      </c>
      <c r="E1721">
        <v>85.62</v>
      </c>
      <c r="F1721" t="str">
        <f t="shared" si="52"/>
        <v>setembro</v>
      </c>
      <c r="G1721">
        <f t="shared" si="53"/>
        <v>2023</v>
      </c>
    </row>
    <row r="1722" spans="1:7" x14ac:dyDescent="0.25">
      <c r="A1722">
        <v>1011901</v>
      </c>
      <c r="B1722" s="1">
        <v>45170</v>
      </c>
      <c r="C1722" t="s">
        <v>37</v>
      </c>
      <c r="D1722">
        <v>48.6</v>
      </c>
      <c r="E1722">
        <v>48.6</v>
      </c>
      <c r="F1722" t="str">
        <f t="shared" si="52"/>
        <v>setembro</v>
      </c>
      <c r="G1722">
        <f t="shared" si="53"/>
        <v>2023</v>
      </c>
    </row>
    <row r="1723" spans="1:7" x14ac:dyDescent="0.25">
      <c r="A1723">
        <v>1012100</v>
      </c>
      <c r="B1723" s="1">
        <v>45170</v>
      </c>
      <c r="C1723" t="s">
        <v>302</v>
      </c>
      <c r="D1723">
        <v>418.9</v>
      </c>
      <c r="E1723">
        <v>1172.92</v>
      </c>
      <c r="F1723" t="str">
        <f t="shared" si="52"/>
        <v>setembro</v>
      </c>
      <c r="G1723">
        <f t="shared" si="53"/>
        <v>2023</v>
      </c>
    </row>
    <row r="1724" spans="1:7" x14ac:dyDescent="0.25">
      <c r="A1724">
        <v>1012200</v>
      </c>
      <c r="B1724" s="1">
        <v>45170</v>
      </c>
      <c r="C1724" t="s">
        <v>39</v>
      </c>
      <c r="D1724">
        <v>1048.0999999999999</v>
      </c>
      <c r="E1724">
        <v>1642.2</v>
      </c>
      <c r="F1724" t="str">
        <f t="shared" si="52"/>
        <v>setembro</v>
      </c>
      <c r="G1724">
        <f t="shared" si="53"/>
        <v>2023</v>
      </c>
    </row>
    <row r="1725" spans="1:7" x14ac:dyDescent="0.25">
      <c r="A1725">
        <v>1012201</v>
      </c>
      <c r="B1725" s="1">
        <v>45170</v>
      </c>
      <c r="C1725" t="s">
        <v>41</v>
      </c>
      <c r="D1725">
        <v>437.32</v>
      </c>
      <c r="E1725">
        <v>889.78</v>
      </c>
      <c r="F1725" t="str">
        <f t="shared" si="52"/>
        <v>setembro</v>
      </c>
      <c r="G1725">
        <f t="shared" si="53"/>
        <v>2023</v>
      </c>
    </row>
    <row r="1726" spans="1:7" x14ac:dyDescent="0.25">
      <c r="A1726">
        <v>1012203</v>
      </c>
      <c r="B1726" s="1">
        <v>45170</v>
      </c>
      <c r="C1726" t="s">
        <v>43</v>
      </c>
      <c r="D1726">
        <v>2258</v>
      </c>
      <c r="E1726">
        <v>3822.07</v>
      </c>
      <c r="F1726" t="str">
        <f t="shared" si="52"/>
        <v>setembro</v>
      </c>
      <c r="G1726">
        <f t="shared" si="53"/>
        <v>2023</v>
      </c>
    </row>
    <row r="1727" spans="1:7" x14ac:dyDescent="0.25">
      <c r="A1727">
        <v>1012205</v>
      </c>
      <c r="B1727" s="1">
        <v>45170</v>
      </c>
      <c r="C1727" t="s">
        <v>741</v>
      </c>
      <c r="D1727">
        <v>46.17</v>
      </c>
      <c r="E1727">
        <v>83.11</v>
      </c>
      <c r="F1727" t="str">
        <f t="shared" si="52"/>
        <v>setembro</v>
      </c>
      <c r="G1727">
        <f t="shared" si="53"/>
        <v>2023</v>
      </c>
    </row>
    <row r="1728" spans="1:7" x14ac:dyDescent="0.25">
      <c r="A1728">
        <v>1012300</v>
      </c>
      <c r="B1728" s="1">
        <v>45170</v>
      </c>
      <c r="C1728" t="s">
        <v>45</v>
      </c>
      <c r="D1728">
        <v>280.14</v>
      </c>
      <c r="E1728">
        <v>414.79</v>
      </c>
      <c r="F1728" t="str">
        <f t="shared" si="52"/>
        <v>setembro</v>
      </c>
      <c r="G1728">
        <f t="shared" si="53"/>
        <v>2023</v>
      </c>
    </row>
    <row r="1729" spans="1:7" x14ac:dyDescent="0.25">
      <c r="A1729">
        <v>1012301</v>
      </c>
      <c r="B1729" s="1">
        <v>45170</v>
      </c>
      <c r="C1729" t="s">
        <v>47</v>
      </c>
      <c r="D1729">
        <v>100</v>
      </c>
      <c r="E1729">
        <v>117.5</v>
      </c>
      <c r="F1729" t="str">
        <f t="shared" si="52"/>
        <v>setembro</v>
      </c>
      <c r="G1729">
        <f t="shared" si="53"/>
        <v>2023</v>
      </c>
    </row>
    <row r="1730" spans="1:7" x14ac:dyDescent="0.25">
      <c r="A1730">
        <v>1012400</v>
      </c>
      <c r="B1730" s="1">
        <v>45170</v>
      </c>
      <c r="C1730" t="s">
        <v>49</v>
      </c>
      <c r="D1730">
        <v>1027.08</v>
      </c>
      <c r="E1730">
        <v>1671.14</v>
      </c>
      <c r="F1730" t="str">
        <f t="shared" si="52"/>
        <v>setembro</v>
      </c>
      <c r="G1730">
        <f t="shared" si="53"/>
        <v>2023</v>
      </c>
    </row>
    <row r="1731" spans="1:7" x14ac:dyDescent="0.25">
      <c r="A1731">
        <v>1012401</v>
      </c>
      <c r="B1731" s="1">
        <v>45170</v>
      </c>
      <c r="C1731" t="s">
        <v>51</v>
      </c>
      <c r="D1731">
        <v>100</v>
      </c>
      <c r="E1731">
        <v>170</v>
      </c>
      <c r="F1731" t="str">
        <f t="shared" ref="F1731:F1794" si="54">TEXT(B1731,"mmmm")</f>
        <v>setembro</v>
      </c>
      <c r="G1731">
        <f t="shared" ref="G1731:G1794" si="55">YEAR(B1731)</f>
        <v>2023</v>
      </c>
    </row>
    <row r="1732" spans="1:7" x14ac:dyDescent="0.25">
      <c r="A1732">
        <v>1012500</v>
      </c>
      <c r="B1732" s="1">
        <v>45170</v>
      </c>
      <c r="C1732" t="s">
        <v>53</v>
      </c>
      <c r="D1732">
        <v>1236.9000000000001</v>
      </c>
      <c r="E1732">
        <v>321.72000000000003</v>
      </c>
      <c r="F1732" t="str">
        <f t="shared" si="54"/>
        <v>setembro</v>
      </c>
      <c r="G1732">
        <f t="shared" si="55"/>
        <v>2023</v>
      </c>
    </row>
    <row r="1733" spans="1:7" x14ac:dyDescent="0.25">
      <c r="A1733">
        <v>1012601</v>
      </c>
      <c r="B1733" s="1">
        <v>45170</v>
      </c>
      <c r="C1733" t="s">
        <v>55</v>
      </c>
      <c r="D1733">
        <v>121</v>
      </c>
      <c r="E1733">
        <v>121</v>
      </c>
      <c r="F1733" t="str">
        <f t="shared" si="54"/>
        <v>setembro</v>
      </c>
      <c r="G1733">
        <f t="shared" si="55"/>
        <v>2023</v>
      </c>
    </row>
    <row r="1734" spans="1:7" x14ac:dyDescent="0.25">
      <c r="A1734">
        <v>1012700</v>
      </c>
      <c r="B1734" s="1">
        <v>45170</v>
      </c>
      <c r="C1734" t="s">
        <v>630</v>
      </c>
      <c r="D1734">
        <v>212</v>
      </c>
      <c r="E1734">
        <v>275.60000000000002</v>
      </c>
      <c r="F1734" t="str">
        <f t="shared" si="54"/>
        <v>setembro</v>
      </c>
      <c r="G1734">
        <f t="shared" si="55"/>
        <v>2023</v>
      </c>
    </row>
    <row r="1735" spans="1:7" x14ac:dyDescent="0.25">
      <c r="A1735">
        <v>1012800</v>
      </c>
      <c r="B1735" s="1">
        <v>45170</v>
      </c>
      <c r="C1735" t="s">
        <v>439</v>
      </c>
      <c r="D1735">
        <v>30.7</v>
      </c>
      <c r="E1735">
        <v>46.05</v>
      </c>
      <c r="F1735" t="str">
        <f t="shared" si="54"/>
        <v>setembro</v>
      </c>
      <c r="G1735">
        <f t="shared" si="55"/>
        <v>2023</v>
      </c>
    </row>
    <row r="1736" spans="1:7" x14ac:dyDescent="0.25">
      <c r="A1736">
        <v>1013100</v>
      </c>
      <c r="B1736" s="1">
        <v>45170</v>
      </c>
      <c r="C1736" t="s">
        <v>57</v>
      </c>
      <c r="D1736">
        <v>47.7</v>
      </c>
      <c r="E1736">
        <v>67.010000000000005</v>
      </c>
      <c r="F1736" t="str">
        <f t="shared" si="54"/>
        <v>setembro</v>
      </c>
      <c r="G1736">
        <f t="shared" si="55"/>
        <v>2023</v>
      </c>
    </row>
    <row r="1737" spans="1:7" x14ac:dyDescent="0.25">
      <c r="A1737">
        <v>1013101</v>
      </c>
      <c r="B1737" s="1">
        <v>45170</v>
      </c>
      <c r="C1737" t="s">
        <v>346</v>
      </c>
      <c r="D1737">
        <v>4548</v>
      </c>
      <c r="E1737">
        <v>6930</v>
      </c>
      <c r="F1737" t="str">
        <f t="shared" si="54"/>
        <v>setembro</v>
      </c>
      <c r="G1737">
        <f t="shared" si="55"/>
        <v>2023</v>
      </c>
    </row>
    <row r="1738" spans="1:7" x14ac:dyDescent="0.25">
      <c r="A1738">
        <v>1013200</v>
      </c>
      <c r="B1738" s="1">
        <v>45170</v>
      </c>
      <c r="C1738" t="s">
        <v>59</v>
      </c>
      <c r="D1738">
        <v>3071.9</v>
      </c>
      <c r="E1738">
        <v>3282.71</v>
      </c>
      <c r="F1738" t="str">
        <f t="shared" si="54"/>
        <v>setembro</v>
      </c>
      <c r="G1738">
        <f t="shared" si="55"/>
        <v>2023</v>
      </c>
    </row>
    <row r="1739" spans="1:7" x14ac:dyDescent="0.25">
      <c r="A1739">
        <v>1013201</v>
      </c>
      <c r="B1739" s="1">
        <v>45170</v>
      </c>
      <c r="C1739" t="s">
        <v>347</v>
      </c>
      <c r="D1739">
        <v>3845.4</v>
      </c>
      <c r="E1739">
        <v>4794.0200000000004</v>
      </c>
      <c r="F1739" t="str">
        <f t="shared" si="54"/>
        <v>setembro</v>
      </c>
      <c r="G1739">
        <f t="shared" si="55"/>
        <v>2023</v>
      </c>
    </row>
    <row r="1740" spans="1:7" x14ac:dyDescent="0.25">
      <c r="A1740">
        <v>1013300</v>
      </c>
      <c r="B1740" s="1">
        <v>45170</v>
      </c>
      <c r="C1740" t="s">
        <v>348</v>
      </c>
      <c r="D1740">
        <v>941.9</v>
      </c>
      <c r="E1740">
        <v>282.57</v>
      </c>
      <c r="F1740" t="str">
        <f t="shared" si="54"/>
        <v>setembro</v>
      </c>
      <c r="G1740">
        <f t="shared" si="55"/>
        <v>2023</v>
      </c>
    </row>
    <row r="1741" spans="1:7" x14ac:dyDescent="0.25">
      <c r="A1741">
        <v>1013500</v>
      </c>
      <c r="B1741" s="1">
        <v>45170</v>
      </c>
      <c r="C1741" t="s">
        <v>61</v>
      </c>
      <c r="D1741">
        <v>36.799999999999997</v>
      </c>
      <c r="E1741">
        <v>18.399999999999999</v>
      </c>
      <c r="F1741" t="str">
        <f t="shared" si="54"/>
        <v>setembro</v>
      </c>
      <c r="G1741">
        <f t="shared" si="55"/>
        <v>2023</v>
      </c>
    </row>
    <row r="1742" spans="1:7" x14ac:dyDescent="0.25">
      <c r="A1742">
        <v>1100100</v>
      </c>
      <c r="B1742" s="1">
        <v>45170</v>
      </c>
      <c r="C1742" t="s">
        <v>63</v>
      </c>
      <c r="D1742">
        <v>59062.400000000001</v>
      </c>
      <c r="E1742">
        <v>167826.62</v>
      </c>
      <c r="F1742" t="str">
        <f t="shared" si="54"/>
        <v>setembro</v>
      </c>
      <c r="G1742">
        <f t="shared" si="55"/>
        <v>2023</v>
      </c>
    </row>
    <row r="1743" spans="1:7" x14ac:dyDescent="0.25">
      <c r="A1743">
        <v>1100101</v>
      </c>
      <c r="B1743" s="1">
        <v>45170</v>
      </c>
      <c r="C1743" t="s">
        <v>65</v>
      </c>
      <c r="D1743">
        <v>359.2</v>
      </c>
      <c r="E1743">
        <v>1041.3699999999999</v>
      </c>
      <c r="F1743" t="str">
        <f t="shared" si="54"/>
        <v>setembro</v>
      </c>
      <c r="G1743">
        <f t="shared" si="55"/>
        <v>2023</v>
      </c>
    </row>
    <row r="1744" spans="1:7" x14ac:dyDescent="0.25">
      <c r="A1744">
        <v>1100200</v>
      </c>
      <c r="B1744" s="1">
        <v>45170</v>
      </c>
      <c r="C1744" t="s">
        <v>67</v>
      </c>
      <c r="D1744">
        <v>59835.92</v>
      </c>
      <c r="E1744">
        <v>187463.34</v>
      </c>
      <c r="F1744" t="str">
        <f t="shared" si="54"/>
        <v>setembro</v>
      </c>
      <c r="G1744">
        <f t="shared" si="55"/>
        <v>2023</v>
      </c>
    </row>
    <row r="1745" spans="1:7" x14ac:dyDescent="0.25">
      <c r="A1745">
        <v>1100300</v>
      </c>
      <c r="B1745" s="1">
        <v>45170</v>
      </c>
      <c r="C1745" t="s">
        <v>69</v>
      </c>
      <c r="D1745">
        <v>14535.42</v>
      </c>
      <c r="E1745">
        <v>45197.82</v>
      </c>
      <c r="F1745" t="str">
        <f t="shared" si="54"/>
        <v>setembro</v>
      </c>
      <c r="G1745">
        <f t="shared" si="55"/>
        <v>2023</v>
      </c>
    </row>
    <row r="1746" spans="1:7" x14ac:dyDescent="0.25">
      <c r="A1746">
        <v>1100301</v>
      </c>
      <c r="B1746" s="1">
        <v>45170</v>
      </c>
      <c r="C1746" t="s">
        <v>71</v>
      </c>
      <c r="D1746">
        <v>46</v>
      </c>
      <c r="E1746">
        <v>157</v>
      </c>
      <c r="F1746" t="str">
        <f t="shared" si="54"/>
        <v>setembro</v>
      </c>
      <c r="G1746">
        <f t="shared" si="55"/>
        <v>2023</v>
      </c>
    </row>
    <row r="1747" spans="1:7" x14ac:dyDescent="0.25">
      <c r="A1747">
        <v>1100400</v>
      </c>
      <c r="B1747" s="1">
        <v>45170</v>
      </c>
      <c r="C1747" t="s">
        <v>73</v>
      </c>
      <c r="D1747">
        <v>8077.87</v>
      </c>
      <c r="E1747">
        <v>23788.32</v>
      </c>
      <c r="F1747" t="str">
        <f t="shared" si="54"/>
        <v>setembro</v>
      </c>
      <c r="G1747">
        <f t="shared" si="55"/>
        <v>2023</v>
      </c>
    </row>
    <row r="1748" spans="1:7" x14ac:dyDescent="0.25">
      <c r="A1748">
        <v>1100500</v>
      </c>
      <c r="B1748" s="1">
        <v>45170</v>
      </c>
      <c r="C1748" t="s">
        <v>75</v>
      </c>
      <c r="D1748">
        <v>285.16000000000003</v>
      </c>
      <c r="E1748">
        <v>859.49</v>
      </c>
      <c r="F1748" t="str">
        <f t="shared" si="54"/>
        <v>setembro</v>
      </c>
      <c r="G1748">
        <f t="shared" si="55"/>
        <v>2023</v>
      </c>
    </row>
    <row r="1749" spans="1:7" x14ac:dyDescent="0.25">
      <c r="A1749">
        <v>1100600</v>
      </c>
      <c r="B1749" s="1">
        <v>45170</v>
      </c>
      <c r="C1749" t="s">
        <v>77</v>
      </c>
      <c r="D1749">
        <v>9899.23</v>
      </c>
      <c r="E1749">
        <v>36002.699999999997</v>
      </c>
      <c r="F1749" t="str">
        <f t="shared" si="54"/>
        <v>setembro</v>
      </c>
      <c r="G1749">
        <f t="shared" si="55"/>
        <v>2023</v>
      </c>
    </row>
    <row r="1750" spans="1:7" x14ac:dyDescent="0.25">
      <c r="A1750">
        <v>1100602</v>
      </c>
      <c r="B1750" s="1">
        <v>45170</v>
      </c>
      <c r="C1750" t="s">
        <v>79</v>
      </c>
      <c r="D1750">
        <v>313.38</v>
      </c>
      <c r="E1750">
        <v>1724.11</v>
      </c>
      <c r="F1750" t="str">
        <f t="shared" si="54"/>
        <v>setembro</v>
      </c>
      <c r="G1750">
        <f t="shared" si="55"/>
        <v>2023</v>
      </c>
    </row>
    <row r="1751" spans="1:7" x14ac:dyDescent="0.25">
      <c r="A1751">
        <v>1100603</v>
      </c>
      <c r="B1751" s="1">
        <v>45170</v>
      </c>
      <c r="C1751" t="s">
        <v>304</v>
      </c>
      <c r="D1751">
        <v>630</v>
      </c>
      <c r="E1751">
        <v>3438</v>
      </c>
      <c r="F1751" t="str">
        <f t="shared" si="54"/>
        <v>setembro</v>
      </c>
      <c r="G1751">
        <f t="shared" si="55"/>
        <v>2023</v>
      </c>
    </row>
    <row r="1752" spans="1:7" x14ac:dyDescent="0.25">
      <c r="A1752">
        <v>1100605</v>
      </c>
      <c r="B1752" s="1">
        <v>45170</v>
      </c>
      <c r="C1752" t="s">
        <v>631</v>
      </c>
      <c r="D1752">
        <v>649</v>
      </c>
      <c r="E1752">
        <v>2141.6999999999998</v>
      </c>
      <c r="F1752" t="str">
        <f t="shared" si="54"/>
        <v>setembro</v>
      </c>
      <c r="G1752">
        <f t="shared" si="55"/>
        <v>2023</v>
      </c>
    </row>
    <row r="1753" spans="1:7" x14ac:dyDescent="0.25">
      <c r="A1753">
        <v>1100608</v>
      </c>
      <c r="B1753" s="1">
        <v>45170</v>
      </c>
      <c r="C1753" t="s">
        <v>349</v>
      </c>
      <c r="D1753">
        <v>10918.76</v>
      </c>
      <c r="E1753">
        <v>38314.07</v>
      </c>
      <c r="F1753" t="str">
        <f t="shared" si="54"/>
        <v>setembro</v>
      </c>
      <c r="G1753">
        <f t="shared" si="55"/>
        <v>2023</v>
      </c>
    </row>
    <row r="1754" spans="1:7" x14ac:dyDescent="0.25">
      <c r="A1754">
        <v>1100700</v>
      </c>
      <c r="B1754" s="1">
        <v>45170</v>
      </c>
      <c r="C1754" t="s">
        <v>83</v>
      </c>
      <c r="D1754">
        <v>19777.439999999999</v>
      </c>
      <c r="E1754">
        <v>68714.36</v>
      </c>
      <c r="F1754" t="str">
        <f t="shared" si="54"/>
        <v>setembro</v>
      </c>
      <c r="G1754">
        <f t="shared" si="55"/>
        <v>2023</v>
      </c>
    </row>
    <row r="1755" spans="1:7" x14ac:dyDescent="0.25">
      <c r="A1755">
        <v>1100701</v>
      </c>
      <c r="B1755" s="1">
        <v>45170</v>
      </c>
      <c r="C1755" t="s">
        <v>84</v>
      </c>
      <c r="D1755">
        <v>257</v>
      </c>
      <c r="E1755">
        <v>1030.79</v>
      </c>
      <c r="F1755" t="str">
        <f t="shared" si="54"/>
        <v>setembro</v>
      </c>
      <c r="G1755">
        <f t="shared" si="55"/>
        <v>2023</v>
      </c>
    </row>
    <row r="1756" spans="1:7" x14ac:dyDescent="0.25">
      <c r="A1756">
        <v>1100703</v>
      </c>
      <c r="B1756" s="1">
        <v>45170</v>
      </c>
      <c r="C1756" t="s">
        <v>86</v>
      </c>
      <c r="D1756">
        <v>1287.68</v>
      </c>
      <c r="E1756">
        <v>5252.6</v>
      </c>
      <c r="F1756" t="str">
        <f t="shared" si="54"/>
        <v>setembro</v>
      </c>
      <c r="G1756">
        <f t="shared" si="55"/>
        <v>2023</v>
      </c>
    </row>
    <row r="1757" spans="1:7" x14ac:dyDescent="0.25">
      <c r="A1757">
        <v>1100705</v>
      </c>
      <c r="B1757" s="1">
        <v>45170</v>
      </c>
      <c r="C1757" t="s">
        <v>88</v>
      </c>
      <c r="D1757">
        <v>149.46</v>
      </c>
      <c r="E1757">
        <v>239.05</v>
      </c>
      <c r="F1757" t="str">
        <f t="shared" si="54"/>
        <v>setembro</v>
      </c>
      <c r="G1757">
        <f t="shared" si="55"/>
        <v>2023</v>
      </c>
    </row>
    <row r="1758" spans="1:7" x14ac:dyDescent="0.25">
      <c r="A1758">
        <v>1100706</v>
      </c>
      <c r="B1758" s="1">
        <v>45170</v>
      </c>
      <c r="C1758" t="s">
        <v>305</v>
      </c>
      <c r="D1758">
        <v>7.8</v>
      </c>
      <c r="E1758">
        <v>12.25</v>
      </c>
      <c r="F1758" t="str">
        <f t="shared" si="54"/>
        <v>setembro</v>
      </c>
      <c r="G1758">
        <f t="shared" si="55"/>
        <v>2023</v>
      </c>
    </row>
    <row r="1759" spans="1:7" x14ac:dyDescent="0.25">
      <c r="A1759">
        <v>1100707</v>
      </c>
      <c r="B1759" s="1">
        <v>45170</v>
      </c>
      <c r="C1759" t="s">
        <v>686</v>
      </c>
      <c r="D1759">
        <v>23</v>
      </c>
      <c r="E1759">
        <v>93.15</v>
      </c>
      <c r="F1759" t="str">
        <f t="shared" si="54"/>
        <v>setembro</v>
      </c>
      <c r="G1759">
        <f t="shared" si="55"/>
        <v>2023</v>
      </c>
    </row>
    <row r="1760" spans="1:7" x14ac:dyDescent="0.25">
      <c r="A1760">
        <v>1100800</v>
      </c>
      <c r="B1760" s="1">
        <v>45170</v>
      </c>
      <c r="C1760" t="s">
        <v>90</v>
      </c>
      <c r="D1760">
        <v>8872.17</v>
      </c>
      <c r="E1760">
        <v>29344.25</v>
      </c>
      <c r="F1760" t="str">
        <f t="shared" si="54"/>
        <v>setembro</v>
      </c>
      <c r="G1760">
        <f t="shared" si="55"/>
        <v>2023</v>
      </c>
    </row>
    <row r="1761" spans="1:7" x14ac:dyDescent="0.25">
      <c r="A1761">
        <v>1100801</v>
      </c>
      <c r="B1761" s="1">
        <v>45170</v>
      </c>
      <c r="C1761" t="s">
        <v>92</v>
      </c>
      <c r="D1761">
        <v>1045</v>
      </c>
      <c r="E1761">
        <v>3570.4</v>
      </c>
      <c r="F1761" t="str">
        <f t="shared" si="54"/>
        <v>setembro</v>
      </c>
      <c r="G1761">
        <f t="shared" si="55"/>
        <v>2023</v>
      </c>
    </row>
    <row r="1762" spans="1:7" x14ac:dyDescent="0.25">
      <c r="A1762">
        <v>1100802</v>
      </c>
      <c r="B1762" s="1">
        <v>45170</v>
      </c>
      <c r="C1762" t="s">
        <v>306</v>
      </c>
      <c r="D1762">
        <v>132.9</v>
      </c>
      <c r="E1762">
        <v>432.42</v>
      </c>
      <c r="F1762" t="str">
        <f t="shared" si="54"/>
        <v>setembro</v>
      </c>
      <c r="G1762">
        <f t="shared" si="55"/>
        <v>2023</v>
      </c>
    </row>
    <row r="1763" spans="1:7" x14ac:dyDescent="0.25">
      <c r="A1763">
        <v>1100900</v>
      </c>
      <c r="B1763" s="1">
        <v>45170</v>
      </c>
      <c r="C1763" t="s">
        <v>94</v>
      </c>
      <c r="D1763">
        <v>648.26</v>
      </c>
      <c r="E1763">
        <v>3669.83</v>
      </c>
      <c r="F1763" t="str">
        <f t="shared" si="54"/>
        <v>setembro</v>
      </c>
      <c r="G1763">
        <f t="shared" si="55"/>
        <v>2023</v>
      </c>
    </row>
    <row r="1764" spans="1:7" x14ac:dyDescent="0.25">
      <c r="A1764">
        <v>1101000</v>
      </c>
      <c r="B1764" s="1">
        <v>45170</v>
      </c>
      <c r="C1764" t="s">
        <v>96</v>
      </c>
      <c r="D1764">
        <v>10309.969999999999</v>
      </c>
      <c r="E1764">
        <v>38782.910000000003</v>
      </c>
      <c r="F1764" t="str">
        <f t="shared" si="54"/>
        <v>setembro</v>
      </c>
      <c r="G1764">
        <f t="shared" si="55"/>
        <v>2023</v>
      </c>
    </row>
    <row r="1765" spans="1:7" x14ac:dyDescent="0.25">
      <c r="A1765">
        <v>1101001</v>
      </c>
      <c r="B1765" s="1">
        <v>45170</v>
      </c>
      <c r="C1765" t="s">
        <v>98</v>
      </c>
      <c r="D1765">
        <v>52.4</v>
      </c>
      <c r="E1765">
        <v>248.9</v>
      </c>
      <c r="F1765" t="str">
        <f t="shared" si="54"/>
        <v>setembro</v>
      </c>
      <c r="G1765">
        <f t="shared" si="55"/>
        <v>2023</v>
      </c>
    </row>
    <row r="1766" spans="1:7" x14ac:dyDescent="0.25">
      <c r="A1766">
        <v>1101002</v>
      </c>
      <c r="B1766" s="1">
        <v>45170</v>
      </c>
      <c r="C1766" t="s">
        <v>687</v>
      </c>
      <c r="D1766">
        <v>525.4</v>
      </c>
      <c r="E1766">
        <v>2199.11</v>
      </c>
      <c r="F1766" t="str">
        <f t="shared" si="54"/>
        <v>setembro</v>
      </c>
      <c r="G1766">
        <f t="shared" si="55"/>
        <v>2023</v>
      </c>
    </row>
    <row r="1767" spans="1:7" x14ac:dyDescent="0.25">
      <c r="A1767">
        <v>1101100</v>
      </c>
      <c r="B1767" s="1">
        <v>45170</v>
      </c>
      <c r="C1767" t="s">
        <v>100</v>
      </c>
      <c r="D1767">
        <v>43740.6</v>
      </c>
      <c r="E1767">
        <v>149304.25</v>
      </c>
      <c r="F1767" t="str">
        <f t="shared" si="54"/>
        <v>setembro</v>
      </c>
      <c r="G1767">
        <f t="shared" si="55"/>
        <v>2023</v>
      </c>
    </row>
    <row r="1768" spans="1:7" x14ac:dyDescent="0.25">
      <c r="A1768">
        <v>1101102</v>
      </c>
      <c r="B1768" s="1">
        <v>45170</v>
      </c>
      <c r="C1768" t="s">
        <v>742</v>
      </c>
      <c r="D1768">
        <v>452.6</v>
      </c>
      <c r="E1768">
        <v>1691.14</v>
      </c>
      <c r="F1768" t="str">
        <f t="shared" si="54"/>
        <v>setembro</v>
      </c>
      <c r="G1768">
        <f t="shared" si="55"/>
        <v>2023</v>
      </c>
    </row>
    <row r="1769" spans="1:7" x14ac:dyDescent="0.25">
      <c r="A1769">
        <v>1101108</v>
      </c>
      <c r="B1769" s="1">
        <v>45170</v>
      </c>
      <c r="C1769" t="s">
        <v>743</v>
      </c>
      <c r="D1769">
        <v>216.97</v>
      </c>
      <c r="E1769">
        <v>950.97</v>
      </c>
      <c r="F1769" t="str">
        <f t="shared" si="54"/>
        <v>setembro</v>
      </c>
      <c r="G1769">
        <f t="shared" si="55"/>
        <v>2023</v>
      </c>
    </row>
    <row r="1770" spans="1:7" x14ac:dyDescent="0.25">
      <c r="A1770">
        <v>1101200</v>
      </c>
      <c r="B1770" s="1">
        <v>45170</v>
      </c>
      <c r="C1770" t="s">
        <v>744</v>
      </c>
      <c r="D1770">
        <v>215.4</v>
      </c>
      <c r="E1770">
        <v>798.08</v>
      </c>
      <c r="F1770" t="str">
        <f t="shared" si="54"/>
        <v>setembro</v>
      </c>
      <c r="G1770">
        <f t="shared" si="55"/>
        <v>2023</v>
      </c>
    </row>
    <row r="1771" spans="1:7" x14ac:dyDescent="0.25">
      <c r="A1771">
        <v>1101300</v>
      </c>
      <c r="B1771" s="1">
        <v>45170</v>
      </c>
      <c r="C1771" t="s">
        <v>102</v>
      </c>
      <c r="D1771">
        <v>312.10000000000002</v>
      </c>
      <c r="E1771">
        <v>1199.5</v>
      </c>
      <c r="F1771" t="str">
        <f t="shared" si="54"/>
        <v>setembro</v>
      </c>
      <c r="G1771">
        <f t="shared" si="55"/>
        <v>2023</v>
      </c>
    </row>
    <row r="1772" spans="1:7" x14ac:dyDescent="0.25">
      <c r="A1772">
        <v>1101400</v>
      </c>
      <c r="B1772" s="1">
        <v>45170</v>
      </c>
      <c r="C1772" t="s">
        <v>104</v>
      </c>
      <c r="D1772">
        <v>13709.71</v>
      </c>
      <c r="E1772">
        <v>38920.47</v>
      </c>
      <c r="F1772" t="str">
        <f t="shared" si="54"/>
        <v>setembro</v>
      </c>
      <c r="G1772">
        <f t="shared" si="55"/>
        <v>2023</v>
      </c>
    </row>
    <row r="1773" spans="1:7" x14ac:dyDescent="0.25">
      <c r="A1773">
        <v>1101500</v>
      </c>
      <c r="B1773" s="1">
        <v>45170</v>
      </c>
      <c r="C1773" t="s">
        <v>106</v>
      </c>
      <c r="D1773">
        <v>224.4</v>
      </c>
      <c r="E1773">
        <v>692.63</v>
      </c>
      <c r="F1773" t="str">
        <f t="shared" si="54"/>
        <v>setembro</v>
      </c>
      <c r="G1773">
        <f t="shared" si="55"/>
        <v>2023</v>
      </c>
    </row>
    <row r="1774" spans="1:7" x14ac:dyDescent="0.25">
      <c r="A1774">
        <v>1101600</v>
      </c>
      <c r="B1774" s="1">
        <v>45170</v>
      </c>
      <c r="C1774" t="s">
        <v>108</v>
      </c>
      <c r="D1774">
        <v>59.2</v>
      </c>
      <c r="E1774">
        <v>184.28</v>
      </c>
      <c r="F1774" t="str">
        <f t="shared" si="54"/>
        <v>setembro</v>
      </c>
      <c r="G1774">
        <f t="shared" si="55"/>
        <v>2023</v>
      </c>
    </row>
    <row r="1775" spans="1:7" x14ac:dyDescent="0.25">
      <c r="A1775">
        <v>1101700</v>
      </c>
      <c r="B1775" s="1">
        <v>45170</v>
      </c>
      <c r="C1775" t="s">
        <v>110</v>
      </c>
      <c r="D1775">
        <v>2026.3</v>
      </c>
      <c r="E1775">
        <v>6010.73</v>
      </c>
      <c r="F1775" t="str">
        <f t="shared" si="54"/>
        <v>setembro</v>
      </c>
      <c r="G1775">
        <f t="shared" si="55"/>
        <v>2023</v>
      </c>
    </row>
    <row r="1776" spans="1:7" x14ac:dyDescent="0.25">
      <c r="A1776">
        <v>1101801</v>
      </c>
      <c r="B1776" s="1">
        <v>45170</v>
      </c>
      <c r="C1776" t="s">
        <v>112</v>
      </c>
      <c r="D1776">
        <v>3493.25</v>
      </c>
      <c r="E1776">
        <v>9355.5400000000009</v>
      </c>
      <c r="F1776" t="str">
        <f t="shared" si="54"/>
        <v>setembro</v>
      </c>
      <c r="G1776">
        <f t="shared" si="55"/>
        <v>2023</v>
      </c>
    </row>
    <row r="1777" spans="1:7" x14ac:dyDescent="0.25">
      <c r="A1777">
        <v>1101900</v>
      </c>
      <c r="B1777" s="1">
        <v>45170</v>
      </c>
      <c r="C1777" t="s">
        <v>114</v>
      </c>
      <c r="D1777">
        <v>10426.18</v>
      </c>
      <c r="E1777">
        <v>36806.76</v>
      </c>
      <c r="F1777" t="str">
        <f t="shared" si="54"/>
        <v>setembro</v>
      </c>
      <c r="G1777">
        <f t="shared" si="55"/>
        <v>2023</v>
      </c>
    </row>
    <row r="1778" spans="1:7" x14ac:dyDescent="0.25">
      <c r="A1778">
        <v>1101901</v>
      </c>
      <c r="B1778" s="1">
        <v>45170</v>
      </c>
      <c r="C1778" t="s">
        <v>448</v>
      </c>
      <c r="D1778">
        <v>983.56</v>
      </c>
      <c r="E1778">
        <v>3293.66</v>
      </c>
      <c r="F1778" t="str">
        <f t="shared" si="54"/>
        <v>setembro</v>
      </c>
      <c r="G1778">
        <f t="shared" si="55"/>
        <v>2023</v>
      </c>
    </row>
    <row r="1779" spans="1:7" x14ac:dyDescent="0.25">
      <c r="A1779">
        <v>1101902</v>
      </c>
      <c r="B1779" s="1">
        <v>45170</v>
      </c>
      <c r="C1779" t="s">
        <v>351</v>
      </c>
      <c r="D1779">
        <v>1296.8599999999999</v>
      </c>
      <c r="E1779">
        <v>5457.83</v>
      </c>
      <c r="F1779" t="str">
        <f t="shared" si="54"/>
        <v>setembro</v>
      </c>
      <c r="G1779">
        <f t="shared" si="55"/>
        <v>2023</v>
      </c>
    </row>
    <row r="1780" spans="1:7" x14ac:dyDescent="0.25">
      <c r="A1780">
        <v>1101903</v>
      </c>
      <c r="B1780" s="1">
        <v>45170</v>
      </c>
      <c r="C1780" t="s">
        <v>745</v>
      </c>
      <c r="D1780">
        <v>422.72</v>
      </c>
      <c r="E1780">
        <v>1944.54</v>
      </c>
      <c r="F1780" t="str">
        <f t="shared" si="54"/>
        <v>setembro</v>
      </c>
      <c r="G1780">
        <f t="shared" si="55"/>
        <v>2023</v>
      </c>
    </row>
    <row r="1781" spans="1:7" x14ac:dyDescent="0.25">
      <c r="A1781">
        <v>1101906</v>
      </c>
      <c r="B1781" s="1">
        <v>45170</v>
      </c>
      <c r="C1781" t="s">
        <v>632</v>
      </c>
      <c r="D1781">
        <v>1311.96</v>
      </c>
      <c r="E1781">
        <v>4329.5</v>
      </c>
      <c r="F1781" t="str">
        <f t="shared" si="54"/>
        <v>setembro</v>
      </c>
      <c r="G1781">
        <f t="shared" si="55"/>
        <v>2023</v>
      </c>
    </row>
    <row r="1782" spans="1:7" x14ac:dyDescent="0.25">
      <c r="A1782">
        <v>1102000</v>
      </c>
      <c r="B1782" s="1">
        <v>45170</v>
      </c>
      <c r="C1782" t="s">
        <v>115</v>
      </c>
      <c r="D1782">
        <v>75.5</v>
      </c>
      <c r="E1782">
        <v>319.75</v>
      </c>
      <c r="F1782" t="str">
        <f t="shared" si="54"/>
        <v>setembro</v>
      </c>
      <c r="G1782">
        <f t="shared" si="55"/>
        <v>2023</v>
      </c>
    </row>
    <row r="1783" spans="1:7" x14ac:dyDescent="0.25">
      <c r="A1783">
        <v>1102200</v>
      </c>
      <c r="B1783" s="1">
        <v>45170</v>
      </c>
      <c r="C1783" t="s">
        <v>117</v>
      </c>
      <c r="D1783">
        <v>125.12</v>
      </c>
      <c r="E1783">
        <v>444.45</v>
      </c>
      <c r="F1783" t="str">
        <f t="shared" si="54"/>
        <v>setembro</v>
      </c>
      <c r="G1783">
        <f t="shared" si="55"/>
        <v>2023</v>
      </c>
    </row>
    <row r="1784" spans="1:7" x14ac:dyDescent="0.25">
      <c r="A1784">
        <v>1102300</v>
      </c>
      <c r="B1784" s="1">
        <v>45170</v>
      </c>
      <c r="C1784" t="s">
        <v>119</v>
      </c>
      <c r="D1784">
        <v>5509.19</v>
      </c>
      <c r="E1784">
        <v>17271.84</v>
      </c>
      <c r="F1784" t="str">
        <f t="shared" si="54"/>
        <v>setembro</v>
      </c>
      <c r="G1784">
        <f t="shared" si="55"/>
        <v>2023</v>
      </c>
    </row>
    <row r="1785" spans="1:7" x14ac:dyDescent="0.25">
      <c r="A1785">
        <v>1103000</v>
      </c>
      <c r="B1785" s="1">
        <v>45170</v>
      </c>
      <c r="C1785" t="s">
        <v>121</v>
      </c>
      <c r="D1785">
        <v>644.26</v>
      </c>
      <c r="E1785">
        <v>1297.8900000000001</v>
      </c>
      <c r="F1785" t="str">
        <f t="shared" si="54"/>
        <v>setembro</v>
      </c>
      <c r="G1785">
        <f t="shared" si="55"/>
        <v>2023</v>
      </c>
    </row>
    <row r="1786" spans="1:7" x14ac:dyDescent="0.25">
      <c r="A1786">
        <v>1103001</v>
      </c>
      <c r="B1786" s="1">
        <v>45170</v>
      </c>
      <c r="C1786" t="s">
        <v>123</v>
      </c>
      <c r="D1786">
        <v>104.76</v>
      </c>
      <c r="E1786">
        <v>220</v>
      </c>
      <c r="F1786" t="str">
        <f t="shared" si="54"/>
        <v>setembro</v>
      </c>
      <c r="G1786">
        <f t="shared" si="55"/>
        <v>2023</v>
      </c>
    </row>
    <row r="1787" spans="1:7" x14ac:dyDescent="0.25">
      <c r="A1787">
        <v>2010900</v>
      </c>
      <c r="B1787" s="1">
        <v>45170</v>
      </c>
      <c r="C1787" t="s">
        <v>125</v>
      </c>
      <c r="D1787">
        <v>10</v>
      </c>
      <c r="E1787">
        <v>13</v>
      </c>
      <c r="F1787" t="str">
        <f t="shared" si="54"/>
        <v>setembro</v>
      </c>
      <c r="G1787">
        <f t="shared" si="55"/>
        <v>2023</v>
      </c>
    </row>
    <row r="1788" spans="1:7" x14ac:dyDescent="0.25">
      <c r="A1788">
        <v>2010904</v>
      </c>
      <c r="B1788" s="1">
        <v>45170</v>
      </c>
      <c r="C1788" t="s">
        <v>633</v>
      </c>
      <c r="D1788">
        <v>500</v>
      </c>
      <c r="E1788">
        <v>516</v>
      </c>
      <c r="F1788" t="str">
        <f t="shared" si="54"/>
        <v>setembro</v>
      </c>
      <c r="G1788">
        <f t="shared" si="55"/>
        <v>2023</v>
      </c>
    </row>
    <row r="1789" spans="1:7" x14ac:dyDescent="0.25">
      <c r="A1789">
        <v>2010905</v>
      </c>
      <c r="B1789" s="1">
        <v>45170</v>
      </c>
      <c r="C1789" t="s">
        <v>544</v>
      </c>
      <c r="D1789">
        <v>450</v>
      </c>
      <c r="E1789">
        <v>371</v>
      </c>
      <c r="F1789" t="str">
        <f t="shared" si="54"/>
        <v>setembro</v>
      </c>
      <c r="G1789">
        <f t="shared" si="55"/>
        <v>2023</v>
      </c>
    </row>
    <row r="1790" spans="1:7" x14ac:dyDescent="0.25">
      <c r="A1790">
        <v>2011700</v>
      </c>
      <c r="B1790" s="1">
        <v>45170</v>
      </c>
      <c r="C1790" t="s">
        <v>129</v>
      </c>
      <c r="D1790">
        <v>169.88</v>
      </c>
      <c r="E1790">
        <v>410.73</v>
      </c>
      <c r="F1790" t="str">
        <f t="shared" si="54"/>
        <v>setembro</v>
      </c>
      <c r="G1790">
        <f t="shared" si="55"/>
        <v>2023</v>
      </c>
    </row>
    <row r="1791" spans="1:7" x14ac:dyDescent="0.25">
      <c r="A1791">
        <v>2090002</v>
      </c>
      <c r="B1791" s="1">
        <v>45170</v>
      </c>
      <c r="C1791" t="s">
        <v>451</v>
      </c>
      <c r="D1791">
        <v>246.15</v>
      </c>
      <c r="E1791">
        <v>1193.58</v>
      </c>
      <c r="F1791" t="str">
        <f t="shared" si="54"/>
        <v>setembro</v>
      </c>
      <c r="G1791">
        <f t="shared" si="55"/>
        <v>2023</v>
      </c>
    </row>
    <row r="1792" spans="1:7" x14ac:dyDescent="0.25">
      <c r="A1792">
        <v>2101100</v>
      </c>
      <c r="B1792" s="1">
        <v>45170</v>
      </c>
      <c r="C1792" t="s">
        <v>453</v>
      </c>
      <c r="D1792">
        <v>107</v>
      </c>
      <c r="E1792">
        <v>481.5</v>
      </c>
      <c r="F1792" t="str">
        <f t="shared" si="54"/>
        <v>setembro</v>
      </c>
      <c r="G1792">
        <f t="shared" si="55"/>
        <v>2023</v>
      </c>
    </row>
    <row r="1793" spans="1:7" x14ac:dyDescent="0.25">
      <c r="A1793">
        <v>3020103</v>
      </c>
      <c r="B1793" s="1">
        <v>45170</v>
      </c>
      <c r="C1793" t="s">
        <v>131</v>
      </c>
      <c r="D1793">
        <v>6418.6</v>
      </c>
      <c r="E1793">
        <v>21173.91</v>
      </c>
      <c r="F1793" t="str">
        <f t="shared" si="54"/>
        <v>setembro</v>
      </c>
      <c r="G1793">
        <f t="shared" si="55"/>
        <v>2023</v>
      </c>
    </row>
    <row r="1794" spans="1:7" x14ac:dyDescent="0.25">
      <c r="A1794">
        <v>3020212</v>
      </c>
      <c r="B1794" s="1">
        <v>45170</v>
      </c>
      <c r="C1794" t="s">
        <v>133</v>
      </c>
      <c r="D1794">
        <v>1617.58</v>
      </c>
      <c r="E1794">
        <v>5992.38</v>
      </c>
      <c r="F1794" t="str">
        <f t="shared" si="54"/>
        <v>setembro</v>
      </c>
      <c r="G1794">
        <f t="shared" si="55"/>
        <v>2023</v>
      </c>
    </row>
    <row r="1795" spans="1:7" x14ac:dyDescent="0.25">
      <c r="A1795">
        <v>3020214</v>
      </c>
      <c r="B1795" s="1">
        <v>45170</v>
      </c>
      <c r="C1795" t="s">
        <v>135</v>
      </c>
      <c r="D1795">
        <v>530.36</v>
      </c>
      <c r="E1795">
        <v>1869.89</v>
      </c>
      <c r="F1795" t="str">
        <f t="shared" ref="F1795:F1858" si="56">TEXT(B1795,"mmmm")</f>
        <v>setembro</v>
      </c>
      <c r="G1795">
        <f t="shared" ref="G1795:G1858" si="57">YEAR(B1795)</f>
        <v>2023</v>
      </c>
    </row>
    <row r="1796" spans="1:7" x14ac:dyDescent="0.25">
      <c r="A1796">
        <v>3020315</v>
      </c>
      <c r="B1796" s="1">
        <v>45170</v>
      </c>
      <c r="C1796" t="s">
        <v>137</v>
      </c>
      <c r="D1796">
        <v>2189.29</v>
      </c>
      <c r="E1796">
        <v>7833.71</v>
      </c>
      <c r="F1796" t="str">
        <f t="shared" si="56"/>
        <v>setembro</v>
      </c>
      <c r="G1796">
        <f t="shared" si="57"/>
        <v>2023</v>
      </c>
    </row>
    <row r="1797" spans="1:7" x14ac:dyDescent="0.25">
      <c r="A1797">
        <v>3020316</v>
      </c>
      <c r="B1797" s="1">
        <v>45170</v>
      </c>
      <c r="C1797" t="s">
        <v>139</v>
      </c>
      <c r="D1797">
        <v>198.09</v>
      </c>
      <c r="E1797">
        <v>629.92999999999995</v>
      </c>
      <c r="F1797" t="str">
        <f t="shared" si="56"/>
        <v>setembro</v>
      </c>
      <c r="G1797">
        <f t="shared" si="57"/>
        <v>2023</v>
      </c>
    </row>
    <row r="1798" spans="1:7" x14ac:dyDescent="0.25">
      <c r="A1798">
        <v>3020402</v>
      </c>
      <c r="B1798" s="1">
        <v>45170</v>
      </c>
      <c r="C1798" t="s">
        <v>141</v>
      </c>
      <c r="D1798">
        <v>1796.82</v>
      </c>
      <c r="E1798">
        <v>6338.28</v>
      </c>
      <c r="F1798" t="str">
        <f t="shared" si="56"/>
        <v>setembro</v>
      </c>
      <c r="G1798">
        <f t="shared" si="57"/>
        <v>2023</v>
      </c>
    </row>
    <row r="1799" spans="1:7" x14ac:dyDescent="0.25">
      <c r="A1799">
        <v>3020504</v>
      </c>
      <c r="B1799" s="1">
        <v>45170</v>
      </c>
      <c r="C1799" t="s">
        <v>143</v>
      </c>
      <c r="D1799">
        <v>475.18</v>
      </c>
      <c r="E1799">
        <v>1789.72</v>
      </c>
      <c r="F1799" t="str">
        <f t="shared" si="56"/>
        <v>setembro</v>
      </c>
      <c r="G1799">
        <f t="shared" si="57"/>
        <v>2023</v>
      </c>
    </row>
    <row r="1800" spans="1:7" x14ac:dyDescent="0.25">
      <c r="A1800">
        <v>3020622</v>
      </c>
      <c r="B1800" s="1">
        <v>45170</v>
      </c>
      <c r="C1800" t="s">
        <v>145</v>
      </c>
      <c r="D1800">
        <v>5250.44</v>
      </c>
      <c r="E1800">
        <v>18544.28</v>
      </c>
      <c r="F1800" t="str">
        <f t="shared" si="56"/>
        <v>setembro</v>
      </c>
      <c r="G1800">
        <f t="shared" si="57"/>
        <v>2023</v>
      </c>
    </row>
    <row r="1801" spans="1:7" x14ac:dyDescent="0.25">
      <c r="A1801">
        <v>3020623</v>
      </c>
      <c r="B1801" s="1">
        <v>45170</v>
      </c>
      <c r="C1801" t="s">
        <v>147</v>
      </c>
      <c r="D1801">
        <v>675.46</v>
      </c>
      <c r="E1801">
        <v>2621.34</v>
      </c>
      <c r="F1801" t="str">
        <f t="shared" si="56"/>
        <v>setembro</v>
      </c>
      <c r="G1801">
        <f t="shared" si="57"/>
        <v>2023</v>
      </c>
    </row>
    <row r="1802" spans="1:7" x14ac:dyDescent="0.25">
      <c r="A1802">
        <v>3020725</v>
      </c>
      <c r="B1802" s="1">
        <v>45170</v>
      </c>
      <c r="C1802" t="s">
        <v>149</v>
      </c>
      <c r="D1802">
        <v>423.83</v>
      </c>
      <c r="E1802">
        <v>1609.4</v>
      </c>
      <c r="F1802" t="str">
        <f t="shared" si="56"/>
        <v>setembro</v>
      </c>
      <c r="G1802">
        <f t="shared" si="57"/>
        <v>2023</v>
      </c>
    </row>
    <row r="1803" spans="1:7" x14ac:dyDescent="0.25">
      <c r="A1803">
        <v>3020823</v>
      </c>
      <c r="B1803" s="1">
        <v>45170</v>
      </c>
      <c r="C1803" t="s">
        <v>151</v>
      </c>
      <c r="D1803">
        <v>1594.52</v>
      </c>
      <c r="E1803">
        <v>6014.7</v>
      </c>
      <c r="F1803" t="str">
        <f t="shared" si="56"/>
        <v>setembro</v>
      </c>
      <c r="G1803">
        <f t="shared" si="57"/>
        <v>2023</v>
      </c>
    </row>
    <row r="1804" spans="1:7" x14ac:dyDescent="0.25">
      <c r="A1804">
        <v>3020824</v>
      </c>
      <c r="B1804" s="1">
        <v>45170</v>
      </c>
      <c r="C1804" t="s">
        <v>153</v>
      </c>
      <c r="D1804">
        <v>1895</v>
      </c>
      <c r="E1804">
        <v>7052.57</v>
      </c>
      <c r="F1804" t="str">
        <f t="shared" si="56"/>
        <v>setembro</v>
      </c>
      <c r="G1804">
        <f t="shared" si="57"/>
        <v>2023</v>
      </c>
    </row>
    <row r="1805" spans="1:7" x14ac:dyDescent="0.25">
      <c r="A1805">
        <v>3020825</v>
      </c>
      <c r="B1805" s="1">
        <v>45170</v>
      </c>
      <c r="C1805" t="s">
        <v>455</v>
      </c>
      <c r="D1805">
        <v>549.70000000000005</v>
      </c>
      <c r="E1805">
        <v>2253.7600000000002</v>
      </c>
      <c r="F1805" t="str">
        <f t="shared" si="56"/>
        <v>setembro</v>
      </c>
      <c r="G1805">
        <f t="shared" si="57"/>
        <v>2023</v>
      </c>
    </row>
    <row r="1806" spans="1:7" x14ac:dyDescent="0.25">
      <c r="A1806">
        <v>3020924</v>
      </c>
      <c r="B1806" s="1">
        <v>45170</v>
      </c>
      <c r="C1806" t="s">
        <v>155</v>
      </c>
      <c r="D1806">
        <v>1323.61</v>
      </c>
      <c r="E1806">
        <v>5060.58</v>
      </c>
      <c r="F1806" t="str">
        <f t="shared" si="56"/>
        <v>setembro</v>
      </c>
      <c r="G1806">
        <f t="shared" si="57"/>
        <v>2023</v>
      </c>
    </row>
    <row r="1807" spans="1:7" x14ac:dyDescent="0.25">
      <c r="A1807">
        <v>3020925</v>
      </c>
      <c r="B1807" s="1">
        <v>45170</v>
      </c>
      <c r="C1807" t="s">
        <v>157</v>
      </c>
      <c r="D1807">
        <v>1910.32</v>
      </c>
      <c r="E1807">
        <v>7296.08</v>
      </c>
      <c r="F1807" t="str">
        <f t="shared" si="56"/>
        <v>setembro</v>
      </c>
      <c r="G1807">
        <f t="shared" si="57"/>
        <v>2023</v>
      </c>
    </row>
    <row r="1808" spans="1:7" x14ac:dyDescent="0.25">
      <c r="A1808">
        <v>3021435</v>
      </c>
      <c r="B1808" s="1">
        <v>45170</v>
      </c>
      <c r="C1808" t="s">
        <v>159</v>
      </c>
      <c r="D1808">
        <v>11.14</v>
      </c>
      <c r="E1808">
        <v>35.090000000000003</v>
      </c>
      <c r="F1808" t="str">
        <f t="shared" si="56"/>
        <v>setembro</v>
      </c>
      <c r="G1808">
        <f t="shared" si="57"/>
        <v>2023</v>
      </c>
    </row>
    <row r="1809" spans="1:7" x14ac:dyDescent="0.25">
      <c r="A1809">
        <v>3021436</v>
      </c>
      <c r="B1809" s="1">
        <v>45170</v>
      </c>
      <c r="C1809" t="s">
        <v>546</v>
      </c>
      <c r="D1809">
        <v>388.96</v>
      </c>
      <c r="E1809">
        <v>1269.6300000000001</v>
      </c>
      <c r="F1809" t="str">
        <f t="shared" si="56"/>
        <v>setembro</v>
      </c>
      <c r="G1809">
        <f t="shared" si="57"/>
        <v>2023</v>
      </c>
    </row>
    <row r="1810" spans="1:7" x14ac:dyDescent="0.25">
      <c r="A1810">
        <v>3021538</v>
      </c>
      <c r="B1810" s="1">
        <v>45170</v>
      </c>
      <c r="C1810" t="s">
        <v>548</v>
      </c>
      <c r="D1810">
        <v>34.43</v>
      </c>
      <c r="E1810">
        <v>110.93</v>
      </c>
      <c r="F1810" t="str">
        <f t="shared" si="56"/>
        <v>setembro</v>
      </c>
      <c r="G1810">
        <f t="shared" si="57"/>
        <v>2023</v>
      </c>
    </row>
    <row r="1811" spans="1:7" x14ac:dyDescent="0.25">
      <c r="A1811">
        <v>3021639</v>
      </c>
      <c r="B1811" s="1">
        <v>45170</v>
      </c>
      <c r="C1811" t="s">
        <v>457</v>
      </c>
      <c r="D1811">
        <v>22.64</v>
      </c>
      <c r="E1811">
        <v>69.92</v>
      </c>
      <c r="F1811" t="str">
        <f t="shared" si="56"/>
        <v>setembro</v>
      </c>
      <c r="G1811">
        <f t="shared" si="57"/>
        <v>2023</v>
      </c>
    </row>
    <row r="1812" spans="1:7" x14ac:dyDescent="0.25">
      <c r="A1812">
        <v>3021739</v>
      </c>
      <c r="B1812" s="1">
        <v>45170</v>
      </c>
      <c r="C1812" t="s">
        <v>165</v>
      </c>
      <c r="D1812">
        <v>2.89</v>
      </c>
      <c r="E1812">
        <v>16.21</v>
      </c>
      <c r="F1812" t="str">
        <f t="shared" si="56"/>
        <v>setembro</v>
      </c>
      <c r="G1812">
        <f t="shared" si="57"/>
        <v>2023</v>
      </c>
    </row>
    <row r="1813" spans="1:7" x14ac:dyDescent="0.25">
      <c r="A1813">
        <v>3021740</v>
      </c>
      <c r="B1813" s="1">
        <v>45170</v>
      </c>
      <c r="C1813" t="s">
        <v>459</v>
      </c>
      <c r="D1813">
        <v>118.92</v>
      </c>
      <c r="E1813">
        <v>57.64</v>
      </c>
      <c r="F1813" t="str">
        <f t="shared" si="56"/>
        <v>setembro</v>
      </c>
      <c r="G1813">
        <f t="shared" si="57"/>
        <v>2023</v>
      </c>
    </row>
    <row r="1814" spans="1:7" x14ac:dyDescent="0.25">
      <c r="A1814">
        <v>3021760</v>
      </c>
      <c r="B1814" s="1">
        <v>45170</v>
      </c>
      <c r="C1814" t="s">
        <v>167</v>
      </c>
      <c r="D1814">
        <v>2090.17</v>
      </c>
      <c r="E1814">
        <v>4832.07</v>
      </c>
      <c r="F1814" t="str">
        <f t="shared" si="56"/>
        <v>setembro</v>
      </c>
      <c r="G1814">
        <f t="shared" si="57"/>
        <v>2023</v>
      </c>
    </row>
    <row r="1815" spans="1:7" x14ac:dyDescent="0.25">
      <c r="A1815">
        <v>3021811</v>
      </c>
      <c r="B1815" s="1">
        <v>45170</v>
      </c>
      <c r="C1815" t="s">
        <v>169</v>
      </c>
      <c r="D1815">
        <v>920.43</v>
      </c>
      <c r="E1815">
        <v>2077.36</v>
      </c>
      <c r="F1815" t="str">
        <f t="shared" si="56"/>
        <v>setembro</v>
      </c>
      <c r="G1815">
        <f t="shared" si="57"/>
        <v>2023</v>
      </c>
    </row>
    <row r="1816" spans="1:7" x14ac:dyDescent="0.25">
      <c r="A1816">
        <v>3021812</v>
      </c>
      <c r="B1816" s="1">
        <v>45170</v>
      </c>
      <c r="C1816" t="s">
        <v>171</v>
      </c>
      <c r="D1816">
        <v>875.53</v>
      </c>
      <c r="E1816">
        <v>1843.93</v>
      </c>
      <c r="F1816" t="str">
        <f t="shared" si="56"/>
        <v>setembro</v>
      </c>
      <c r="G1816">
        <f t="shared" si="57"/>
        <v>2023</v>
      </c>
    </row>
    <row r="1817" spans="1:7" x14ac:dyDescent="0.25">
      <c r="A1817">
        <v>3022100</v>
      </c>
      <c r="B1817" s="1">
        <v>45170</v>
      </c>
      <c r="C1817" t="s">
        <v>173</v>
      </c>
      <c r="D1817">
        <v>72.709999999999994</v>
      </c>
      <c r="E1817">
        <v>278.17</v>
      </c>
      <c r="F1817" t="str">
        <f t="shared" si="56"/>
        <v>setembro</v>
      </c>
      <c r="G1817">
        <f t="shared" si="57"/>
        <v>2023</v>
      </c>
    </row>
    <row r="1818" spans="1:7" x14ac:dyDescent="0.25">
      <c r="A1818">
        <v>3022208</v>
      </c>
      <c r="B1818" s="1">
        <v>45170</v>
      </c>
      <c r="C1818" t="s">
        <v>307</v>
      </c>
      <c r="D1818">
        <v>259.88</v>
      </c>
      <c r="E1818">
        <v>973.01</v>
      </c>
      <c r="F1818" t="str">
        <f t="shared" si="56"/>
        <v>setembro</v>
      </c>
      <c r="G1818">
        <f t="shared" si="57"/>
        <v>2023</v>
      </c>
    </row>
    <row r="1819" spans="1:7" x14ac:dyDescent="0.25">
      <c r="A1819">
        <v>3022311</v>
      </c>
      <c r="B1819" s="1">
        <v>45170</v>
      </c>
      <c r="C1819" t="s">
        <v>176</v>
      </c>
      <c r="D1819">
        <v>2567.88</v>
      </c>
      <c r="E1819">
        <v>6143.59</v>
      </c>
      <c r="F1819" t="str">
        <f t="shared" si="56"/>
        <v>setembro</v>
      </c>
      <c r="G1819">
        <f t="shared" si="57"/>
        <v>2023</v>
      </c>
    </row>
    <row r="1820" spans="1:7" x14ac:dyDescent="0.25">
      <c r="A1820">
        <v>3022411</v>
      </c>
      <c r="B1820" s="1">
        <v>45170</v>
      </c>
      <c r="C1820" t="s">
        <v>178</v>
      </c>
      <c r="D1820">
        <v>76.819999999999993</v>
      </c>
      <c r="E1820">
        <v>204.14</v>
      </c>
      <c r="F1820" t="str">
        <f t="shared" si="56"/>
        <v>setembro</v>
      </c>
      <c r="G1820">
        <f t="shared" si="57"/>
        <v>2023</v>
      </c>
    </row>
    <row r="1821" spans="1:7" x14ac:dyDescent="0.25">
      <c r="A1821">
        <v>3022511</v>
      </c>
      <c r="B1821" s="1">
        <v>45170</v>
      </c>
      <c r="C1821" t="s">
        <v>180</v>
      </c>
      <c r="D1821">
        <v>2.9</v>
      </c>
      <c r="E1821">
        <v>7.39</v>
      </c>
      <c r="F1821" t="str">
        <f t="shared" si="56"/>
        <v>setembro</v>
      </c>
      <c r="G1821">
        <f t="shared" si="57"/>
        <v>2023</v>
      </c>
    </row>
    <row r="1822" spans="1:7" x14ac:dyDescent="0.25">
      <c r="A1822">
        <v>3022601</v>
      </c>
      <c r="B1822" s="1">
        <v>45170</v>
      </c>
      <c r="C1822" t="s">
        <v>182</v>
      </c>
      <c r="D1822">
        <v>361.75</v>
      </c>
      <c r="E1822">
        <v>1437.81</v>
      </c>
      <c r="F1822" t="str">
        <f t="shared" si="56"/>
        <v>setembro</v>
      </c>
      <c r="G1822">
        <f t="shared" si="57"/>
        <v>2023</v>
      </c>
    </row>
    <row r="1823" spans="1:7" x14ac:dyDescent="0.25">
      <c r="A1823">
        <v>3022703</v>
      </c>
      <c r="B1823" s="1">
        <v>45170</v>
      </c>
      <c r="C1823" t="s">
        <v>309</v>
      </c>
      <c r="D1823">
        <v>792</v>
      </c>
      <c r="E1823">
        <v>2184.0500000000002</v>
      </c>
      <c r="F1823" t="str">
        <f t="shared" si="56"/>
        <v>setembro</v>
      </c>
      <c r="G1823">
        <f t="shared" si="57"/>
        <v>2023</v>
      </c>
    </row>
    <row r="1824" spans="1:7" x14ac:dyDescent="0.25">
      <c r="A1824">
        <v>3022805</v>
      </c>
      <c r="B1824" s="1">
        <v>45170</v>
      </c>
      <c r="C1824" t="s">
        <v>186</v>
      </c>
      <c r="D1824">
        <v>2480</v>
      </c>
      <c r="E1824">
        <v>5227.95</v>
      </c>
      <c r="F1824" t="str">
        <f t="shared" si="56"/>
        <v>setembro</v>
      </c>
      <c r="G1824">
        <f t="shared" si="57"/>
        <v>2023</v>
      </c>
    </row>
    <row r="1825" spans="1:7" x14ac:dyDescent="0.25">
      <c r="A1825">
        <v>3022906</v>
      </c>
      <c r="B1825" s="1">
        <v>45170</v>
      </c>
      <c r="C1825" t="s">
        <v>188</v>
      </c>
      <c r="D1825">
        <v>3610</v>
      </c>
      <c r="E1825">
        <v>7444.85</v>
      </c>
      <c r="F1825" t="str">
        <f t="shared" si="56"/>
        <v>setembro</v>
      </c>
      <c r="G1825">
        <f t="shared" si="57"/>
        <v>2023</v>
      </c>
    </row>
    <row r="1826" spans="1:7" x14ac:dyDescent="0.25">
      <c r="A1826">
        <v>3023007</v>
      </c>
      <c r="B1826" s="1">
        <v>45170</v>
      </c>
      <c r="C1826" t="s">
        <v>190</v>
      </c>
      <c r="D1826">
        <v>860</v>
      </c>
      <c r="E1826">
        <v>1739.8</v>
      </c>
      <c r="F1826" t="str">
        <f t="shared" si="56"/>
        <v>setembro</v>
      </c>
      <c r="G1826">
        <f t="shared" si="57"/>
        <v>2023</v>
      </c>
    </row>
    <row r="1827" spans="1:7" x14ac:dyDescent="0.25">
      <c r="A1827">
        <v>3024001</v>
      </c>
      <c r="B1827" s="1">
        <v>45170</v>
      </c>
      <c r="C1827" t="s">
        <v>192</v>
      </c>
      <c r="D1827">
        <v>1558.64</v>
      </c>
      <c r="E1827">
        <v>5943.29</v>
      </c>
      <c r="F1827" t="str">
        <f t="shared" si="56"/>
        <v>setembro</v>
      </c>
      <c r="G1827">
        <f t="shared" si="57"/>
        <v>2023</v>
      </c>
    </row>
    <row r="1828" spans="1:7" x14ac:dyDescent="0.25">
      <c r="A1828">
        <v>3024003</v>
      </c>
      <c r="B1828" s="1">
        <v>45170</v>
      </c>
      <c r="C1828" t="s">
        <v>196</v>
      </c>
      <c r="D1828">
        <v>337.48</v>
      </c>
      <c r="E1828">
        <v>954.76</v>
      </c>
      <c r="F1828" t="str">
        <f t="shared" si="56"/>
        <v>setembro</v>
      </c>
      <c r="G1828">
        <f t="shared" si="57"/>
        <v>2023</v>
      </c>
    </row>
    <row r="1829" spans="1:7" x14ac:dyDescent="0.25">
      <c r="A1829">
        <v>3024004</v>
      </c>
      <c r="B1829" s="1">
        <v>45170</v>
      </c>
      <c r="C1829" t="s">
        <v>198</v>
      </c>
      <c r="D1829">
        <v>1345.96</v>
      </c>
      <c r="E1829">
        <v>1354.21</v>
      </c>
      <c r="F1829" t="str">
        <f t="shared" si="56"/>
        <v>setembro</v>
      </c>
      <c r="G1829">
        <f t="shared" si="57"/>
        <v>2023</v>
      </c>
    </row>
    <row r="1830" spans="1:7" x14ac:dyDescent="0.25">
      <c r="A1830">
        <v>4030100</v>
      </c>
      <c r="B1830" s="1">
        <v>45170</v>
      </c>
      <c r="C1830" t="s">
        <v>200</v>
      </c>
      <c r="D1830">
        <v>446.97</v>
      </c>
      <c r="E1830">
        <v>2736.73</v>
      </c>
      <c r="F1830" t="str">
        <f t="shared" si="56"/>
        <v>setembro</v>
      </c>
      <c r="G1830">
        <f t="shared" si="57"/>
        <v>2023</v>
      </c>
    </row>
    <row r="1831" spans="1:7" x14ac:dyDescent="0.25">
      <c r="A1831">
        <v>4030211</v>
      </c>
      <c r="B1831" s="1">
        <v>45170</v>
      </c>
      <c r="C1831" t="s">
        <v>202</v>
      </c>
      <c r="D1831">
        <v>658.66</v>
      </c>
      <c r="E1831">
        <v>3836.01</v>
      </c>
      <c r="F1831" t="str">
        <f t="shared" si="56"/>
        <v>setembro</v>
      </c>
      <c r="G1831">
        <f t="shared" si="57"/>
        <v>2023</v>
      </c>
    </row>
    <row r="1832" spans="1:7" x14ac:dyDescent="0.25">
      <c r="A1832">
        <v>4030311</v>
      </c>
      <c r="B1832" s="1">
        <v>45170</v>
      </c>
      <c r="C1832" t="s">
        <v>311</v>
      </c>
      <c r="D1832">
        <v>262.89</v>
      </c>
      <c r="E1832">
        <v>1760.45</v>
      </c>
      <c r="F1832" t="str">
        <f t="shared" si="56"/>
        <v>setembro</v>
      </c>
      <c r="G1832">
        <f t="shared" si="57"/>
        <v>2023</v>
      </c>
    </row>
    <row r="1833" spans="1:7" x14ac:dyDescent="0.25">
      <c r="A1833">
        <v>4030401</v>
      </c>
      <c r="B1833" s="1">
        <v>45170</v>
      </c>
      <c r="C1833" t="s">
        <v>461</v>
      </c>
      <c r="D1833">
        <v>345.7</v>
      </c>
      <c r="E1833">
        <v>1777.3</v>
      </c>
      <c r="F1833" t="str">
        <f t="shared" si="56"/>
        <v>setembro</v>
      </c>
      <c r="G1833">
        <f t="shared" si="57"/>
        <v>2023</v>
      </c>
    </row>
    <row r="1834" spans="1:7" x14ac:dyDescent="0.25">
      <c r="A1834">
        <v>4030511</v>
      </c>
      <c r="B1834" s="1">
        <v>45170</v>
      </c>
      <c r="C1834" t="s">
        <v>208</v>
      </c>
      <c r="D1834">
        <v>14.9</v>
      </c>
      <c r="E1834">
        <v>91.64</v>
      </c>
      <c r="F1834" t="str">
        <f t="shared" si="56"/>
        <v>setembro</v>
      </c>
      <c r="G1834">
        <f t="shared" si="57"/>
        <v>2023</v>
      </c>
    </row>
    <row r="1835" spans="1:7" x14ac:dyDescent="0.25">
      <c r="A1835">
        <v>4030532</v>
      </c>
      <c r="B1835" s="1">
        <v>45170</v>
      </c>
      <c r="C1835" t="s">
        <v>210</v>
      </c>
      <c r="D1835">
        <v>200</v>
      </c>
      <c r="E1835">
        <v>1060</v>
      </c>
      <c r="F1835" t="str">
        <f t="shared" si="56"/>
        <v>setembro</v>
      </c>
      <c r="G1835">
        <f t="shared" si="57"/>
        <v>2023</v>
      </c>
    </row>
    <row r="1836" spans="1:7" x14ac:dyDescent="0.25">
      <c r="A1836">
        <v>4030600</v>
      </c>
      <c r="B1836" s="1">
        <v>45170</v>
      </c>
      <c r="C1836" t="s">
        <v>212</v>
      </c>
      <c r="D1836">
        <v>840.34</v>
      </c>
      <c r="E1836">
        <v>2648.37</v>
      </c>
      <c r="F1836" t="str">
        <f t="shared" si="56"/>
        <v>setembro</v>
      </c>
      <c r="G1836">
        <f t="shared" si="57"/>
        <v>2023</v>
      </c>
    </row>
    <row r="1837" spans="1:7" x14ac:dyDescent="0.25">
      <c r="A1837">
        <v>4030711</v>
      </c>
      <c r="B1837" s="1">
        <v>45170</v>
      </c>
      <c r="C1837" t="s">
        <v>214</v>
      </c>
      <c r="D1837">
        <v>1565.91</v>
      </c>
      <c r="E1837">
        <v>5226.05</v>
      </c>
      <c r="F1837" t="str">
        <f t="shared" si="56"/>
        <v>setembro</v>
      </c>
      <c r="G1837">
        <f t="shared" si="57"/>
        <v>2023</v>
      </c>
    </row>
    <row r="1838" spans="1:7" x14ac:dyDescent="0.25">
      <c r="A1838">
        <v>4030811</v>
      </c>
      <c r="B1838" s="1">
        <v>45170</v>
      </c>
      <c r="C1838" t="s">
        <v>216</v>
      </c>
      <c r="D1838">
        <v>1891.56</v>
      </c>
      <c r="E1838">
        <v>5948.28</v>
      </c>
      <c r="F1838" t="str">
        <f t="shared" si="56"/>
        <v>setembro</v>
      </c>
      <c r="G1838">
        <f t="shared" si="57"/>
        <v>2023</v>
      </c>
    </row>
    <row r="1839" spans="1:7" x14ac:dyDescent="0.25">
      <c r="A1839">
        <v>4030813</v>
      </c>
      <c r="B1839" s="1">
        <v>45170</v>
      </c>
      <c r="C1839" t="s">
        <v>218</v>
      </c>
      <c r="D1839">
        <v>3604.25</v>
      </c>
      <c r="E1839">
        <v>10798.12</v>
      </c>
      <c r="F1839" t="str">
        <f t="shared" si="56"/>
        <v>setembro</v>
      </c>
      <c r="G1839">
        <f t="shared" si="57"/>
        <v>2023</v>
      </c>
    </row>
    <row r="1840" spans="1:7" x14ac:dyDescent="0.25">
      <c r="A1840">
        <v>4030900</v>
      </c>
      <c r="B1840" s="1">
        <v>45170</v>
      </c>
      <c r="C1840" t="s">
        <v>220</v>
      </c>
      <c r="D1840">
        <v>5794.33</v>
      </c>
      <c r="E1840">
        <v>17446.560000000001</v>
      </c>
      <c r="F1840" t="str">
        <f t="shared" si="56"/>
        <v>setembro</v>
      </c>
      <c r="G1840">
        <f t="shared" si="57"/>
        <v>2023</v>
      </c>
    </row>
    <row r="1841" spans="1:7" x14ac:dyDescent="0.25">
      <c r="A1841">
        <v>4030910</v>
      </c>
      <c r="B1841" s="1">
        <v>45170</v>
      </c>
      <c r="C1841" t="s">
        <v>222</v>
      </c>
      <c r="D1841">
        <v>163.72999999999999</v>
      </c>
      <c r="E1841">
        <v>521.14</v>
      </c>
      <c r="F1841" t="str">
        <f t="shared" si="56"/>
        <v>setembro</v>
      </c>
      <c r="G1841">
        <f t="shared" si="57"/>
        <v>2023</v>
      </c>
    </row>
    <row r="1842" spans="1:7" x14ac:dyDescent="0.25">
      <c r="A1842">
        <v>4031012</v>
      </c>
      <c r="B1842" s="1">
        <v>45170</v>
      </c>
      <c r="C1842" t="s">
        <v>224</v>
      </c>
      <c r="D1842">
        <v>900.88</v>
      </c>
      <c r="E1842">
        <v>2812.94</v>
      </c>
      <c r="F1842" t="str">
        <f t="shared" si="56"/>
        <v>setembro</v>
      </c>
      <c r="G1842">
        <f t="shared" si="57"/>
        <v>2023</v>
      </c>
    </row>
    <row r="1843" spans="1:7" x14ac:dyDescent="0.25">
      <c r="A1843">
        <v>4031017</v>
      </c>
      <c r="B1843" s="1">
        <v>45170</v>
      </c>
      <c r="C1843" t="s">
        <v>226</v>
      </c>
      <c r="D1843">
        <v>2238</v>
      </c>
      <c r="E1843">
        <v>1487.58</v>
      </c>
      <c r="F1843" t="str">
        <f t="shared" si="56"/>
        <v>setembro</v>
      </c>
      <c r="G1843">
        <f t="shared" si="57"/>
        <v>2023</v>
      </c>
    </row>
    <row r="1844" spans="1:7" x14ac:dyDescent="0.25">
      <c r="A1844">
        <v>4031102</v>
      </c>
      <c r="B1844" s="1">
        <v>45170</v>
      </c>
      <c r="C1844" t="s">
        <v>228</v>
      </c>
      <c r="D1844">
        <v>8986.73</v>
      </c>
      <c r="E1844">
        <v>26353.82</v>
      </c>
      <c r="F1844" t="str">
        <f t="shared" si="56"/>
        <v>setembro</v>
      </c>
      <c r="G1844">
        <f t="shared" si="57"/>
        <v>2023</v>
      </c>
    </row>
    <row r="1845" spans="1:7" x14ac:dyDescent="0.25">
      <c r="A1845">
        <v>4031200</v>
      </c>
      <c r="B1845" s="1">
        <v>45170</v>
      </c>
      <c r="C1845" t="s">
        <v>230</v>
      </c>
      <c r="D1845">
        <v>1180.82</v>
      </c>
      <c r="E1845">
        <v>3533.42</v>
      </c>
      <c r="F1845" t="str">
        <f t="shared" si="56"/>
        <v>setembro</v>
      </c>
      <c r="G1845">
        <f t="shared" si="57"/>
        <v>2023</v>
      </c>
    </row>
    <row r="1846" spans="1:7" x14ac:dyDescent="0.25">
      <c r="A1846">
        <v>4031304</v>
      </c>
      <c r="B1846" s="1">
        <v>45170</v>
      </c>
      <c r="C1846" t="s">
        <v>232</v>
      </c>
      <c r="D1846">
        <v>989.29</v>
      </c>
      <c r="E1846">
        <v>2886.42</v>
      </c>
      <c r="F1846" t="str">
        <f t="shared" si="56"/>
        <v>setembro</v>
      </c>
      <c r="G1846">
        <f t="shared" si="57"/>
        <v>2023</v>
      </c>
    </row>
    <row r="1847" spans="1:7" x14ac:dyDescent="0.25">
      <c r="A1847">
        <v>4031411</v>
      </c>
      <c r="B1847" s="1">
        <v>45170</v>
      </c>
      <c r="C1847" t="s">
        <v>234</v>
      </c>
      <c r="D1847">
        <v>36.93</v>
      </c>
      <c r="E1847">
        <v>109.16</v>
      </c>
      <c r="F1847" t="str">
        <f t="shared" si="56"/>
        <v>setembro</v>
      </c>
      <c r="G1847">
        <f t="shared" si="57"/>
        <v>2023</v>
      </c>
    </row>
    <row r="1848" spans="1:7" x14ac:dyDescent="0.25">
      <c r="A1848">
        <v>4031500</v>
      </c>
      <c r="B1848" s="1">
        <v>45170</v>
      </c>
      <c r="C1848" t="s">
        <v>236</v>
      </c>
      <c r="D1848">
        <v>5990.75</v>
      </c>
      <c r="E1848">
        <v>16831.68</v>
      </c>
      <c r="F1848" t="str">
        <f t="shared" si="56"/>
        <v>setembro</v>
      </c>
      <c r="G1848">
        <f t="shared" si="57"/>
        <v>2023</v>
      </c>
    </row>
    <row r="1849" spans="1:7" x14ac:dyDescent="0.25">
      <c r="A1849">
        <v>4031604</v>
      </c>
      <c r="B1849" s="1">
        <v>45170</v>
      </c>
      <c r="C1849" t="s">
        <v>238</v>
      </c>
      <c r="D1849">
        <v>5326.83</v>
      </c>
      <c r="E1849">
        <v>14616.09</v>
      </c>
      <c r="F1849" t="str">
        <f t="shared" si="56"/>
        <v>setembro</v>
      </c>
      <c r="G1849">
        <f t="shared" si="57"/>
        <v>2023</v>
      </c>
    </row>
    <row r="1850" spans="1:7" x14ac:dyDescent="0.25">
      <c r="A1850">
        <v>4031605</v>
      </c>
      <c r="B1850" s="1">
        <v>45170</v>
      </c>
      <c r="C1850" t="s">
        <v>240</v>
      </c>
      <c r="D1850">
        <v>73.930000000000007</v>
      </c>
      <c r="E1850">
        <v>238.92</v>
      </c>
      <c r="F1850" t="str">
        <f t="shared" si="56"/>
        <v>setembro</v>
      </c>
      <c r="G1850">
        <f t="shared" si="57"/>
        <v>2023</v>
      </c>
    </row>
    <row r="1851" spans="1:7" x14ac:dyDescent="0.25">
      <c r="A1851">
        <v>4031700</v>
      </c>
      <c r="B1851" s="1">
        <v>45170</v>
      </c>
      <c r="C1851" t="s">
        <v>242</v>
      </c>
      <c r="D1851">
        <v>819.1</v>
      </c>
      <c r="E1851">
        <v>2409.92</v>
      </c>
      <c r="F1851" t="str">
        <f t="shared" si="56"/>
        <v>setembro</v>
      </c>
      <c r="G1851">
        <f t="shared" si="57"/>
        <v>2023</v>
      </c>
    </row>
    <row r="1852" spans="1:7" x14ac:dyDescent="0.25">
      <c r="A1852">
        <v>4031812</v>
      </c>
      <c r="B1852" s="1">
        <v>45170</v>
      </c>
      <c r="C1852" t="s">
        <v>244</v>
      </c>
      <c r="D1852">
        <v>425.96</v>
      </c>
      <c r="E1852">
        <v>1295.9100000000001</v>
      </c>
      <c r="F1852" t="str">
        <f t="shared" si="56"/>
        <v>setembro</v>
      </c>
      <c r="G1852">
        <f t="shared" si="57"/>
        <v>2023</v>
      </c>
    </row>
    <row r="1853" spans="1:7" x14ac:dyDescent="0.25">
      <c r="A1853">
        <v>4031813</v>
      </c>
      <c r="B1853" s="1">
        <v>45170</v>
      </c>
      <c r="C1853" t="s">
        <v>464</v>
      </c>
      <c r="D1853">
        <v>700</v>
      </c>
      <c r="E1853">
        <v>469</v>
      </c>
      <c r="F1853" t="str">
        <f t="shared" si="56"/>
        <v>setembro</v>
      </c>
      <c r="G1853">
        <f t="shared" si="57"/>
        <v>2023</v>
      </c>
    </row>
    <row r="1854" spans="1:7" x14ac:dyDescent="0.25">
      <c r="A1854">
        <v>4031904</v>
      </c>
      <c r="B1854" s="1">
        <v>45170</v>
      </c>
      <c r="C1854" t="s">
        <v>246</v>
      </c>
      <c r="D1854">
        <v>906.46</v>
      </c>
      <c r="E1854">
        <v>2655.62</v>
      </c>
      <c r="F1854" t="str">
        <f t="shared" si="56"/>
        <v>setembro</v>
      </c>
      <c r="G1854">
        <f t="shared" si="57"/>
        <v>2023</v>
      </c>
    </row>
    <row r="1855" spans="1:7" x14ac:dyDescent="0.25">
      <c r="A1855">
        <v>4032111</v>
      </c>
      <c r="B1855" s="1">
        <v>45170</v>
      </c>
      <c r="C1855" t="s">
        <v>314</v>
      </c>
      <c r="D1855">
        <v>5.81</v>
      </c>
      <c r="E1855">
        <v>29.34</v>
      </c>
      <c r="F1855" t="str">
        <f t="shared" si="56"/>
        <v>setembro</v>
      </c>
      <c r="G1855">
        <f t="shared" si="57"/>
        <v>2023</v>
      </c>
    </row>
    <row r="1856" spans="1:7" x14ac:dyDescent="0.25">
      <c r="A1856">
        <v>4032205</v>
      </c>
      <c r="B1856" s="1">
        <v>45170</v>
      </c>
      <c r="C1856" t="s">
        <v>553</v>
      </c>
      <c r="D1856">
        <v>165.2</v>
      </c>
      <c r="E1856">
        <v>839.95</v>
      </c>
      <c r="F1856" t="str">
        <f t="shared" si="56"/>
        <v>setembro</v>
      </c>
      <c r="G1856">
        <f t="shared" si="57"/>
        <v>2023</v>
      </c>
    </row>
    <row r="1857" spans="1:7" x14ac:dyDescent="0.25">
      <c r="A1857">
        <v>4032206</v>
      </c>
      <c r="B1857" s="1">
        <v>45170</v>
      </c>
      <c r="C1857" t="s">
        <v>555</v>
      </c>
      <c r="D1857">
        <v>57.14</v>
      </c>
      <c r="E1857">
        <v>299.63</v>
      </c>
      <c r="F1857" t="str">
        <f t="shared" si="56"/>
        <v>setembro</v>
      </c>
      <c r="G1857">
        <f t="shared" si="57"/>
        <v>2023</v>
      </c>
    </row>
    <row r="1858" spans="1:7" x14ac:dyDescent="0.25">
      <c r="A1858">
        <v>4032312</v>
      </c>
      <c r="B1858" s="1">
        <v>45170</v>
      </c>
      <c r="C1858" t="s">
        <v>252</v>
      </c>
      <c r="D1858">
        <v>490.7</v>
      </c>
      <c r="E1858">
        <v>2070.4499999999998</v>
      </c>
      <c r="F1858" t="str">
        <f t="shared" si="56"/>
        <v>setembro</v>
      </c>
      <c r="G1858">
        <f t="shared" si="57"/>
        <v>2023</v>
      </c>
    </row>
    <row r="1859" spans="1:7" x14ac:dyDescent="0.25">
      <c r="A1859">
        <v>4032404</v>
      </c>
      <c r="B1859" s="1">
        <v>45170</v>
      </c>
      <c r="C1859" t="s">
        <v>254</v>
      </c>
      <c r="D1859">
        <v>108.21</v>
      </c>
      <c r="E1859">
        <v>482.34</v>
      </c>
      <c r="F1859" t="str">
        <f t="shared" ref="F1859:F1922" si="58">TEXT(B1859,"mmmm")</f>
        <v>setembro</v>
      </c>
      <c r="G1859">
        <f t="shared" ref="G1859:G1922" si="59">YEAR(B1859)</f>
        <v>2023</v>
      </c>
    </row>
    <row r="1860" spans="1:7" x14ac:dyDescent="0.25">
      <c r="A1860">
        <v>4032500</v>
      </c>
      <c r="B1860" s="1">
        <v>45170</v>
      </c>
      <c r="C1860" t="s">
        <v>256</v>
      </c>
      <c r="D1860">
        <v>321.2</v>
      </c>
      <c r="E1860">
        <v>874.29</v>
      </c>
      <c r="F1860" t="str">
        <f t="shared" si="58"/>
        <v>setembro</v>
      </c>
      <c r="G1860">
        <f t="shared" si="59"/>
        <v>2023</v>
      </c>
    </row>
    <row r="1861" spans="1:7" x14ac:dyDescent="0.25">
      <c r="A1861">
        <v>4032611</v>
      </c>
      <c r="B1861" s="1">
        <v>45170</v>
      </c>
      <c r="C1861" t="s">
        <v>258</v>
      </c>
      <c r="D1861">
        <v>35.31</v>
      </c>
      <c r="E1861">
        <v>110.59</v>
      </c>
      <c r="F1861" t="str">
        <f t="shared" si="58"/>
        <v>setembro</v>
      </c>
      <c r="G1861">
        <f t="shared" si="59"/>
        <v>2023</v>
      </c>
    </row>
    <row r="1862" spans="1:7" x14ac:dyDescent="0.25">
      <c r="A1862">
        <v>4032704</v>
      </c>
      <c r="B1862" s="1">
        <v>45170</v>
      </c>
      <c r="C1862" t="s">
        <v>260</v>
      </c>
      <c r="D1862">
        <v>1427.3</v>
      </c>
      <c r="E1862">
        <v>4109.92</v>
      </c>
      <c r="F1862" t="str">
        <f t="shared" si="58"/>
        <v>setembro</v>
      </c>
      <c r="G1862">
        <f t="shared" si="59"/>
        <v>2023</v>
      </c>
    </row>
    <row r="1863" spans="1:7" x14ac:dyDescent="0.25">
      <c r="A1863">
        <v>4032800</v>
      </c>
      <c r="B1863" s="1">
        <v>45170</v>
      </c>
      <c r="C1863" t="s">
        <v>262</v>
      </c>
      <c r="D1863">
        <v>144.4</v>
      </c>
      <c r="E1863">
        <v>802.89</v>
      </c>
      <c r="F1863" t="str">
        <f t="shared" si="58"/>
        <v>setembro</v>
      </c>
      <c r="G1863">
        <f t="shared" si="59"/>
        <v>2023</v>
      </c>
    </row>
    <row r="1864" spans="1:7" x14ac:dyDescent="0.25">
      <c r="A1864">
        <v>4032902</v>
      </c>
      <c r="B1864" s="1">
        <v>45170</v>
      </c>
      <c r="C1864" t="s">
        <v>264</v>
      </c>
      <c r="D1864">
        <v>374.66</v>
      </c>
      <c r="E1864">
        <v>1996.21</v>
      </c>
      <c r="F1864" t="str">
        <f t="shared" si="58"/>
        <v>setembro</v>
      </c>
      <c r="G1864">
        <f t="shared" si="59"/>
        <v>2023</v>
      </c>
    </row>
    <row r="1865" spans="1:7" x14ac:dyDescent="0.25">
      <c r="A1865">
        <v>4033011</v>
      </c>
      <c r="B1865" s="1">
        <v>45170</v>
      </c>
      <c r="C1865" t="s">
        <v>266</v>
      </c>
      <c r="D1865">
        <v>85.46</v>
      </c>
      <c r="E1865">
        <v>440.15</v>
      </c>
      <c r="F1865" t="str">
        <f t="shared" si="58"/>
        <v>setembro</v>
      </c>
      <c r="G1865">
        <f t="shared" si="59"/>
        <v>2023</v>
      </c>
    </row>
    <row r="1866" spans="1:7" x14ac:dyDescent="0.25">
      <c r="A1866">
        <v>4033111</v>
      </c>
      <c r="B1866" s="1">
        <v>45170</v>
      </c>
      <c r="C1866" t="s">
        <v>268</v>
      </c>
      <c r="D1866">
        <v>372</v>
      </c>
      <c r="E1866">
        <v>1590.74</v>
      </c>
      <c r="F1866" t="str">
        <f t="shared" si="58"/>
        <v>setembro</v>
      </c>
      <c r="G1866">
        <f t="shared" si="59"/>
        <v>2023</v>
      </c>
    </row>
    <row r="1867" spans="1:7" x14ac:dyDescent="0.25">
      <c r="A1867">
        <v>4033211</v>
      </c>
      <c r="B1867" s="1">
        <v>45170</v>
      </c>
      <c r="C1867" t="s">
        <v>270</v>
      </c>
      <c r="D1867">
        <v>48.53</v>
      </c>
      <c r="E1867">
        <v>221.36</v>
      </c>
      <c r="F1867" t="str">
        <f t="shared" si="58"/>
        <v>setembro</v>
      </c>
      <c r="G1867">
        <f t="shared" si="59"/>
        <v>2023</v>
      </c>
    </row>
    <row r="1868" spans="1:7" x14ac:dyDescent="0.25">
      <c r="A1868">
        <v>4033311</v>
      </c>
      <c r="B1868" s="1">
        <v>45170</v>
      </c>
      <c r="C1868" t="s">
        <v>272</v>
      </c>
      <c r="D1868">
        <v>13.79</v>
      </c>
      <c r="E1868">
        <v>85.81</v>
      </c>
      <c r="F1868" t="str">
        <f t="shared" si="58"/>
        <v>setembro</v>
      </c>
      <c r="G1868">
        <f t="shared" si="59"/>
        <v>2023</v>
      </c>
    </row>
    <row r="1869" spans="1:7" x14ac:dyDescent="0.25">
      <c r="A1869">
        <v>4033400</v>
      </c>
      <c r="B1869" s="1">
        <v>45170</v>
      </c>
      <c r="C1869" t="s">
        <v>274</v>
      </c>
      <c r="D1869">
        <v>1062.0999999999999</v>
      </c>
      <c r="E1869">
        <v>3116.28</v>
      </c>
      <c r="F1869" t="str">
        <f t="shared" si="58"/>
        <v>setembro</v>
      </c>
      <c r="G1869">
        <f t="shared" si="59"/>
        <v>2023</v>
      </c>
    </row>
    <row r="1870" spans="1:7" x14ac:dyDescent="0.25">
      <c r="A1870">
        <v>4033511</v>
      </c>
      <c r="B1870" s="1">
        <v>45170</v>
      </c>
      <c r="C1870" t="s">
        <v>276</v>
      </c>
      <c r="D1870">
        <v>1693.93</v>
      </c>
      <c r="E1870">
        <v>5466.32</v>
      </c>
      <c r="F1870" t="str">
        <f t="shared" si="58"/>
        <v>setembro</v>
      </c>
      <c r="G1870">
        <f t="shared" si="59"/>
        <v>2023</v>
      </c>
    </row>
    <row r="1871" spans="1:7" x14ac:dyDescent="0.25">
      <c r="A1871">
        <v>4033900</v>
      </c>
      <c r="B1871" s="1">
        <v>45170</v>
      </c>
      <c r="C1871" t="s">
        <v>278</v>
      </c>
      <c r="D1871">
        <v>20.7</v>
      </c>
      <c r="E1871">
        <v>107.89</v>
      </c>
      <c r="F1871" t="str">
        <f t="shared" si="58"/>
        <v>setembro</v>
      </c>
      <c r="G1871">
        <f t="shared" si="59"/>
        <v>2023</v>
      </c>
    </row>
    <row r="1872" spans="1:7" x14ac:dyDescent="0.25">
      <c r="A1872">
        <v>4034011</v>
      </c>
      <c r="B1872" s="1">
        <v>45170</v>
      </c>
      <c r="C1872" t="s">
        <v>280</v>
      </c>
      <c r="D1872">
        <v>685.76</v>
      </c>
      <c r="E1872">
        <v>3574.56</v>
      </c>
      <c r="F1872" t="str">
        <f t="shared" si="58"/>
        <v>setembro</v>
      </c>
      <c r="G1872">
        <f t="shared" si="59"/>
        <v>2023</v>
      </c>
    </row>
    <row r="1873" spans="1:7" x14ac:dyDescent="0.25">
      <c r="A1873">
        <v>4034211</v>
      </c>
      <c r="B1873" s="1">
        <v>45170</v>
      </c>
      <c r="C1873" t="s">
        <v>282</v>
      </c>
      <c r="D1873">
        <v>197.09</v>
      </c>
      <c r="E1873">
        <v>851.08</v>
      </c>
      <c r="F1873" t="str">
        <f t="shared" si="58"/>
        <v>setembro</v>
      </c>
      <c r="G1873">
        <f t="shared" si="59"/>
        <v>2023</v>
      </c>
    </row>
    <row r="1874" spans="1:7" x14ac:dyDescent="0.25">
      <c r="A1874">
        <v>4034400</v>
      </c>
      <c r="B1874" s="1">
        <v>45170</v>
      </c>
      <c r="C1874" t="s">
        <v>284</v>
      </c>
      <c r="D1874">
        <v>166.77</v>
      </c>
      <c r="E1874">
        <v>440.99</v>
      </c>
      <c r="F1874" t="str">
        <f t="shared" si="58"/>
        <v>setembro</v>
      </c>
      <c r="G1874">
        <f t="shared" si="59"/>
        <v>2023</v>
      </c>
    </row>
    <row r="1875" spans="1:7" x14ac:dyDescent="0.25">
      <c r="A1875">
        <v>4034502</v>
      </c>
      <c r="B1875" s="1">
        <v>45170</v>
      </c>
      <c r="C1875" t="s">
        <v>286</v>
      </c>
      <c r="D1875">
        <v>74.94</v>
      </c>
      <c r="E1875">
        <v>212.94</v>
      </c>
      <c r="F1875" t="str">
        <f t="shared" si="58"/>
        <v>setembro</v>
      </c>
      <c r="G1875">
        <f t="shared" si="59"/>
        <v>2023</v>
      </c>
    </row>
    <row r="1876" spans="1:7" x14ac:dyDescent="0.25">
      <c r="A1876">
        <v>8030004</v>
      </c>
      <c r="B1876" s="1">
        <v>45170</v>
      </c>
      <c r="C1876" t="s">
        <v>697</v>
      </c>
      <c r="D1876">
        <v>2</v>
      </c>
      <c r="E1876">
        <v>20</v>
      </c>
      <c r="F1876" t="str">
        <f t="shared" si="58"/>
        <v>setembro</v>
      </c>
      <c r="G1876">
        <f t="shared" si="59"/>
        <v>2023</v>
      </c>
    </row>
    <row r="1877" spans="1:7" x14ac:dyDescent="0.25">
      <c r="A1877">
        <v>8040008</v>
      </c>
      <c r="B1877" s="1">
        <v>45170</v>
      </c>
      <c r="C1877" t="s">
        <v>318</v>
      </c>
      <c r="D1877">
        <v>13.31</v>
      </c>
      <c r="E1877">
        <v>194.15</v>
      </c>
      <c r="F1877" t="str">
        <f t="shared" si="58"/>
        <v>setembro</v>
      </c>
      <c r="G1877">
        <f t="shared" si="59"/>
        <v>2023</v>
      </c>
    </row>
    <row r="1878" spans="1:7" x14ac:dyDescent="0.25">
      <c r="A1878">
        <v>8040011</v>
      </c>
      <c r="B1878" s="1">
        <v>45170</v>
      </c>
      <c r="C1878" t="s">
        <v>560</v>
      </c>
      <c r="D1878">
        <v>10</v>
      </c>
      <c r="E1878">
        <v>29.9</v>
      </c>
      <c r="F1878" t="str">
        <f t="shared" si="58"/>
        <v>setembro</v>
      </c>
      <c r="G1878">
        <f t="shared" si="59"/>
        <v>2023</v>
      </c>
    </row>
    <row r="1879" spans="1:7" x14ac:dyDescent="0.25">
      <c r="A1879">
        <v>8040048</v>
      </c>
      <c r="B1879" s="1">
        <v>45170</v>
      </c>
      <c r="C1879" t="s">
        <v>699</v>
      </c>
      <c r="D1879">
        <v>2536</v>
      </c>
      <c r="E1879">
        <v>6252.56</v>
      </c>
      <c r="F1879" t="str">
        <f t="shared" si="58"/>
        <v>setembro</v>
      </c>
      <c r="G1879">
        <f t="shared" si="59"/>
        <v>2023</v>
      </c>
    </row>
    <row r="1880" spans="1:7" x14ac:dyDescent="0.25">
      <c r="A1880">
        <v>8040050</v>
      </c>
      <c r="B1880" s="1">
        <v>45170</v>
      </c>
      <c r="C1880" t="s">
        <v>746</v>
      </c>
      <c r="D1880">
        <v>12.8</v>
      </c>
      <c r="E1880">
        <v>178.56</v>
      </c>
      <c r="F1880" t="str">
        <f t="shared" si="58"/>
        <v>setembro</v>
      </c>
      <c r="G1880">
        <f t="shared" si="59"/>
        <v>2023</v>
      </c>
    </row>
    <row r="1881" spans="1:7" x14ac:dyDescent="0.25">
      <c r="A1881">
        <v>8040051</v>
      </c>
      <c r="B1881" s="1">
        <v>45170</v>
      </c>
      <c r="C1881" t="s">
        <v>644</v>
      </c>
      <c r="D1881">
        <v>-0.62</v>
      </c>
      <c r="E1881">
        <v>-11.1</v>
      </c>
      <c r="F1881" t="str">
        <f t="shared" si="58"/>
        <v>setembro</v>
      </c>
      <c r="G1881">
        <f t="shared" si="59"/>
        <v>2023</v>
      </c>
    </row>
    <row r="1882" spans="1:7" x14ac:dyDescent="0.25">
      <c r="A1882">
        <v>8040052</v>
      </c>
      <c r="B1882" s="1">
        <v>45170</v>
      </c>
      <c r="C1882" t="s">
        <v>700</v>
      </c>
      <c r="D1882">
        <v>6.3</v>
      </c>
      <c r="E1882">
        <v>73.08</v>
      </c>
      <c r="F1882" t="str">
        <f t="shared" si="58"/>
        <v>setembro</v>
      </c>
      <c r="G1882">
        <f t="shared" si="59"/>
        <v>2023</v>
      </c>
    </row>
    <row r="1883" spans="1:7" x14ac:dyDescent="0.25">
      <c r="A1883">
        <v>8040053</v>
      </c>
      <c r="B1883" s="1">
        <v>45170</v>
      </c>
      <c r="C1883" t="s">
        <v>747</v>
      </c>
      <c r="D1883">
        <v>15.38</v>
      </c>
      <c r="E1883">
        <v>183.04</v>
      </c>
      <c r="F1883" t="str">
        <f t="shared" si="58"/>
        <v>setembro</v>
      </c>
      <c r="G1883">
        <f t="shared" si="59"/>
        <v>2023</v>
      </c>
    </row>
    <row r="1884" spans="1:7" x14ac:dyDescent="0.25">
      <c r="A1884">
        <v>8040057</v>
      </c>
      <c r="B1884" s="1">
        <v>45170</v>
      </c>
      <c r="C1884" t="s">
        <v>734</v>
      </c>
      <c r="D1884">
        <v>10</v>
      </c>
      <c r="E1884">
        <v>48</v>
      </c>
      <c r="F1884" t="str">
        <f t="shared" si="58"/>
        <v>setembro</v>
      </c>
      <c r="G1884">
        <f t="shared" si="59"/>
        <v>2023</v>
      </c>
    </row>
    <row r="1885" spans="1:7" x14ac:dyDescent="0.25">
      <c r="A1885">
        <v>8040058</v>
      </c>
      <c r="B1885" s="1">
        <v>45170</v>
      </c>
      <c r="C1885" t="s">
        <v>700</v>
      </c>
      <c r="D1885">
        <v>201.6</v>
      </c>
      <c r="E1885">
        <v>2278.08</v>
      </c>
      <c r="F1885" t="str">
        <f t="shared" si="58"/>
        <v>setembro</v>
      </c>
      <c r="G1885">
        <f t="shared" si="59"/>
        <v>2023</v>
      </c>
    </row>
    <row r="1886" spans="1:7" x14ac:dyDescent="0.25">
      <c r="A1886">
        <v>8050002</v>
      </c>
      <c r="B1886" s="1">
        <v>45170</v>
      </c>
      <c r="C1886" t="s">
        <v>322</v>
      </c>
      <c r="D1886">
        <v>5</v>
      </c>
      <c r="E1886">
        <v>32.299999999999997</v>
      </c>
      <c r="F1886" t="str">
        <f t="shared" si="58"/>
        <v>setembro</v>
      </c>
      <c r="G1886">
        <f t="shared" si="59"/>
        <v>2023</v>
      </c>
    </row>
    <row r="1887" spans="1:7" x14ac:dyDescent="0.25">
      <c r="A1887">
        <v>8050005</v>
      </c>
      <c r="B1887" s="1">
        <v>45170</v>
      </c>
      <c r="C1887" t="s">
        <v>648</v>
      </c>
      <c r="D1887">
        <v>11</v>
      </c>
      <c r="E1887">
        <v>55.44</v>
      </c>
      <c r="F1887" t="str">
        <f t="shared" si="58"/>
        <v>setembro</v>
      </c>
      <c r="G1887">
        <f t="shared" si="59"/>
        <v>2023</v>
      </c>
    </row>
    <row r="1888" spans="1:7" x14ac:dyDescent="0.25">
      <c r="A1888">
        <v>8060001</v>
      </c>
      <c r="B1888" s="1">
        <v>45170</v>
      </c>
      <c r="C1888" t="s">
        <v>325</v>
      </c>
      <c r="D1888">
        <v>60</v>
      </c>
      <c r="E1888">
        <v>349</v>
      </c>
      <c r="F1888" t="str">
        <f t="shared" si="58"/>
        <v>setembro</v>
      </c>
      <c r="G1888">
        <f t="shared" si="59"/>
        <v>2023</v>
      </c>
    </row>
    <row r="1889" spans="1:7" x14ac:dyDescent="0.25">
      <c r="A1889">
        <v>8070012</v>
      </c>
      <c r="B1889" s="1">
        <v>45170</v>
      </c>
      <c r="C1889" t="s">
        <v>372</v>
      </c>
      <c r="D1889">
        <v>8</v>
      </c>
      <c r="E1889">
        <v>16.8</v>
      </c>
      <c r="F1889" t="str">
        <f t="shared" si="58"/>
        <v>setembro</v>
      </c>
      <c r="G1889">
        <f t="shared" si="59"/>
        <v>2023</v>
      </c>
    </row>
    <row r="1890" spans="1:7" x14ac:dyDescent="0.25">
      <c r="A1890">
        <v>8070015</v>
      </c>
      <c r="B1890" s="1">
        <v>45170</v>
      </c>
      <c r="C1890" t="s">
        <v>373</v>
      </c>
      <c r="D1890">
        <v>13.6</v>
      </c>
      <c r="E1890">
        <v>27.09</v>
      </c>
      <c r="F1890" t="str">
        <f t="shared" si="58"/>
        <v>setembro</v>
      </c>
      <c r="G1890">
        <f t="shared" si="59"/>
        <v>2023</v>
      </c>
    </row>
    <row r="1891" spans="1:7" x14ac:dyDescent="0.25">
      <c r="A1891">
        <v>8070018</v>
      </c>
      <c r="B1891" s="1">
        <v>45170</v>
      </c>
      <c r="C1891" t="s">
        <v>397</v>
      </c>
      <c r="D1891">
        <v>3.1</v>
      </c>
      <c r="E1891">
        <v>10.66</v>
      </c>
      <c r="F1891" t="str">
        <f t="shared" si="58"/>
        <v>setembro</v>
      </c>
      <c r="G1891">
        <f t="shared" si="59"/>
        <v>2023</v>
      </c>
    </row>
    <row r="1892" spans="1:7" x14ac:dyDescent="0.25">
      <c r="A1892">
        <v>8070019</v>
      </c>
      <c r="B1892" s="1">
        <v>45170</v>
      </c>
      <c r="C1892" t="s">
        <v>398</v>
      </c>
      <c r="D1892">
        <v>4431</v>
      </c>
      <c r="E1892">
        <v>15951.6</v>
      </c>
      <c r="F1892" t="str">
        <f t="shared" si="58"/>
        <v>setembro</v>
      </c>
      <c r="G1892">
        <f t="shared" si="59"/>
        <v>2023</v>
      </c>
    </row>
    <row r="1893" spans="1:7" x14ac:dyDescent="0.25">
      <c r="A1893">
        <v>8070025</v>
      </c>
      <c r="B1893" s="1">
        <v>45170</v>
      </c>
      <c r="C1893" t="s">
        <v>655</v>
      </c>
      <c r="D1893">
        <v>5</v>
      </c>
      <c r="E1893">
        <v>13.7</v>
      </c>
      <c r="F1893" t="str">
        <f t="shared" si="58"/>
        <v>setembro</v>
      </c>
      <c r="G1893">
        <f t="shared" si="59"/>
        <v>2023</v>
      </c>
    </row>
    <row r="1894" spans="1:7" x14ac:dyDescent="0.25">
      <c r="A1894">
        <v>8070028</v>
      </c>
      <c r="B1894" s="1">
        <v>45170</v>
      </c>
      <c r="C1894" t="s">
        <v>748</v>
      </c>
      <c r="D1894">
        <v>8.1999999999999993</v>
      </c>
      <c r="E1894">
        <v>31.16</v>
      </c>
      <c r="F1894" t="str">
        <f t="shared" si="58"/>
        <v>setembro</v>
      </c>
      <c r="G1894">
        <f t="shared" si="59"/>
        <v>2023</v>
      </c>
    </row>
    <row r="1895" spans="1:7" x14ac:dyDescent="0.25">
      <c r="A1895">
        <v>8070029</v>
      </c>
      <c r="B1895" s="1">
        <v>45170</v>
      </c>
      <c r="C1895" t="s">
        <v>491</v>
      </c>
      <c r="D1895">
        <v>13.3</v>
      </c>
      <c r="E1895">
        <v>51.77</v>
      </c>
      <c r="F1895" t="str">
        <f t="shared" si="58"/>
        <v>setembro</v>
      </c>
      <c r="G1895">
        <f t="shared" si="59"/>
        <v>2023</v>
      </c>
    </row>
    <row r="1896" spans="1:7" x14ac:dyDescent="0.25">
      <c r="A1896">
        <v>8070039</v>
      </c>
      <c r="B1896" s="1">
        <v>45170</v>
      </c>
      <c r="C1896" t="s">
        <v>497</v>
      </c>
      <c r="D1896">
        <v>576</v>
      </c>
      <c r="E1896">
        <v>4476.8</v>
      </c>
      <c r="F1896" t="str">
        <f t="shared" si="58"/>
        <v>setembro</v>
      </c>
      <c r="G1896">
        <f t="shared" si="59"/>
        <v>2023</v>
      </c>
    </row>
    <row r="1897" spans="1:7" x14ac:dyDescent="0.25">
      <c r="A1897">
        <v>8070050</v>
      </c>
      <c r="B1897" s="1">
        <v>45170</v>
      </c>
      <c r="C1897" t="s">
        <v>749</v>
      </c>
      <c r="D1897">
        <v>408</v>
      </c>
      <c r="E1897">
        <v>3100.8</v>
      </c>
      <c r="F1897" t="str">
        <f t="shared" si="58"/>
        <v>setembro</v>
      </c>
      <c r="G1897">
        <f t="shared" si="59"/>
        <v>2023</v>
      </c>
    </row>
    <row r="1898" spans="1:7" x14ac:dyDescent="0.25">
      <c r="A1898">
        <v>8070051</v>
      </c>
      <c r="B1898" s="1">
        <v>45170</v>
      </c>
      <c r="C1898" t="s">
        <v>750</v>
      </c>
      <c r="D1898">
        <v>0.5</v>
      </c>
      <c r="E1898">
        <v>2.79</v>
      </c>
      <c r="F1898" t="str">
        <f t="shared" si="58"/>
        <v>setembro</v>
      </c>
      <c r="G1898">
        <f t="shared" si="59"/>
        <v>2023</v>
      </c>
    </row>
    <row r="1899" spans="1:7" x14ac:dyDescent="0.25">
      <c r="A1899">
        <v>8070052</v>
      </c>
      <c r="B1899" s="1">
        <v>45170</v>
      </c>
      <c r="C1899" t="s">
        <v>751</v>
      </c>
      <c r="D1899">
        <v>1.5</v>
      </c>
      <c r="E1899">
        <v>4.82</v>
      </c>
      <c r="F1899" t="str">
        <f t="shared" si="58"/>
        <v>setembro</v>
      </c>
      <c r="G1899">
        <f t="shared" si="59"/>
        <v>2023</v>
      </c>
    </row>
    <row r="1900" spans="1:7" x14ac:dyDescent="0.25">
      <c r="A1900">
        <v>8070060</v>
      </c>
      <c r="B1900" s="1">
        <v>45170</v>
      </c>
      <c r="C1900" t="s">
        <v>701</v>
      </c>
      <c r="D1900">
        <v>663</v>
      </c>
      <c r="E1900">
        <v>1498.07</v>
      </c>
      <c r="F1900" t="str">
        <f t="shared" si="58"/>
        <v>setembro</v>
      </c>
      <c r="G1900">
        <f t="shared" si="59"/>
        <v>2023</v>
      </c>
    </row>
    <row r="1901" spans="1:7" x14ac:dyDescent="0.25">
      <c r="A1901">
        <v>8070061</v>
      </c>
      <c r="B1901" s="1">
        <v>45170</v>
      </c>
      <c r="C1901" t="s">
        <v>752</v>
      </c>
      <c r="D1901">
        <v>3760</v>
      </c>
      <c r="E1901">
        <v>8123</v>
      </c>
      <c r="F1901" t="str">
        <f t="shared" si="58"/>
        <v>setembro</v>
      </c>
      <c r="G1901">
        <f t="shared" si="59"/>
        <v>2023</v>
      </c>
    </row>
    <row r="1902" spans="1:7" x14ac:dyDescent="0.25">
      <c r="A1902">
        <v>8070065</v>
      </c>
      <c r="B1902" s="1">
        <v>45170</v>
      </c>
      <c r="C1902" t="s">
        <v>328</v>
      </c>
      <c r="D1902">
        <v>1200</v>
      </c>
      <c r="E1902">
        <v>7020</v>
      </c>
      <c r="F1902" t="str">
        <f t="shared" si="58"/>
        <v>setembro</v>
      </c>
      <c r="G1902">
        <f t="shared" si="59"/>
        <v>2023</v>
      </c>
    </row>
    <row r="1903" spans="1:7" x14ac:dyDescent="0.25">
      <c r="A1903">
        <v>8070066</v>
      </c>
      <c r="B1903" s="1">
        <v>45170</v>
      </c>
      <c r="C1903" t="s">
        <v>753</v>
      </c>
      <c r="D1903">
        <v>2592</v>
      </c>
      <c r="E1903">
        <v>8164.8</v>
      </c>
      <c r="F1903" t="str">
        <f t="shared" si="58"/>
        <v>setembro</v>
      </c>
      <c r="G1903">
        <f t="shared" si="59"/>
        <v>2023</v>
      </c>
    </row>
    <row r="1904" spans="1:7" x14ac:dyDescent="0.25">
      <c r="A1904">
        <v>8070067</v>
      </c>
      <c r="B1904" s="1">
        <v>45170</v>
      </c>
      <c r="C1904" t="s">
        <v>754</v>
      </c>
      <c r="D1904">
        <v>5265</v>
      </c>
      <c r="E1904">
        <v>11319.75</v>
      </c>
      <c r="F1904" t="str">
        <f t="shared" si="58"/>
        <v>setembro</v>
      </c>
      <c r="G1904">
        <f t="shared" si="59"/>
        <v>2023</v>
      </c>
    </row>
    <row r="1905" spans="1:7" x14ac:dyDescent="0.25">
      <c r="A1905">
        <v>8070068</v>
      </c>
      <c r="B1905" s="1">
        <v>45170</v>
      </c>
      <c r="C1905" t="s">
        <v>398</v>
      </c>
      <c r="D1905">
        <v>5040</v>
      </c>
      <c r="E1905">
        <v>18144</v>
      </c>
      <c r="F1905" t="str">
        <f t="shared" si="58"/>
        <v>setembro</v>
      </c>
      <c r="G1905">
        <f t="shared" si="59"/>
        <v>2023</v>
      </c>
    </row>
    <row r="1906" spans="1:7" x14ac:dyDescent="0.25">
      <c r="A1906">
        <v>8120003</v>
      </c>
      <c r="B1906" s="1">
        <v>45170</v>
      </c>
      <c r="C1906" t="s">
        <v>376</v>
      </c>
      <c r="D1906">
        <v>28</v>
      </c>
      <c r="E1906">
        <v>8.5399999999999991</v>
      </c>
      <c r="F1906" t="str">
        <f t="shared" si="58"/>
        <v>setembro</v>
      </c>
      <c r="G1906">
        <f t="shared" si="59"/>
        <v>2023</v>
      </c>
    </row>
    <row r="1907" spans="1:7" x14ac:dyDescent="0.25">
      <c r="A1907">
        <v>8120004</v>
      </c>
      <c r="B1907" s="1">
        <v>45170</v>
      </c>
      <c r="C1907" t="s">
        <v>406</v>
      </c>
      <c r="D1907">
        <v>11</v>
      </c>
      <c r="E1907">
        <v>65.13</v>
      </c>
      <c r="F1907" t="str">
        <f t="shared" si="58"/>
        <v>setembro</v>
      </c>
      <c r="G1907">
        <f t="shared" si="59"/>
        <v>2023</v>
      </c>
    </row>
    <row r="1908" spans="1:7" x14ac:dyDescent="0.25">
      <c r="A1908">
        <v>8120006</v>
      </c>
      <c r="B1908" s="1">
        <v>45170</v>
      </c>
      <c r="C1908" t="s">
        <v>408</v>
      </c>
      <c r="D1908">
        <v>7174.74</v>
      </c>
      <c r="E1908">
        <v>50209.7</v>
      </c>
      <c r="F1908" t="str">
        <f t="shared" si="58"/>
        <v>setembro</v>
      </c>
      <c r="G1908">
        <f t="shared" si="59"/>
        <v>2023</v>
      </c>
    </row>
    <row r="1909" spans="1:7" x14ac:dyDescent="0.25">
      <c r="A1909">
        <v>8120007</v>
      </c>
      <c r="B1909" s="1">
        <v>45170</v>
      </c>
      <c r="C1909" t="s">
        <v>377</v>
      </c>
      <c r="D1909">
        <v>26.63</v>
      </c>
      <c r="E1909">
        <v>236.33</v>
      </c>
      <c r="F1909" t="str">
        <f t="shared" si="58"/>
        <v>setembro</v>
      </c>
      <c r="G1909">
        <f t="shared" si="59"/>
        <v>2023</v>
      </c>
    </row>
    <row r="1910" spans="1:7" x14ac:dyDescent="0.25">
      <c r="A1910">
        <v>8120008</v>
      </c>
      <c r="B1910" s="1">
        <v>45170</v>
      </c>
      <c r="C1910" t="s">
        <v>409</v>
      </c>
      <c r="D1910">
        <v>18.18</v>
      </c>
      <c r="E1910">
        <v>195.21</v>
      </c>
      <c r="F1910" t="str">
        <f t="shared" si="58"/>
        <v>setembro</v>
      </c>
      <c r="G1910">
        <f t="shared" si="59"/>
        <v>2023</v>
      </c>
    </row>
    <row r="1911" spans="1:7" x14ac:dyDescent="0.25">
      <c r="A1911">
        <v>8120014</v>
      </c>
      <c r="B1911" s="1">
        <v>45170</v>
      </c>
      <c r="C1911" t="s">
        <v>411</v>
      </c>
      <c r="D1911">
        <v>506.83</v>
      </c>
      <c r="E1911">
        <v>9427.0400000000009</v>
      </c>
      <c r="F1911" t="str">
        <f t="shared" si="58"/>
        <v>setembro</v>
      </c>
      <c r="G1911">
        <f t="shared" si="59"/>
        <v>2023</v>
      </c>
    </row>
    <row r="1912" spans="1:7" x14ac:dyDescent="0.25">
      <c r="A1912">
        <v>8120015</v>
      </c>
      <c r="B1912" s="1">
        <v>45170</v>
      </c>
      <c r="C1912" t="s">
        <v>412</v>
      </c>
      <c r="D1912">
        <v>3</v>
      </c>
      <c r="E1912">
        <v>12.69</v>
      </c>
      <c r="F1912" t="str">
        <f t="shared" si="58"/>
        <v>setembro</v>
      </c>
      <c r="G1912">
        <f t="shared" si="59"/>
        <v>2023</v>
      </c>
    </row>
    <row r="1913" spans="1:7" x14ac:dyDescent="0.25">
      <c r="A1913">
        <v>8120039</v>
      </c>
      <c r="B1913" s="1">
        <v>45170</v>
      </c>
      <c r="C1913" t="s">
        <v>755</v>
      </c>
      <c r="D1913">
        <v>10</v>
      </c>
      <c r="E1913">
        <v>53</v>
      </c>
      <c r="F1913" t="str">
        <f t="shared" si="58"/>
        <v>setembro</v>
      </c>
      <c r="G1913">
        <f t="shared" si="59"/>
        <v>2023</v>
      </c>
    </row>
    <row r="1914" spans="1:7" x14ac:dyDescent="0.25">
      <c r="A1914">
        <v>8120040</v>
      </c>
      <c r="B1914" s="1">
        <v>45170</v>
      </c>
      <c r="C1914" t="s">
        <v>756</v>
      </c>
      <c r="D1914">
        <v>960</v>
      </c>
      <c r="E1914">
        <v>4080</v>
      </c>
      <c r="F1914" t="str">
        <f t="shared" si="58"/>
        <v>setembro</v>
      </c>
      <c r="G1914">
        <f t="shared" si="59"/>
        <v>2023</v>
      </c>
    </row>
    <row r="1915" spans="1:7" x14ac:dyDescent="0.25">
      <c r="A1915">
        <v>8120046</v>
      </c>
      <c r="B1915" s="1">
        <v>45170</v>
      </c>
      <c r="C1915" t="s">
        <v>757</v>
      </c>
      <c r="D1915">
        <v>1080</v>
      </c>
      <c r="E1915">
        <v>2700</v>
      </c>
      <c r="F1915" t="str">
        <f t="shared" si="58"/>
        <v>setembro</v>
      </c>
      <c r="G1915">
        <f t="shared" si="59"/>
        <v>2023</v>
      </c>
    </row>
    <row r="1916" spans="1:7" x14ac:dyDescent="0.25">
      <c r="A1916">
        <v>8120047</v>
      </c>
      <c r="B1916" s="1">
        <v>45170</v>
      </c>
      <c r="C1916" t="s">
        <v>758</v>
      </c>
      <c r="D1916">
        <v>2825.83</v>
      </c>
      <c r="E1916">
        <v>27410.560000000001</v>
      </c>
      <c r="F1916" t="str">
        <f t="shared" si="58"/>
        <v>setembro</v>
      </c>
      <c r="G1916">
        <f t="shared" si="59"/>
        <v>2023</v>
      </c>
    </row>
    <row r="1917" spans="1:7" x14ac:dyDescent="0.25">
      <c r="A1917">
        <v>8120049</v>
      </c>
      <c r="B1917" s="1">
        <v>45170</v>
      </c>
      <c r="C1917" t="s">
        <v>759</v>
      </c>
      <c r="D1917">
        <v>4395</v>
      </c>
      <c r="E1917">
        <v>11998.35</v>
      </c>
      <c r="F1917" t="str">
        <f t="shared" si="58"/>
        <v>setembro</v>
      </c>
      <c r="G1917">
        <f t="shared" si="59"/>
        <v>2023</v>
      </c>
    </row>
    <row r="1918" spans="1:7" x14ac:dyDescent="0.25">
      <c r="A1918">
        <v>8130001</v>
      </c>
      <c r="B1918" s="1">
        <v>45170</v>
      </c>
      <c r="C1918" t="s">
        <v>380</v>
      </c>
      <c r="D1918">
        <v>1</v>
      </c>
      <c r="E1918">
        <v>2.2599999999999998</v>
      </c>
      <c r="F1918" t="str">
        <f t="shared" si="58"/>
        <v>setembro</v>
      </c>
      <c r="G1918">
        <f t="shared" si="59"/>
        <v>2023</v>
      </c>
    </row>
    <row r="1919" spans="1:7" x14ac:dyDescent="0.25">
      <c r="A1919">
        <v>8130007</v>
      </c>
      <c r="B1919" s="1">
        <v>45170</v>
      </c>
      <c r="C1919" t="s">
        <v>737</v>
      </c>
      <c r="D1919">
        <v>350</v>
      </c>
      <c r="E1919">
        <v>570</v>
      </c>
      <c r="F1919" t="str">
        <f t="shared" si="58"/>
        <v>setembro</v>
      </c>
      <c r="G1919">
        <f t="shared" si="59"/>
        <v>2023</v>
      </c>
    </row>
    <row r="1920" spans="1:7" x14ac:dyDescent="0.25">
      <c r="A1920">
        <v>8130009</v>
      </c>
      <c r="B1920" s="1">
        <v>45170</v>
      </c>
      <c r="C1920" t="s">
        <v>738</v>
      </c>
      <c r="D1920">
        <v>200</v>
      </c>
      <c r="E1920">
        <v>378</v>
      </c>
      <c r="F1920" t="str">
        <f t="shared" si="58"/>
        <v>setembro</v>
      </c>
      <c r="G1920">
        <f t="shared" si="59"/>
        <v>2023</v>
      </c>
    </row>
    <row r="1921" spans="1:7" x14ac:dyDescent="0.25">
      <c r="A1921">
        <v>8130010</v>
      </c>
      <c r="B1921" s="1">
        <v>45170</v>
      </c>
      <c r="C1921" t="s">
        <v>619</v>
      </c>
      <c r="D1921">
        <v>200</v>
      </c>
      <c r="E1921">
        <v>282.10000000000002</v>
      </c>
      <c r="F1921" t="str">
        <f t="shared" si="58"/>
        <v>setembro</v>
      </c>
      <c r="G1921">
        <f t="shared" si="59"/>
        <v>2023</v>
      </c>
    </row>
    <row r="1922" spans="1:7" x14ac:dyDescent="0.25">
      <c r="A1922">
        <v>8130013</v>
      </c>
      <c r="B1922" s="1">
        <v>45170</v>
      </c>
      <c r="C1922" t="s">
        <v>416</v>
      </c>
      <c r="D1922">
        <v>201</v>
      </c>
      <c r="E1922">
        <v>508.64</v>
      </c>
      <c r="F1922" t="str">
        <f t="shared" si="58"/>
        <v>setembro</v>
      </c>
      <c r="G1922">
        <f t="shared" si="59"/>
        <v>2023</v>
      </c>
    </row>
    <row r="1923" spans="1:7" x14ac:dyDescent="0.25">
      <c r="A1923">
        <v>8130015</v>
      </c>
      <c r="B1923" s="1">
        <v>45170</v>
      </c>
      <c r="C1923" t="s">
        <v>622</v>
      </c>
      <c r="D1923">
        <v>105</v>
      </c>
      <c r="E1923">
        <v>375.9</v>
      </c>
      <c r="F1923" t="str">
        <f t="shared" ref="F1923:F1986" si="60">TEXT(B1923,"mmmm")</f>
        <v>setembro</v>
      </c>
      <c r="G1923">
        <f t="shared" ref="G1923:G1986" si="61">YEAR(B1923)</f>
        <v>2023</v>
      </c>
    </row>
    <row r="1924" spans="1:7" x14ac:dyDescent="0.25">
      <c r="A1924">
        <v>8140001</v>
      </c>
      <c r="B1924" s="1">
        <v>45170</v>
      </c>
      <c r="C1924" t="s">
        <v>381</v>
      </c>
      <c r="D1924">
        <v>13</v>
      </c>
      <c r="E1924">
        <v>55.5</v>
      </c>
      <c r="F1924" t="str">
        <f t="shared" si="60"/>
        <v>setembro</v>
      </c>
      <c r="G1924">
        <f t="shared" si="61"/>
        <v>2023</v>
      </c>
    </row>
    <row r="1925" spans="1:7" x14ac:dyDescent="0.25">
      <c r="A1925">
        <v>8140012</v>
      </c>
      <c r="B1925" s="1">
        <v>45170</v>
      </c>
      <c r="C1925" t="s">
        <v>425</v>
      </c>
      <c r="D1925">
        <v>1.34</v>
      </c>
      <c r="E1925">
        <v>26.45</v>
      </c>
      <c r="F1925" t="str">
        <f t="shared" si="60"/>
        <v>setembro</v>
      </c>
      <c r="G1925">
        <f t="shared" si="61"/>
        <v>2023</v>
      </c>
    </row>
    <row r="1926" spans="1:7" x14ac:dyDescent="0.25">
      <c r="A1926">
        <v>8140013</v>
      </c>
      <c r="B1926" s="1">
        <v>45170</v>
      </c>
      <c r="C1926" t="s">
        <v>674</v>
      </c>
      <c r="D1926">
        <v>120</v>
      </c>
      <c r="E1926">
        <v>70.8</v>
      </c>
      <c r="F1926" t="str">
        <f t="shared" si="60"/>
        <v>setembro</v>
      </c>
      <c r="G1926">
        <f t="shared" si="61"/>
        <v>2023</v>
      </c>
    </row>
    <row r="1927" spans="1:7" x14ac:dyDescent="0.25">
      <c r="A1927">
        <v>8140014</v>
      </c>
      <c r="B1927" s="1">
        <v>45170</v>
      </c>
      <c r="C1927" t="s">
        <v>675</v>
      </c>
      <c r="D1927">
        <v>80</v>
      </c>
      <c r="E1927">
        <v>80</v>
      </c>
      <c r="F1927" t="str">
        <f t="shared" si="60"/>
        <v>setembro</v>
      </c>
      <c r="G1927">
        <f t="shared" si="61"/>
        <v>2023</v>
      </c>
    </row>
    <row r="1928" spans="1:7" x14ac:dyDescent="0.25">
      <c r="A1928">
        <v>8140015</v>
      </c>
      <c r="B1928" s="1">
        <v>45170</v>
      </c>
      <c r="C1928" t="s">
        <v>676</v>
      </c>
      <c r="D1928">
        <v>2045</v>
      </c>
      <c r="E1928">
        <v>1925.2</v>
      </c>
      <c r="F1928" t="str">
        <f t="shared" si="60"/>
        <v>setembro</v>
      </c>
      <c r="G1928">
        <f t="shared" si="61"/>
        <v>2023</v>
      </c>
    </row>
    <row r="1929" spans="1:7" x14ac:dyDescent="0.25">
      <c r="A1929">
        <v>8140016</v>
      </c>
      <c r="B1929" s="1">
        <v>45170</v>
      </c>
      <c r="C1929" t="s">
        <v>677</v>
      </c>
      <c r="D1929">
        <v>1927</v>
      </c>
      <c r="E1929">
        <v>7036.92</v>
      </c>
      <c r="F1929" t="str">
        <f t="shared" si="60"/>
        <v>setembro</v>
      </c>
      <c r="G1929">
        <f t="shared" si="61"/>
        <v>2023</v>
      </c>
    </row>
    <row r="1930" spans="1:7" x14ac:dyDescent="0.25">
      <c r="A1930">
        <v>8150002</v>
      </c>
      <c r="B1930" s="1">
        <v>45170</v>
      </c>
      <c r="C1930" t="s">
        <v>383</v>
      </c>
      <c r="D1930">
        <v>3980</v>
      </c>
      <c r="E1930">
        <v>33410.5</v>
      </c>
      <c r="F1930" t="str">
        <f t="shared" si="60"/>
        <v>setembro</v>
      </c>
      <c r="G1930">
        <f t="shared" si="61"/>
        <v>2023</v>
      </c>
    </row>
    <row r="1931" spans="1:7" x14ac:dyDescent="0.25">
      <c r="A1931">
        <v>8150003</v>
      </c>
      <c r="B1931" s="1">
        <v>45170</v>
      </c>
      <c r="C1931" t="s">
        <v>384</v>
      </c>
      <c r="D1931">
        <v>500</v>
      </c>
      <c r="E1931">
        <v>3925</v>
      </c>
      <c r="F1931" t="str">
        <f t="shared" si="60"/>
        <v>setembro</v>
      </c>
      <c r="G1931">
        <f t="shared" si="61"/>
        <v>2023</v>
      </c>
    </row>
    <row r="1932" spans="1:7" x14ac:dyDescent="0.25">
      <c r="A1932">
        <v>8150004</v>
      </c>
      <c r="B1932" s="1">
        <v>45170</v>
      </c>
      <c r="C1932" t="s">
        <v>625</v>
      </c>
      <c r="D1932">
        <v>1182</v>
      </c>
      <c r="E1932">
        <v>7944.72</v>
      </c>
      <c r="F1932" t="str">
        <f t="shared" si="60"/>
        <v>setembro</v>
      </c>
      <c r="G1932">
        <f t="shared" si="61"/>
        <v>2023</v>
      </c>
    </row>
    <row r="1933" spans="1:7" x14ac:dyDescent="0.25">
      <c r="A1933">
        <v>8150005</v>
      </c>
      <c r="B1933" s="1">
        <v>45170</v>
      </c>
      <c r="C1933" t="s">
        <v>386</v>
      </c>
      <c r="D1933">
        <v>2570</v>
      </c>
      <c r="E1933">
        <v>14031.5</v>
      </c>
      <c r="F1933" t="str">
        <f t="shared" si="60"/>
        <v>setembro</v>
      </c>
      <c r="G1933">
        <f t="shared" si="61"/>
        <v>2023</v>
      </c>
    </row>
    <row r="1934" spans="1:7" x14ac:dyDescent="0.25">
      <c r="A1934">
        <v>8150006</v>
      </c>
      <c r="B1934" s="1">
        <v>45170</v>
      </c>
      <c r="C1934" t="s">
        <v>387</v>
      </c>
      <c r="D1934">
        <v>50</v>
      </c>
      <c r="E1934">
        <v>285</v>
      </c>
      <c r="F1934" t="str">
        <f t="shared" si="60"/>
        <v>setembro</v>
      </c>
      <c r="G1934">
        <f t="shared" si="61"/>
        <v>2023</v>
      </c>
    </row>
    <row r="1935" spans="1:7" x14ac:dyDescent="0.25">
      <c r="A1935">
        <v>8150011</v>
      </c>
      <c r="B1935" s="1">
        <v>45170</v>
      </c>
      <c r="C1935" t="s">
        <v>532</v>
      </c>
      <c r="D1935">
        <v>60</v>
      </c>
      <c r="E1935">
        <v>330</v>
      </c>
      <c r="F1935" t="str">
        <f t="shared" si="60"/>
        <v>setembro</v>
      </c>
      <c r="G1935">
        <f t="shared" si="61"/>
        <v>2023</v>
      </c>
    </row>
    <row r="1936" spans="1:7" x14ac:dyDescent="0.25">
      <c r="A1936">
        <v>8150012</v>
      </c>
      <c r="B1936" s="1">
        <v>45170</v>
      </c>
      <c r="C1936" t="s">
        <v>626</v>
      </c>
      <c r="D1936">
        <v>200</v>
      </c>
      <c r="E1936">
        <v>1047</v>
      </c>
      <c r="F1936" t="str">
        <f t="shared" si="60"/>
        <v>setembro</v>
      </c>
      <c r="G1936">
        <f t="shared" si="61"/>
        <v>2023</v>
      </c>
    </row>
    <row r="1937" spans="1:7" x14ac:dyDescent="0.25">
      <c r="A1937">
        <v>8150013</v>
      </c>
      <c r="B1937" s="1">
        <v>45170</v>
      </c>
      <c r="C1937" t="s">
        <v>536</v>
      </c>
      <c r="D1937">
        <v>100</v>
      </c>
      <c r="E1937">
        <v>465</v>
      </c>
      <c r="F1937" t="str">
        <f t="shared" si="60"/>
        <v>setembro</v>
      </c>
      <c r="G1937">
        <f t="shared" si="61"/>
        <v>2023</v>
      </c>
    </row>
    <row r="1938" spans="1:7" x14ac:dyDescent="0.25">
      <c r="A1938">
        <v>8150014</v>
      </c>
      <c r="B1938" s="1">
        <v>45170</v>
      </c>
      <c r="C1938" t="s">
        <v>538</v>
      </c>
      <c r="D1938">
        <v>54</v>
      </c>
      <c r="E1938">
        <v>218.7</v>
      </c>
      <c r="F1938" t="str">
        <f t="shared" si="60"/>
        <v>setembro</v>
      </c>
      <c r="G1938">
        <f t="shared" si="61"/>
        <v>2023</v>
      </c>
    </row>
    <row r="1939" spans="1:7" x14ac:dyDescent="0.25">
      <c r="A1939">
        <v>8150015</v>
      </c>
      <c r="B1939" s="1">
        <v>45170</v>
      </c>
      <c r="C1939" t="s">
        <v>628</v>
      </c>
      <c r="D1939">
        <v>640</v>
      </c>
      <c r="E1939">
        <v>2400</v>
      </c>
      <c r="F1939" t="str">
        <f t="shared" si="60"/>
        <v>setembro</v>
      </c>
      <c r="G1939">
        <f t="shared" si="61"/>
        <v>2023</v>
      </c>
    </row>
    <row r="1940" spans="1:7" x14ac:dyDescent="0.25">
      <c r="A1940">
        <v>8150019</v>
      </c>
      <c r="B1940" s="1">
        <v>45170</v>
      </c>
      <c r="C1940" t="s">
        <v>680</v>
      </c>
      <c r="D1940">
        <v>1</v>
      </c>
      <c r="E1940">
        <v>11</v>
      </c>
      <c r="F1940" t="str">
        <f t="shared" si="60"/>
        <v>setembro</v>
      </c>
      <c r="G1940">
        <f t="shared" si="61"/>
        <v>2023</v>
      </c>
    </row>
    <row r="1941" spans="1:7" x14ac:dyDescent="0.25">
      <c r="A1941">
        <v>8150020</v>
      </c>
      <c r="B1941" s="1">
        <v>45170</v>
      </c>
      <c r="C1941" t="s">
        <v>706</v>
      </c>
      <c r="D1941">
        <v>13</v>
      </c>
      <c r="E1941">
        <v>109.26</v>
      </c>
      <c r="F1941" t="str">
        <f t="shared" si="60"/>
        <v>setembro</v>
      </c>
      <c r="G1941">
        <f t="shared" si="61"/>
        <v>2023</v>
      </c>
    </row>
    <row r="1942" spans="1:7" x14ac:dyDescent="0.25">
      <c r="A1942">
        <v>8150026</v>
      </c>
      <c r="B1942" s="1">
        <v>45170</v>
      </c>
      <c r="C1942" t="s">
        <v>760</v>
      </c>
      <c r="D1942">
        <v>3360</v>
      </c>
      <c r="E1942">
        <v>18648</v>
      </c>
      <c r="F1942" t="str">
        <f t="shared" si="60"/>
        <v>setembro</v>
      </c>
      <c r="G1942">
        <f t="shared" si="61"/>
        <v>2023</v>
      </c>
    </row>
    <row r="1943" spans="1:7" x14ac:dyDescent="0.25">
      <c r="A1943">
        <v>1010100</v>
      </c>
      <c r="B1943" s="1">
        <v>45200</v>
      </c>
      <c r="C1943" t="s">
        <v>709</v>
      </c>
      <c r="D1943">
        <v>4.5</v>
      </c>
      <c r="E1943">
        <v>13.73</v>
      </c>
      <c r="F1943" t="str">
        <f t="shared" si="60"/>
        <v>outubro</v>
      </c>
      <c r="G1943">
        <f t="shared" si="61"/>
        <v>2023</v>
      </c>
    </row>
    <row r="1944" spans="1:7" x14ac:dyDescent="0.25">
      <c r="A1944">
        <v>1010200</v>
      </c>
      <c r="B1944" s="1">
        <v>45200</v>
      </c>
      <c r="C1944" t="s">
        <v>331</v>
      </c>
      <c r="D1944">
        <v>775.7</v>
      </c>
      <c r="E1944">
        <v>232.71</v>
      </c>
      <c r="F1944" t="str">
        <f t="shared" si="60"/>
        <v>outubro</v>
      </c>
      <c r="G1944">
        <f t="shared" si="61"/>
        <v>2023</v>
      </c>
    </row>
    <row r="1945" spans="1:7" x14ac:dyDescent="0.25">
      <c r="A1945">
        <v>1010300</v>
      </c>
      <c r="B1945" s="1">
        <v>45200</v>
      </c>
      <c r="C1945" t="s">
        <v>333</v>
      </c>
      <c r="D1945">
        <v>255.3</v>
      </c>
      <c r="E1945">
        <v>76.59</v>
      </c>
      <c r="F1945" t="str">
        <f t="shared" si="60"/>
        <v>outubro</v>
      </c>
      <c r="G1945">
        <f t="shared" si="61"/>
        <v>2023</v>
      </c>
    </row>
    <row r="1946" spans="1:7" x14ac:dyDescent="0.25">
      <c r="A1946">
        <v>1010500</v>
      </c>
      <c r="B1946" s="1">
        <v>45200</v>
      </c>
      <c r="C1946" t="s">
        <v>6</v>
      </c>
      <c r="D1946">
        <v>1213</v>
      </c>
      <c r="E1946">
        <v>773.76</v>
      </c>
      <c r="F1946" t="str">
        <f t="shared" si="60"/>
        <v>outubro</v>
      </c>
      <c r="G1946">
        <f t="shared" si="61"/>
        <v>2023</v>
      </c>
    </row>
    <row r="1947" spans="1:7" x14ac:dyDescent="0.25">
      <c r="A1947">
        <v>1010600</v>
      </c>
      <c r="B1947" s="1">
        <v>45200</v>
      </c>
      <c r="C1947" t="s">
        <v>334</v>
      </c>
      <c r="D1947">
        <v>7752.87</v>
      </c>
      <c r="E1947">
        <v>5732.31</v>
      </c>
      <c r="F1947" t="str">
        <f t="shared" si="60"/>
        <v>outubro</v>
      </c>
      <c r="G1947">
        <f t="shared" si="61"/>
        <v>2023</v>
      </c>
    </row>
    <row r="1948" spans="1:7" x14ac:dyDescent="0.25">
      <c r="A1948">
        <v>1010700</v>
      </c>
      <c r="B1948" s="1">
        <v>45200</v>
      </c>
      <c r="C1948" t="s">
        <v>335</v>
      </c>
      <c r="D1948">
        <v>754.16</v>
      </c>
      <c r="E1948">
        <v>1577.58</v>
      </c>
      <c r="F1948" t="str">
        <f t="shared" si="60"/>
        <v>outubro</v>
      </c>
      <c r="G1948">
        <f t="shared" si="61"/>
        <v>2023</v>
      </c>
    </row>
    <row r="1949" spans="1:7" x14ac:dyDescent="0.25">
      <c r="A1949">
        <v>1010701</v>
      </c>
      <c r="B1949" s="1">
        <v>45200</v>
      </c>
      <c r="C1949" t="s">
        <v>12</v>
      </c>
      <c r="D1949">
        <v>38.1</v>
      </c>
      <c r="E1949">
        <v>316.92</v>
      </c>
      <c r="F1949" t="str">
        <f t="shared" si="60"/>
        <v>outubro</v>
      </c>
      <c r="G1949">
        <f t="shared" si="61"/>
        <v>2023</v>
      </c>
    </row>
    <row r="1950" spans="1:7" x14ac:dyDescent="0.25">
      <c r="A1950">
        <v>1010702</v>
      </c>
      <c r="B1950" s="1">
        <v>45200</v>
      </c>
      <c r="C1950" t="s">
        <v>740</v>
      </c>
      <c r="D1950">
        <v>1898.8</v>
      </c>
      <c r="E1950">
        <v>3052.22</v>
      </c>
      <c r="F1950" t="str">
        <f t="shared" si="60"/>
        <v>outubro</v>
      </c>
      <c r="G1950">
        <f t="shared" si="61"/>
        <v>2023</v>
      </c>
    </row>
    <row r="1951" spans="1:7" x14ac:dyDescent="0.25">
      <c r="A1951">
        <v>1010902</v>
      </c>
      <c r="B1951" s="1">
        <v>45200</v>
      </c>
      <c r="C1951" t="s">
        <v>711</v>
      </c>
      <c r="D1951">
        <v>740.54</v>
      </c>
      <c r="E1951">
        <v>845.69</v>
      </c>
      <c r="F1951" t="str">
        <f t="shared" si="60"/>
        <v>outubro</v>
      </c>
      <c r="G1951">
        <f t="shared" si="61"/>
        <v>2023</v>
      </c>
    </row>
    <row r="1952" spans="1:7" x14ac:dyDescent="0.25">
      <c r="A1952">
        <v>1010903</v>
      </c>
      <c r="B1952" s="1">
        <v>45200</v>
      </c>
      <c r="C1952" t="s">
        <v>629</v>
      </c>
      <c r="D1952">
        <v>295.89999999999998</v>
      </c>
      <c r="E1952">
        <v>260.76</v>
      </c>
      <c r="F1952" t="str">
        <f t="shared" si="60"/>
        <v>outubro</v>
      </c>
      <c r="G1952">
        <f t="shared" si="61"/>
        <v>2023</v>
      </c>
    </row>
    <row r="1953" spans="1:7" x14ac:dyDescent="0.25">
      <c r="A1953">
        <v>1011000</v>
      </c>
      <c r="B1953" s="1">
        <v>45200</v>
      </c>
      <c r="C1953" t="s">
        <v>20</v>
      </c>
      <c r="D1953">
        <v>1267.05</v>
      </c>
      <c r="E1953">
        <v>898.7</v>
      </c>
      <c r="F1953" t="str">
        <f t="shared" si="60"/>
        <v>outubro</v>
      </c>
      <c r="G1953">
        <f t="shared" si="61"/>
        <v>2023</v>
      </c>
    </row>
    <row r="1954" spans="1:7" x14ac:dyDescent="0.25">
      <c r="A1954">
        <v>1011100</v>
      </c>
      <c r="B1954" s="1">
        <v>45200</v>
      </c>
      <c r="C1954" t="s">
        <v>293</v>
      </c>
      <c r="D1954">
        <v>48.7</v>
      </c>
      <c r="E1954">
        <v>22.09</v>
      </c>
      <c r="F1954" t="str">
        <f t="shared" si="60"/>
        <v>outubro</v>
      </c>
      <c r="G1954">
        <f t="shared" si="61"/>
        <v>2023</v>
      </c>
    </row>
    <row r="1955" spans="1:7" x14ac:dyDescent="0.25">
      <c r="A1955">
        <v>1011200</v>
      </c>
      <c r="B1955" s="1">
        <v>45200</v>
      </c>
      <c r="C1955" t="s">
        <v>712</v>
      </c>
      <c r="D1955">
        <v>51.9</v>
      </c>
      <c r="E1955">
        <v>71.66</v>
      </c>
      <c r="F1955" t="str">
        <f t="shared" si="60"/>
        <v>outubro</v>
      </c>
      <c r="G1955">
        <f t="shared" si="61"/>
        <v>2023</v>
      </c>
    </row>
    <row r="1956" spans="1:7" x14ac:dyDescent="0.25">
      <c r="A1956">
        <v>1011201</v>
      </c>
      <c r="B1956" s="1">
        <v>45200</v>
      </c>
      <c r="C1956" t="s">
        <v>338</v>
      </c>
      <c r="D1956">
        <v>115.6</v>
      </c>
      <c r="E1956">
        <v>312.12</v>
      </c>
      <c r="F1956" t="str">
        <f t="shared" si="60"/>
        <v>outubro</v>
      </c>
      <c r="G1956">
        <f t="shared" si="61"/>
        <v>2023</v>
      </c>
    </row>
    <row r="1957" spans="1:7" x14ac:dyDescent="0.25">
      <c r="A1957">
        <v>1011202</v>
      </c>
      <c r="B1957" s="1">
        <v>45200</v>
      </c>
      <c r="C1957" t="s">
        <v>340</v>
      </c>
      <c r="D1957">
        <v>448.6</v>
      </c>
      <c r="E1957">
        <v>89.72</v>
      </c>
      <c r="F1957" t="str">
        <f t="shared" si="60"/>
        <v>outubro</v>
      </c>
      <c r="G1957">
        <f t="shared" si="61"/>
        <v>2023</v>
      </c>
    </row>
    <row r="1958" spans="1:7" x14ac:dyDescent="0.25">
      <c r="A1958">
        <v>1011203</v>
      </c>
      <c r="B1958" s="1">
        <v>45200</v>
      </c>
      <c r="C1958" t="s">
        <v>342</v>
      </c>
      <c r="D1958">
        <v>125</v>
      </c>
      <c r="E1958">
        <v>75</v>
      </c>
      <c r="F1958" t="str">
        <f t="shared" si="60"/>
        <v>outubro</v>
      </c>
      <c r="G1958">
        <f t="shared" si="61"/>
        <v>2023</v>
      </c>
    </row>
    <row r="1959" spans="1:7" x14ac:dyDescent="0.25">
      <c r="A1959">
        <v>1011204</v>
      </c>
      <c r="B1959" s="1">
        <v>45200</v>
      </c>
      <c r="C1959" t="s">
        <v>344</v>
      </c>
      <c r="D1959">
        <v>126.7</v>
      </c>
      <c r="E1959">
        <v>215.39</v>
      </c>
      <c r="F1959" t="str">
        <f t="shared" si="60"/>
        <v>outubro</v>
      </c>
      <c r="G1959">
        <f t="shared" si="61"/>
        <v>2023</v>
      </c>
    </row>
    <row r="1960" spans="1:7" x14ac:dyDescent="0.25">
      <c r="A1960">
        <v>1011211</v>
      </c>
      <c r="B1960" s="1">
        <v>45200</v>
      </c>
      <c r="C1960" t="s">
        <v>685</v>
      </c>
      <c r="D1960">
        <v>196.1</v>
      </c>
      <c r="E1960">
        <v>68.64</v>
      </c>
      <c r="F1960" t="str">
        <f t="shared" si="60"/>
        <v>outubro</v>
      </c>
      <c r="G1960">
        <f t="shared" si="61"/>
        <v>2023</v>
      </c>
    </row>
    <row r="1961" spans="1:7" x14ac:dyDescent="0.25">
      <c r="A1961">
        <v>1011300</v>
      </c>
      <c r="B1961" s="1">
        <v>45200</v>
      </c>
      <c r="C1961" t="s">
        <v>295</v>
      </c>
      <c r="D1961">
        <v>5221.7</v>
      </c>
      <c r="E1961">
        <v>1340.46</v>
      </c>
      <c r="F1961" t="str">
        <f t="shared" si="60"/>
        <v>outubro</v>
      </c>
      <c r="G1961">
        <f t="shared" si="61"/>
        <v>2023</v>
      </c>
    </row>
    <row r="1962" spans="1:7" x14ac:dyDescent="0.25">
      <c r="A1962">
        <v>1011400</v>
      </c>
      <c r="B1962" s="1">
        <v>45200</v>
      </c>
      <c r="C1962" t="s">
        <v>25</v>
      </c>
      <c r="D1962">
        <v>6</v>
      </c>
      <c r="E1962">
        <v>15</v>
      </c>
      <c r="F1962" t="str">
        <f t="shared" si="60"/>
        <v>outubro</v>
      </c>
      <c r="G1962">
        <f t="shared" si="61"/>
        <v>2023</v>
      </c>
    </row>
    <row r="1963" spans="1:7" x14ac:dyDescent="0.25">
      <c r="A1963">
        <v>1011500</v>
      </c>
      <c r="B1963" s="1">
        <v>45200</v>
      </c>
      <c r="C1963" t="s">
        <v>27</v>
      </c>
      <c r="D1963">
        <v>2224.6799999999998</v>
      </c>
      <c r="E1963">
        <v>1760.68</v>
      </c>
      <c r="F1963" t="str">
        <f t="shared" si="60"/>
        <v>outubro</v>
      </c>
      <c r="G1963">
        <f t="shared" si="61"/>
        <v>2023</v>
      </c>
    </row>
    <row r="1964" spans="1:7" x14ac:dyDescent="0.25">
      <c r="A1964">
        <v>1011604</v>
      </c>
      <c r="B1964" s="1">
        <v>45200</v>
      </c>
      <c r="C1964" t="s">
        <v>29</v>
      </c>
      <c r="D1964">
        <v>19119</v>
      </c>
      <c r="E1964">
        <v>1529.52</v>
      </c>
      <c r="F1964" t="str">
        <f t="shared" si="60"/>
        <v>outubro</v>
      </c>
      <c r="G1964">
        <f t="shared" si="61"/>
        <v>2023</v>
      </c>
    </row>
    <row r="1965" spans="1:7" x14ac:dyDescent="0.25">
      <c r="A1965">
        <v>1011700</v>
      </c>
      <c r="B1965" s="1">
        <v>45200</v>
      </c>
      <c r="C1965" t="s">
        <v>31</v>
      </c>
      <c r="D1965">
        <v>239.9</v>
      </c>
      <c r="E1965">
        <v>399.14</v>
      </c>
      <c r="F1965" t="str">
        <f t="shared" si="60"/>
        <v>outubro</v>
      </c>
      <c r="G1965">
        <f t="shared" si="61"/>
        <v>2023</v>
      </c>
    </row>
    <row r="1966" spans="1:7" x14ac:dyDescent="0.25">
      <c r="A1966">
        <v>1011800</v>
      </c>
      <c r="B1966" s="1">
        <v>45200</v>
      </c>
      <c r="C1966" t="s">
        <v>713</v>
      </c>
      <c r="D1966">
        <v>3765.73</v>
      </c>
      <c r="E1966">
        <v>6728.94</v>
      </c>
      <c r="F1966" t="str">
        <f t="shared" si="60"/>
        <v>outubro</v>
      </c>
      <c r="G1966">
        <f t="shared" si="61"/>
        <v>2023</v>
      </c>
    </row>
    <row r="1967" spans="1:7" x14ac:dyDescent="0.25">
      <c r="A1967">
        <v>1011801</v>
      </c>
      <c r="B1967" s="1">
        <v>45200</v>
      </c>
      <c r="C1967" t="s">
        <v>714</v>
      </c>
      <c r="D1967">
        <v>35.71</v>
      </c>
      <c r="E1967">
        <v>53.57</v>
      </c>
      <c r="F1967" t="str">
        <f t="shared" si="60"/>
        <v>outubro</v>
      </c>
      <c r="G1967">
        <f t="shared" si="61"/>
        <v>2023</v>
      </c>
    </row>
    <row r="1968" spans="1:7" x14ac:dyDescent="0.25">
      <c r="A1968">
        <v>1011901</v>
      </c>
      <c r="B1968" s="1">
        <v>45200</v>
      </c>
      <c r="C1968" t="s">
        <v>715</v>
      </c>
      <c r="D1968">
        <v>76.02</v>
      </c>
      <c r="E1968">
        <v>76.02</v>
      </c>
      <c r="F1968" t="str">
        <f t="shared" si="60"/>
        <v>outubro</v>
      </c>
      <c r="G1968">
        <f t="shared" si="61"/>
        <v>2023</v>
      </c>
    </row>
    <row r="1969" spans="1:7" x14ac:dyDescent="0.25">
      <c r="A1969">
        <v>1012000</v>
      </c>
      <c r="B1969" s="1">
        <v>45200</v>
      </c>
      <c r="C1969" t="s">
        <v>761</v>
      </c>
      <c r="D1969">
        <v>1.7</v>
      </c>
      <c r="E1969">
        <v>4.25</v>
      </c>
      <c r="F1969" t="str">
        <f t="shared" si="60"/>
        <v>outubro</v>
      </c>
      <c r="G1969">
        <f t="shared" si="61"/>
        <v>2023</v>
      </c>
    </row>
    <row r="1970" spans="1:7" x14ac:dyDescent="0.25">
      <c r="A1970">
        <v>1012100</v>
      </c>
      <c r="B1970" s="1">
        <v>45200</v>
      </c>
      <c r="C1970" t="s">
        <v>302</v>
      </c>
      <c r="D1970">
        <v>468.9</v>
      </c>
      <c r="E1970">
        <v>1312.92</v>
      </c>
      <c r="F1970" t="str">
        <f t="shared" si="60"/>
        <v>outubro</v>
      </c>
      <c r="G1970">
        <f t="shared" si="61"/>
        <v>2023</v>
      </c>
    </row>
    <row r="1971" spans="1:7" x14ac:dyDescent="0.25">
      <c r="A1971">
        <v>1012200</v>
      </c>
      <c r="B1971" s="1">
        <v>45200</v>
      </c>
      <c r="C1971" t="s">
        <v>39</v>
      </c>
      <c r="D1971">
        <v>1540.11</v>
      </c>
      <c r="E1971">
        <v>2426.29</v>
      </c>
      <c r="F1971" t="str">
        <f t="shared" si="60"/>
        <v>outubro</v>
      </c>
      <c r="G1971">
        <f t="shared" si="61"/>
        <v>2023</v>
      </c>
    </row>
    <row r="1972" spans="1:7" x14ac:dyDescent="0.25">
      <c r="A1972">
        <v>1012201</v>
      </c>
      <c r="B1972" s="1">
        <v>45200</v>
      </c>
      <c r="C1972" t="s">
        <v>716</v>
      </c>
      <c r="D1972">
        <v>448.06</v>
      </c>
      <c r="E1972">
        <v>883.23</v>
      </c>
      <c r="F1972" t="str">
        <f t="shared" si="60"/>
        <v>outubro</v>
      </c>
      <c r="G1972">
        <f t="shared" si="61"/>
        <v>2023</v>
      </c>
    </row>
    <row r="1973" spans="1:7" x14ac:dyDescent="0.25">
      <c r="A1973">
        <v>1012203</v>
      </c>
      <c r="B1973" s="1">
        <v>45200</v>
      </c>
      <c r="C1973" t="s">
        <v>43</v>
      </c>
      <c r="D1973">
        <v>1098.5999999999999</v>
      </c>
      <c r="E1973">
        <v>1889.42</v>
      </c>
      <c r="F1973" t="str">
        <f t="shared" si="60"/>
        <v>outubro</v>
      </c>
      <c r="G1973">
        <f t="shared" si="61"/>
        <v>2023</v>
      </c>
    </row>
    <row r="1974" spans="1:7" x14ac:dyDescent="0.25">
      <c r="A1974">
        <v>1012205</v>
      </c>
      <c r="B1974" s="1">
        <v>45200</v>
      </c>
      <c r="C1974" t="s">
        <v>762</v>
      </c>
      <c r="D1974">
        <v>5315</v>
      </c>
      <c r="E1974">
        <v>5878.44</v>
      </c>
      <c r="F1974" t="str">
        <f t="shared" si="60"/>
        <v>outubro</v>
      </c>
      <c r="G1974">
        <f t="shared" si="61"/>
        <v>2023</v>
      </c>
    </row>
    <row r="1975" spans="1:7" x14ac:dyDescent="0.25">
      <c r="A1975">
        <v>1012206</v>
      </c>
      <c r="B1975" s="1">
        <v>45200</v>
      </c>
      <c r="C1975" t="s">
        <v>763</v>
      </c>
      <c r="D1975">
        <v>24</v>
      </c>
      <c r="E1975">
        <v>29.9</v>
      </c>
      <c r="F1975" t="str">
        <f t="shared" si="60"/>
        <v>outubro</v>
      </c>
      <c r="G1975">
        <f t="shared" si="61"/>
        <v>2023</v>
      </c>
    </row>
    <row r="1976" spans="1:7" x14ac:dyDescent="0.25">
      <c r="A1976">
        <v>1012300</v>
      </c>
      <c r="B1976" s="1">
        <v>45200</v>
      </c>
      <c r="C1976" t="s">
        <v>45</v>
      </c>
      <c r="D1976">
        <v>347.57</v>
      </c>
      <c r="E1976">
        <v>514.32000000000005</v>
      </c>
      <c r="F1976" t="str">
        <f t="shared" si="60"/>
        <v>outubro</v>
      </c>
      <c r="G1976">
        <f t="shared" si="61"/>
        <v>2023</v>
      </c>
    </row>
    <row r="1977" spans="1:7" x14ac:dyDescent="0.25">
      <c r="A1977">
        <v>1012301</v>
      </c>
      <c r="B1977" s="1">
        <v>45200</v>
      </c>
      <c r="C1977" t="s">
        <v>47</v>
      </c>
      <c r="D1977">
        <v>2730</v>
      </c>
      <c r="E1977">
        <v>3588.5</v>
      </c>
      <c r="F1977" t="str">
        <f t="shared" si="60"/>
        <v>outubro</v>
      </c>
      <c r="G1977">
        <f t="shared" si="61"/>
        <v>2023</v>
      </c>
    </row>
    <row r="1978" spans="1:7" x14ac:dyDescent="0.25">
      <c r="A1978">
        <v>1012400</v>
      </c>
      <c r="B1978" s="1">
        <v>45200</v>
      </c>
      <c r="C1978" t="s">
        <v>49</v>
      </c>
      <c r="D1978">
        <v>1087.97</v>
      </c>
      <c r="E1978">
        <v>1763.05</v>
      </c>
      <c r="F1978" t="str">
        <f t="shared" si="60"/>
        <v>outubro</v>
      </c>
      <c r="G1978">
        <f t="shared" si="61"/>
        <v>2023</v>
      </c>
    </row>
    <row r="1979" spans="1:7" x14ac:dyDescent="0.25">
      <c r="A1979">
        <v>1012401</v>
      </c>
      <c r="B1979" s="1">
        <v>45200</v>
      </c>
      <c r="C1979" t="s">
        <v>51</v>
      </c>
      <c r="D1979">
        <v>221.07</v>
      </c>
      <c r="E1979">
        <v>286.45999999999998</v>
      </c>
      <c r="F1979" t="str">
        <f t="shared" si="60"/>
        <v>outubro</v>
      </c>
      <c r="G1979">
        <f t="shared" si="61"/>
        <v>2023</v>
      </c>
    </row>
    <row r="1980" spans="1:7" x14ac:dyDescent="0.25">
      <c r="A1980">
        <v>1012500</v>
      </c>
      <c r="B1980" s="1">
        <v>45200</v>
      </c>
      <c r="C1980" t="s">
        <v>53</v>
      </c>
      <c r="D1980">
        <v>1158.7</v>
      </c>
      <c r="E1980">
        <v>300.58</v>
      </c>
      <c r="F1980" t="str">
        <f t="shared" si="60"/>
        <v>outubro</v>
      </c>
      <c r="G1980">
        <f t="shared" si="61"/>
        <v>2023</v>
      </c>
    </row>
    <row r="1981" spans="1:7" x14ac:dyDescent="0.25">
      <c r="A1981">
        <v>1012601</v>
      </c>
      <c r="B1981" s="1">
        <v>45200</v>
      </c>
      <c r="C1981" t="s">
        <v>55</v>
      </c>
      <c r="D1981">
        <v>134</v>
      </c>
      <c r="E1981">
        <v>134</v>
      </c>
      <c r="F1981" t="str">
        <f t="shared" si="60"/>
        <v>outubro</v>
      </c>
      <c r="G1981">
        <f t="shared" si="61"/>
        <v>2023</v>
      </c>
    </row>
    <row r="1982" spans="1:7" x14ac:dyDescent="0.25">
      <c r="A1982">
        <v>1012700</v>
      </c>
      <c r="B1982" s="1">
        <v>45200</v>
      </c>
      <c r="C1982" t="s">
        <v>630</v>
      </c>
      <c r="D1982">
        <v>48.5</v>
      </c>
      <c r="E1982">
        <v>63.05</v>
      </c>
      <c r="F1982" t="str">
        <f t="shared" si="60"/>
        <v>outubro</v>
      </c>
      <c r="G1982">
        <f t="shared" si="61"/>
        <v>2023</v>
      </c>
    </row>
    <row r="1983" spans="1:7" x14ac:dyDescent="0.25">
      <c r="A1983">
        <v>1012800</v>
      </c>
      <c r="B1983" s="1">
        <v>45200</v>
      </c>
      <c r="C1983" t="s">
        <v>439</v>
      </c>
      <c r="D1983">
        <v>49</v>
      </c>
      <c r="E1983">
        <v>68.88</v>
      </c>
      <c r="F1983" t="str">
        <f t="shared" si="60"/>
        <v>outubro</v>
      </c>
      <c r="G1983">
        <f t="shared" si="61"/>
        <v>2023</v>
      </c>
    </row>
    <row r="1984" spans="1:7" x14ac:dyDescent="0.25">
      <c r="A1984">
        <v>1013100</v>
      </c>
      <c r="B1984" s="1">
        <v>45200</v>
      </c>
      <c r="C1984" t="s">
        <v>57</v>
      </c>
      <c r="D1984">
        <v>55.7</v>
      </c>
      <c r="E1984">
        <v>76.849999999999994</v>
      </c>
      <c r="F1984" t="str">
        <f t="shared" si="60"/>
        <v>outubro</v>
      </c>
      <c r="G1984">
        <f t="shared" si="61"/>
        <v>2023</v>
      </c>
    </row>
    <row r="1985" spans="1:7" x14ac:dyDescent="0.25">
      <c r="A1985">
        <v>1013101</v>
      </c>
      <c r="B1985" s="1">
        <v>45200</v>
      </c>
      <c r="C1985" t="s">
        <v>717</v>
      </c>
      <c r="D1985">
        <v>3951</v>
      </c>
      <c r="E1985">
        <v>4050</v>
      </c>
      <c r="F1985" t="str">
        <f t="shared" si="60"/>
        <v>outubro</v>
      </c>
      <c r="G1985">
        <f t="shared" si="61"/>
        <v>2023</v>
      </c>
    </row>
    <row r="1986" spans="1:7" x14ac:dyDescent="0.25">
      <c r="A1986">
        <v>1013200</v>
      </c>
      <c r="B1986" s="1">
        <v>45200</v>
      </c>
      <c r="C1986" t="s">
        <v>59</v>
      </c>
      <c r="D1986">
        <v>2703.5</v>
      </c>
      <c r="E1986">
        <v>2881.42</v>
      </c>
      <c r="F1986" t="str">
        <f t="shared" si="60"/>
        <v>outubro</v>
      </c>
      <c r="G1986">
        <f t="shared" si="61"/>
        <v>2023</v>
      </c>
    </row>
    <row r="1987" spans="1:7" x14ac:dyDescent="0.25">
      <c r="A1987">
        <v>1013201</v>
      </c>
      <c r="B1987" s="1">
        <v>45200</v>
      </c>
      <c r="C1987" t="s">
        <v>347</v>
      </c>
      <c r="D1987">
        <v>1867</v>
      </c>
      <c r="E1987">
        <v>2148</v>
      </c>
      <c r="F1987" t="str">
        <f t="shared" ref="F1987:F2050" si="62">TEXT(B1987,"mmmm")</f>
        <v>outubro</v>
      </c>
      <c r="G1987">
        <f t="shared" ref="G1987:G2050" si="63">YEAR(B1987)</f>
        <v>2023</v>
      </c>
    </row>
    <row r="1988" spans="1:7" x14ac:dyDescent="0.25">
      <c r="A1988">
        <v>1013202</v>
      </c>
      <c r="B1988" s="1">
        <v>45200</v>
      </c>
      <c r="C1988" t="s">
        <v>443</v>
      </c>
      <c r="D1988">
        <v>76</v>
      </c>
      <c r="E1988">
        <v>76</v>
      </c>
      <c r="F1988" t="str">
        <f t="shared" si="62"/>
        <v>outubro</v>
      </c>
      <c r="G1988">
        <f t="shared" si="63"/>
        <v>2023</v>
      </c>
    </row>
    <row r="1989" spans="1:7" x14ac:dyDescent="0.25">
      <c r="A1989">
        <v>1013300</v>
      </c>
      <c r="B1989" s="1">
        <v>45200</v>
      </c>
      <c r="C1989" t="s">
        <v>348</v>
      </c>
      <c r="D1989">
        <v>800.1</v>
      </c>
      <c r="E1989">
        <v>240.03</v>
      </c>
      <c r="F1989" t="str">
        <f t="shared" si="62"/>
        <v>outubro</v>
      </c>
      <c r="G1989">
        <f t="shared" si="63"/>
        <v>2023</v>
      </c>
    </row>
    <row r="1990" spans="1:7" x14ac:dyDescent="0.25">
      <c r="A1990">
        <v>1013500</v>
      </c>
      <c r="B1990" s="1">
        <v>45200</v>
      </c>
      <c r="C1990" t="s">
        <v>61</v>
      </c>
      <c r="D1990">
        <v>22.8</v>
      </c>
      <c r="E1990">
        <v>11.4</v>
      </c>
      <c r="F1990" t="str">
        <f t="shared" si="62"/>
        <v>outubro</v>
      </c>
      <c r="G1990">
        <f t="shared" si="63"/>
        <v>2023</v>
      </c>
    </row>
    <row r="1991" spans="1:7" x14ac:dyDescent="0.25">
      <c r="A1991">
        <v>1100100</v>
      </c>
      <c r="B1991" s="1">
        <v>45200</v>
      </c>
      <c r="C1991" t="s">
        <v>63</v>
      </c>
      <c r="D1991">
        <v>57382.68</v>
      </c>
      <c r="E1991">
        <v>152514.26999999999</v>
      </c>
      <c r="F1991" t="str">
        <f t="shared" si="62"/>
        <v>outubro</v>
      </c>
      <c r="G1991">
        <f t="shared" si="63"/>
        <v>2023</v>
      </c>
    </row>
    <row r="1992" spans="1:7" x14ac:dyDescent="0.25">
      <c r="A1992">
        <v>1100101</v>
      </c>
      <c r="B1992" s="1">
        <v>45200</v>
      </c>
      <c r="C1992" t="s">
        <v>65</v>
      </c>
      <c r="D1992">
        <v>459.8</v>
      </c>
      <c r="E1992">
        <v>1243.6099999999999</v>
      </c>
      <c r="F1992" t="str">
        <f t="shared" si="62"/>
        <v>outubro</v>
      </c>
      <c r="G1992">
        <f t="shared" si="63"/>
        <v>2023</v>
      </c>
    </row>
    <row r="1993" spans="1:7" x14ac:dyDescent="0.25">
      <c r="A1993">
        <v>1100200</v>
      </c>
      <c r="B1993" s="1">
        <v>45200</v>
      </c>
      <c r="C1993" t="s">
        <v>67</v>
      </c>
      <c r="D1993">
        <v>57969.83</v>
      </c>
      <c r="E1993">
        <v>170716.68</v>
      </c>
      <c r="F1993" t="str">
        <f t="shared" si="62"/>
        <v>outubro</v>
      </c>
      <c r="G1993">
        <f t="shared" si="63"/>
        <v>2023</v>
      </c>
    </row>
    <row r="1994" spans="1:7" x14ac:dyDescent="0.25">
      <c r="A1994">
        <v>1100300</v>
      </c>
      <c r="B1994" s="1">
        <v>45200</v>
      </c>
      <c r="C1994" t="s">
        <v>69</v>
      </c>
      <c r="D1994">
        <v>15327.46</v>
      </c>
      <c r="E1994">
        <v>44930.44</v>
      </c>
      <c r="F1994" t="str">
        <f t="shared" si="62"/>
        <v>outubro</v>
      </c>
      <c r="G1994">
        <f t="shared" si="63"/>
        <v>2023</v>
      </c>
    </row>
    <row r="1995" spans="1:7" x14ac:dyDescent="0.25">
      <c r="A1995">
        <v>1100301</v>
      </c>
      <c r="B1995" s="1">
        <v>45200</v>
      </c>
      <c r="C1995" t="s">
        <v>71</v>
      </c>
      <c r="D1995">
        <v>411</v>
      </c>
      <c r="E1995">
        <v>1309.22</v>
      </c>
      <c r="F1995" t="str">
        <f t="shared" si="62"/>
        <v>outubro</v>
      </c>
      <c r="G1995">
        <f t="shared" si="63"/>
        <v>2023</v>
      </c>
    </row>
    <row r="1996" spans="1:7" x14ac:dyDescent="0.25">
      <c r="A1996">
        <v>1100400</v>
      </c>
      <c r="B1996" s="1">
        <v>45200</v>
      </c>
      <c r="C1996" t="s">
        <v>73</v>
      </c>
      <c r="D1996">
        <v>11856.6</v>
      </c>
      <c r="E1996">
        <v>30858.25</v>
      </c>
      <c r="F1996" t="str">
        <f t="shared" si="62"/>
        <v>outubro</v>
      </c>
      <c r="G1996">
        <f t="shared" si="63"/>
        <v>2023</v>
      </c>
    </row>
    <row r="1997" spans="1:7" x14ac:dyDescent="0.25">
      <c r="A1997">
        <v>1100500</v>
      </c>
      <c r="B1997" s="1">
        <v>45200</v>
      </c>
      <c r="C1997" t="s">
        <v>75</v>
      </c>
      <c r="D1997">
        <v>771.48</v>
      </c>
      <c r="E1997">
        <v>2081.3000000000002</v>
      </c>
      <c r="F1997" t="str">
        <f t="shared" si="62"/>
        <v>outubro</v>
      </c>
      <c r="G1997">
        <f t="shared" si="63"/>
        <v>2023</v>
      </c>
    </row>
    <row r="1998" spans="1:7" x14ac:dyDescent="0.25">
      <c r="A1998">
        <v>1100600</v>
      </c>
      <c r="B1998" s="1">
        <v>45200</v>
      </c>
      <c r="C1998" t="s">
        <v>77</v>
      </c>
      <c r="D1998">
        <v>6980.18</v>
      </c>
      <c r="E1998">
        <v>24354.01</v>
      </c>
      <c r="F1998" t="str">
        <f t="shared" si="62"/>
        <v>outubro</v>
      </c>
      <c r="G1998">
        <f t="shared" si="63"/>
        <v>2023</v>
      </c>
    </row>
    <row r="1999" spans="1:7" x14ac:dyDescent="0.25">
      <c r="A1999">
        <v>1100602</v>
      </c>
      <c r="B1999" s="1">
        <v>45200</v>
      </c>
      <c r="C1999" t="s">
        <v>79</v>
      </c>
      <c r="D1999">
        <v>807.1</v>
      </c>
      <c r="E1999">
        <v>4158.47</v>
      </c>
      <c r="F1999" t="str">
        <f t="shared" si="62"/>
        <v>outubro</v>
      </c>
      <c r="G1999">
        <f t="shared" si="63"/>
        <v>2023</v>
      </c>
    </row>
    <row r="2000" spans="1:7" x14ac:dyDescent="0.25">
      <c r="A2000">
        <v>1100603</v>
      </c>
      <c r="B2000" s="1">
        <v>45200</v>
      </c>
      <c r="C2000" t="s">
        <v>304</v>
      </c>
      <c r="D2000">
        <v>70</v>
      </c>
      <c r="E2000">
        <v>405.9</v>
      </c>
      <c r="F2000" t="str">
        <f t="shared" si="62"/>
        <v>outubro</v>
      </c>
      <c r="G2000">
        <f t="shared" si="63"/>
        <v>2023</v>
      </c>
    </row>
    <row r="2001" spans="1:7" x14ac:dyDescent="0.25">
      <c r="A2001">
        <v>1100605</v>
      </c>
      <c r="B2001" s="1">
        <v>45200</v>
      </c>
      <c r="C2001" t="s">
        <v>631</v>
      </c>
      <c r="D2001">
        <v>405</v>
      </c>
      <c r="E2001">
        <v>1519.1</v>
      </c>
      <c r="F2001" t="str">
        <f t="shared" si="62"/>
        <v>outubro</v>
      </c>
      <c r="G2001">
        <f t="shared" si="63"/>
        <v>2023</v>
      </c>
    </row>
    <row r="2002" spans="1:7" x14ac:dyDescent="0.25">
      <c r="A2002">
        <v>1100608</v>
      </c>
      <c r="B2002" s="1">
        <v>45200</v>
      </c>
      <c r="C2002" t="s">
        <v>349</v>
      </c>
      <c r="D2002">
        <v>7405.01</v>
      </c>
      <c r="E2002">
        <v>24774.02</v>
      </c>
      <c r="F2002" t="str">
        <f t="shared" si="62"/>
        <v>outubro</v>
      </c>
      <c r="G2002">
        <f t="shared" si="63"/>
        <v>2023</v>
      </c>
    </row>
    <row r="2003" spans="1:7" x14ac:dyDescent="0.25">
      <c r="A2003">
        <v>1100700</v>
      </c>
      <c r="B2003" s="1">
        <v>45200</v>
      </c>
      <c r="C2003" t="s">
        <v>83</v>
      </c>
      <c r="D2003">
        <v>12850.25</v>
      </c>
      <c r="E2003">
        <v>42256.86</v>
      </c>
      <c r="F2003" t="str">
        <f t="shared" si="62"/>
        <v>outubro</v>
      </c>
      <c r="G2003">
        <f t="shared" si="63"/>
        <v>2023</v>
      </c>
    </row>
    <row r="2004" spans="1:7" x14ac:dyDescent="0.25">
      <c r="A2004">
        <v>1100701</v>
      </c>
      <c r="B2004" s="1">
        <v>45200</v>
      </c>
      <c r="C2004" t="s">
        <v>84</v>
      </c>
      <c r="D2004">
        <v>207.9</v>
      </c>
      <c r="E2004">
        <v>806.82</v>
      </c>
      <c r="F2004" t="str">
        <f t="shared" si="62"/>
        <v>outubro</v>
      </c>
      <c r="G2004">
        <f t="shared" si="63"/>
        <v>2023</v>
      </c>
    </row>
    <row r="2005" spans="1:7" x14ac:dyDescent="0.25">
      <c r="A2005">
        <v>1100703</v>
      </c>
      <c r="B2005" s="1">
        <v>45200</v>
      </c>
      <c r="C2005" t="s">
        <v>86</v>
      </c>
      <c r="D2005">
        <v>1192.8800000000001</v>
      </c>
      <c r="E2005">
        <v>4637.41</v>
      </c>
      <c r="F2005" t="str">
        <f t="shared" si="62"/>
        <v>outubro</v>
      </c>
      <c r="G2005">
        <f t="shared" si="63"/>
        <v>2023</v>
      </c>
    </row>
    <row r="2006" spans="1:7" x14ac:dyDescent="0.25">
      <c r="A2006">
        <v>1100705</v>
      </c>
      <c r="B2006" s="1">
        <v>45200</v>
      </c>
      <c r="C2006" t="s">
        <v>88</v>
      </c>
      <c r="D2006">
        <v>187.8</v>
      </c>
      <c r="E2006">
        <v>296.33</v>
      </c>
      <c r="F2006" t="str">
        <f t="shared" si="62"/>
        <v>outubro</v>
      </c>
      <c r="G2006">
        <f t="shared" si="63"/>
        <v>2023</v>
      </c>
    </row>
    <row r="2007" spans="1:7" x14ac:dyDescent="0.25">
      <c r="A2007">
        <v>1100706</v>
      </c>
      <c r="B2007" s="1">
        <v>45200</v>
      </c>
      <c r="C2007" t="s">
        <v>305</v>
      </c>
      <c r="D2007">
        <v>7.47</v>
      </c>
      <c r="E2007">
        <v>14.19</v>
      </c>
      <c r="F2007" t="str">
        <f t="shared" si="62"/>
        <v>outubro</v>
      </c>
      <c r="G2007">
        <f t="shared" si="63"/>
        <v>2023</v>
      </c>
    </row>
    <row r="2008" spans="1:7" x14ac:dyDescent="0.25">
      <c r="A2008">
        <v>1100707</v>
      </c>
      <c r="B2008" s="1">
        <v>45200</v>
      </c>
      <c r="C2008" t="s">
        <v>686</v>
      </c>
      <c r="D2008">
        <v>1303.77</v>
      </c>
      <c r="E2008">
        <v>5283.08</v>
      </c>
      <c r="F2008" t="str">
        <f t="shared" si="62"/>
        <v>outubro</v>
      </c>
      <c r="G2008">
        <f t="shared" si="63"/>
        <v>2023</v>
      </c>
    </row>
    <row r="2009" spans="1:7" x14ac:dyDescent="0.25">
      <c r="A2009">
        <v>1100709</v>
      </c>
      <c r="B2009" s="1">
        <v>45200</v>
      </c>
      <c r="C2009" t="s">
        <v>764</v>
      </c>
      <c r="D2009">
        <v>753.26</v>
      </c>
      <c r="E2009">
        <v>3154.21</v>
      </c>
      <c r="F2009" t="str">
        <f t="shared" si="62"/>
        <v>outubro</v>
      </c>
      <c r="G2009">
        <f t="shared" si="63"/>
        <v>2023</v>
      </c>
    </row>
    <row r="2010" spans="1:7" x14ac:dyDescent="0.25">
      <c r="A2010">
        <v>1100800</v>
      </c>
      <c r="B2010" s="1">
        <v>45200</v>
      </c>
      <c r="C2010" t="s">
        <v>90</v>
      </c>
      <c r="D2010">
        <v>13162.57</v>
      </c>
      <c r="E2010">
        <v>40296.35</v>
      </c>
      <c r="F2010" t="str">
        <f t="shared" si="62"/>
        <v>outubro</v>
      </c>
      <c r="G2010">
        <f t="shared" si="63"/>
        <v>2023</v>
      </c>
    </row>
    <row r="2011" spans="1:7" x14ac:dyDescent="0.25">
      <c r="A2011">
        <v>1100802</v>
      </c>
      <c r="B2011" s="1">
        <v>45200</v>
      </c>
      <c r="C2011" t="s">
        <v>306</v>
      </c>
      <c r="D2011">
        <v>200.2</v>
      </c>
      <c r="E2011">
        <v>611.01</v>
      </c>
      <c r="F2011" t="str">
        <f t="shared" si="62"/>
        <v>outubro</v>
      </c>
      <c r="G2011">
        <f t="shared" si="63"/>
        <v>2023</v>
      </c>
    </row>
    <row r="2012" spans="1:7" x14ac:dyDescent="0.25">
      <c r="A2012">
        <v>1100900</v>
      </c>
      <c r="B2012" s="1">
        <v>45200</v>
      </c>
      <c r="C2012" t="s">
        <v>94</v>
      </c>
      <c r="D2012">
        <v>638.45000000000005</v>
      </c>
      <c r="E2012">
        <v>3530.88</v>
      </c>
      <c r="F2012" t="str">
        <f t="shared" si="62"/>
        <v>outubro</v>
      </c>
      <c r="G2012">
        <f t="shared" si="63"/>
        <v>2023</v>
      </c>
    </row>
    <row r="2013" spans="1:7" x14ac:dyDescent="0.25">
      <c r="A2013">
        <v>1101000</v>
      </c>
      <c r="B2013" s="1">
        <v>45200</v>
      </c>
      <c r="C2013" t="s">
        <v>96</v>
      </c>
      <c r="D2013">
        <v>10905.86</v>
      </c>
      <c r="E2013">
        <v>39101.629999999997</v>
      </c>
      <c r="F2013" t="str">
        <f t="shared" si="62"/>
        <v>outubro</v>
      </c>
      <c r="G2013">
        <f t="shared" si="63"/>
        <v>2023</v>
      </c>
    </row>
    <row r="2014" spans="1:7" x14ac:dyDescent="0.25">
      <c r="A2014">
        <v>1101001</v>
      </c>
      <c r="B2014" s="1">
        <v>45200</v>
      </c>
      <c r="C2014" t="s">
        <v>98</v>
      </c>
      <c r="D2014">
        <v>215.6</v>
      </c>
      <c r="E2014">
        <v>950.85</v>
      </c>
      <c r="F2014" t="str">
        <f t="shared" si="62"/>
        <v>outubro</v>
      </c>
      <c r="G2014">
        <f t="shared" si="63"/>
        <v>2023</v>
      </c>
    </row>
    <row r="2015" spans="1:7" x14ac:dyDescent="0.25">
      <c r="A2015">
        <v>1101002</v>
      </c>
      <c r="B2015" s="1">
        <v>45200</v>
      </c>
      <c r="C2015" t="s">
        <v>687</v>
      </c>
      <c r="D2015">
        <v>1307.9000000000001</v>
      </c>
      <c r="E2015">
        <v>5881.08</v>
      </c>
      <c r="F2015" t="str">
        <f t="shared" si="62"/>
        <v>outubro</v>
      </c>
      <c r="G2015">
        <f t="shared" si="63"/>
        <v>2023</v>
      </c>
    </row>
    <row r="2016" spans="1:7" x14ac:dyDescent="0.25">
      <c r="A2016">
        <v>1101100</v>
      </c>
      <c r="B2016" s="1">
        <v>45200</v>
      </c>
      <c r="C2016" t="s">
        <v>100</v>
      </c>
      <c r="D2016">
        <v>41279.910000000003</v>
      </c>
      <c r="E2016">
        <v>132957.91</v>
      </c>
      <c r="F2016" t="str">
        <f t="shared" si="62"/>
        <v>outubro</v>
      </c>
      <c r="G2016">
        <f t="shared" si="63"/>
        <v>2023</v>
      </c>
    </row>
    <row r="2017" spans="1:7" x14ac:dyDescent="0.25">
      <c r="A2017">
        <v>1101102</v>
      </c>
      <c r="B2017" s="1">
        <v>45200</v>
      </c>
      <c r="C2017" t="s">
        <v>742</v>
      </c>
      <c r="D2017">
        <v>843.5</v>
      </c>
      <c r="E2017">
        <v>3020.02</v>
      </c>
      <c r="F2017" t="str">
        <f t="shared" si="62"/>
        <v>outubro</v>
      </c>
      <c r="G2017">
        <f t="shared" si="63"/>
        <v>2023</v>
      </c>
    </row>
    <row r="2018" spans="1:7" x14ac:dyDescent="0.25">
      <c r="A2018">
        <v>1101108</v>
      </c>
      <c r="B2018" s="1">
        <v>45200</v>
      </c>
      <c r="C2018" t="s">
        <v>743</v>
      </c>
      <c r="D2018">
        <v>100.71</v>
      </c>
      <c r="E2018">
        <v>434.18</v>
      </c>
      <c r="F2018" t="str">
        <f t="shared" si="62"/>
        <v>outubro</v>
      </c>
      <c r="G2018">
        <f t="shared" si="63"/>
        <v>2023</v>
      </c>
    </row>
    <row r="2019" spans="1:7" x14ac:dyDescent="0.25">
      <c r="A2019">
        <v>1101300</v>
      </c>
      <c r="B2019" s="1">
        <v>45200</v>
      </c>
      <c r="C2019" t="s">
        <v>102</v>
      </c>
      <c r="D2019">
        <v>143.08000000000001</v>
      </c>
      <c r="E2019">
        <v>661.52</v>
      </c>
      <c r="F2019" t="str">
        <f t="shared" si="62"/>
        <v>outubro</v>
      </c>
      <c r="G2019">
        <f t="shared" si="63"/>
        <v>2023</v>
      </c>
    </row>
    <row r="2020" spans="1:7" x14ac:dyDescent="0.25">
      <c r="A2020">
        <v>1101400</v>
      </c>
      <c r="B2020" s="1">
        <v>45200</v>
      </c>
      <c r="C2020" t="s">
        <v>104</v>
      </c>
      <c r="D2020">
        <v>20593.189999999999</v>
      </c>
      <c r="E2020">
        <v>53861.86</v>
      </c>
      <c r="F2020" t="str">
        <f t="shared" si="62"/>
        <v>outubro</v>
      </c>
      <c r="G2020">
        <f t="shared" si="63"/>
        <v>2023</v>
      </c>
    </row>
    <row r="2021" spans="1:7" x14ac:dyDescent="0.25">
      <c r="A2021">
        <v>1101500</v>
      </c>
      <c r="B2021" s="1">
        <v>45200</v>
      </c>
      <c r="C2021" t="s">
        <v>106</v>
      </c>
      <c r="D2021">
        <v>420.4</v>
      </c>
      <c r="E2021">
        <v>1213.5</v>
      </c>
      <c r="F2021" t="str">
        <f t="shared" si="62"/>
        <v>outubro</v>
      </c>
      <c r="G2021">
        <f t="shared" si="63"/>
        <v>2023</v>
      </c>
    </row>
    <row r="2022" spans="1:7" x14ac:dyDescent="0.25">
      <c r="A2022">
        <v>1101600</v>
      </c>
      <c r="B2022" s="1">
        <v>45200</v>
      </c>
      <c r="C2022" t="s">
        <v>720</v>
      </c>
      <c r="D2022">
        <v>70.5</v>
      </c>
      <c r="E2022">
        <v>205.98</v>
      </c>
      <c r="F2022" t="str">
        <f t="shared" si="62"/>
        <v>outubro</v>
      </c>
      <c r="G2022">
        <f t="shared" si="63"/>
        <v>2023</v>
      </c>
    </row>
    <row r="2023" spans="1:7" x14ac:dyDescent="0.25">
      <c r="A2023">
        <v>1101700</v>
      </c>
      <c r="B2023" s="1">
        <v>45200</v>
      </c>
      <c r="C2023" t="s">
        <v>110</v>
      </c>
      <c r="D2023">
        <v>2232.6999999999998</v>
      </c>
      <c r="E2023">
        <v>5954</v>
      </c>
      <c r="F2023" t="str">
        <f t="shared" si="62"/>
        <v>outubro</v>
      </c>
      <c r="G2023">
        <f t="shared" si="63"/>
        <v>2023</v>
      </c>
    </row>
    <row r="2024" spans="1:7" x14ac:dyDescent="0.25">
      <c r="A2024">
        <v>1101801</v>
      </c>
      <c r="B2024" s="1">
        <v>45200</v>
      </c>
      <c r="C2024" t="s">
        <v>112</v>
      </c>
      <c r="D2024">
        <v>5913.45</v>
      </c>
      <c r="E2024">
        <v>14887.29</v>
      </c>
      <c r="F2024" t="str">
        <f t="shared" si="62"/>
        <v>outubro</v>
      </c>
      <c r="G2024">
        <f t="shared" si="63"/>
        <v>2023</v>
      </c>
    </row>
    <row r="2025" spans="1:7" x14ac:dyDescent="0.25">
      <c r="A2025">
        <v>1101900</v>
      </c>
      <c r="B2025" s="1">
        <v>45200</v>
      </c>
      <c r="C2025" t="s">
        <v>114</v>
      </c>
      <c r="D2025">
        <v>5577.9</v>
      </c>
      <c r="E2025">
        <v>19079.259999999998</v>
      </c>
      <c r="F2025" t="str">
        <f t="shared" si="62"/>
        <v>outubro</v>
      </c>
      <c r="G2025">
        <f t="shared" si="63"/>
        <v>2023</v>
      </c>
    </row>
    <row r="2026" spans="1:7" x14ac:dyDescent="0.25">
      <c r="A2026">
        <v>1101901</v>
      </c>
      <c r="B2026" s="1">
        <v>45200</v>
      </c>
      <c r="C2026" t="s">
        <v>448</v>
      </c>
      <c r="D2026">
        <v>1795</v>
      </c>
      <c r="E2026">
        <v>6655.52</v>
      </c>
      <c r="F2026" t="str">
        <f t="shared" si="62"/>
        <v>outubro</v>
      </c>
      <c r="G2026">
        <f t="shared" si="63"/>
        <v>2023</v>
      </c>
    </row>
    <row r="2027" spans="1:7" x14ac:dyDescent="0.25">
      <c r="A2027">
        <v>1101902</v>
      </c>
      <c r="B2027" s="1">
        <v>45200</v>
      </c>
      <c r="C2027" t="s">
        <v>351</v>
      </c>
      <c r="D2027">
        <v>561.16</v>
      </c>
      <c r="E2027">
        <v>2372.88</v>
      </c>
      <c r="F2027" t="str">
        <f t="shared" si="62"/>
        <v>outubro</v>
      </c>
      <c r="G2027">
        <f t="shared" si="63"/>
        <v>2023</v>
      </c>
    </row>
    <row r="2028" spans="1:7" x14ac:dyDescent="0.25">
      <c r="A2028">
        <v>1101903</v>
      </c>
      <c r="B2028" s="1">
        <v>45200</v>
      </c>
      <c r="C2028" t="s">
        <v>745</v>
      </c>
      <c r="D2028">
        <v>298</v>
      </c>
      <c r="E2028">
        <v>1311.2</v>
      </c>
      <c r="F2028" t="str">
        <f t="shared" si="62"/>
        <v>outubro</v>
      </c>
      <c r="G2028">
        <f t="shared" si="63"/>
        <v>2023</v>
      </c>
    </row>
    <row r="2029" spans="1:7" x14ac:dyDescent="0.25">
      <c r="A2029">
        <v>1101904</v>
      </c>
      <c r="B2029" s="1">
        <v>45200</v>
      </c>
      <c r="C2029" t="s">
        <v>765</v>
      </c>
      <c r="D2029">
        <v>563.99</v>
      </c>
      <c r="E2029">
        <v>2481.56</v>
      </c>
      <c r="F2029" t="str">
        <f t="shared" si="62"/>
        <v>outubro</v>
      </c>
      <c r="G2029">
        <f t="shared" si="63"/>
        <v>2023</v>
      </c>
    </row>
    <row r="2030" spans="1:7" x14ac:dyDescent="0.25">
      <c r="A2030">
        <v>1101906</v>
      </c>
      <c r="B2030" s="1">
        <v>45200</v>
      </c>
      <c r="C2030" t="s">
        <v>632</v>
      </c>
      <c r="D2030">
        <v>171.15</v>
      </c>
      <c r="E2030">
        <v>551.12</v>
      </c>
      <c r="F2030" t="str">
        <f t="shared" si="62"/>
        <v>outubro</v>
      </c>
      <c r="G2030">
        <f t="shared" si="63"/>
        <v>2023</v>
      </c>
    </row>
    <row r="2031" spans="1:7" x14ac:dyDescent="0.25">
      <c r="A2031">
        <v>1102000</v>
      </c>
      <c r="B2031" s="1">
        <v>45200</v>
      </c>
      <c r="C2031" t="s">
        <v>115</v>
      </c>
      <c r="D2031">
        <v>105.4</v>
      </c>
      <c r="E2031">
        <v>438.18</v>
      </c>
      <c r="F2031" t="str">
        <f t="shared" si="62"/>
        <v>outubro</v>
      </c>
      <c r="G2031">
        <f t="shared" si="63"/>
        <v>2023</v>
      </c>
    </row>
    <row r="2032" spans="1:7" x14ac:dyDescent="0.25">
      <c r="A2032">
        <v>1102200</v>
      </c>
      <c r="B2032" s="1">
        <v>45200</v>
      </c>
      <c r="C2032" t="s">
        <v>117</v>
      </c>
      <c r="D2032">
        <v>239.9</v>
      </c>
      <c r="E2032">
        <v>786.87</v>
      </c>
      <c r="F2032" t="str">
        <f t="shared" si="62"/>
        <v>outubro</v>
      </c>
      <c r="G2032">
        <f t="shared" si="63"/>
        <v>2023</v>
      </c>
    </row>
    <row r="2033" spans="1:7" x14ac:dyDescent="0.25">
      <c r="A2033">
        <v>1102300</v>
      </c>
      <c r="B2033" s="1">
        <v>45200</v>
      </c>
      <c r="C2033" t="s">
        <v>119</v>
      </c>
      <c r="D2033">
        <v>3755.6</v>
      </c>
      <c r="E2033">
        <v>11313.42</v>
      </c>
      <c r="F2033" t="str">
        <f t="shared" si="62"/>
        <v>outubro</v>
      </c>
      <c r="G2033">
        <f t="shared" si="63"/>
        <v>2023</v>
      </c>
    </row>
    <row r="2034" spans="1:7" x14ac:dyDescent="0.25">
      <c r="A2034">
        <v>1103000</v>
      </c>
      <c r="B2034" s="1">
        <v>45200</v>
      </c>
      <c r="C2034" t="s">
        <v>121</v>
      </c>
      <c r="D2034">
        <v>383.97</v>
      </c>
      <c r="E2034">
        <v>785.31</v>
      </c>
      <c r="F2034" t="str">
        <f t="shared" si="62"/>
        <v>outubro</v>
      </c>
      <c r="G2034">
        <f t="shared" si="63"/>
        <v>2023</v>
      </c>
    </row>
    <row r="2035" spans="1:7" x14ac:dyDescent="0.25">
      <c r="A2035">
        <v>1103001</v>
      </c>
      <c r="B2035" s="1">
        <v>45200</v>
      </c>
      <c r="C2035" t="s">
        <v>123</v>
      </c>
      <c r="D2035">
        <v>218.15</v>
      </c>
      <c r="E2035">
        <v>437.33</v>
      </c>
      <c r="F2035" t="str">
        <f t="shared" si="62"/>
        <v>outubro</v>
      </c>
      <c r="G2035">
        <f t="shared" si="63"/>
        <v>2023</v>
      </c>
    </row>
    <row r="2036" spans="1:7" x14ac:dyDescent="0.25">
      <c r="A2036">
        <v>2010904</v>
      </c>
      <c r="B2036" s="1">
        <v>45200</v>
      </c>
      <c r="C2036" t="s">
        <v>721</v>
      </c>
      <c r="D2036">
        <v>8640</v>
      </c>
      <c r="E2036">
        <v>5070.25</v>
      </c>
      <c r="F2036" t="str">
        <f t="shared" si="62"/>
        <v>outubro</v>
      </c>
      <c r="G2036">
        <f t="shared" si="63"/>
        <v>2023</v>
      </c>
    </row>
    <row r="2037" spans="1:7" x14ac:dyDescent="0.25">
      <c r="A2037">
        <v>2010905</v>
      </c>
      <c r="B2037" s="1">
        <v>45200</v>
      </c>
      <c r="C2037" t="s">
        <v>544</v>
      </c>
      <c r="D2037">
        <v>6930</v>
      </c>
      <c r="E2037">
        <v>3649</v>
      </c>
      <c r="F2037" t="str">
        <f t="shared" si="62"/>
        <v>outubro</v>
      </c>
      <c r="G2037">
        <f t="shared" si="63"/>
        <v>2023</v>
      </c>
    </row>
    <row r="2038" spans="1:7" x14ac:dyDescent="0.25">
      <c r="A2038">
        <v>2010910</v>
      </c>
      <c r="B2038" s="1">
        <v>45200</v>
      </c>
      <c r="C2038" t="s">
        <v>766</v>
      </c>
      <c r="D2038">
        <v>21.3</v>
      </c>
      <c r="E2038">
        <v>14.91</v>
      </c>
      <c r="F2038" t="str">
        <f t="shared" si="62"/>
        <v>outubro</v>
      </c>
      <c r="G2038">
        <f t="shared" si="63"/>
        <v>2023</v>
      </c>
    </row>
    <row r="2039" spans="1:7" x14ac:dyDescent="0.25">
      <c r="A2039">
        <v>2011700</v>
      </c>
      <c r="B2039" s="1">
        <v>45200</v>
      </c>
      <c r="C2039" t="s">
        <v>129</v>
      </c>
      <c r="D2039">
        <v>200.78</v>
      </c>
      <c r="E2039">
        <v>514.14</v>
      </c>
      <c r="F2039" t="str">
        <f t="shared" si="62"/>
        <v>outubro</v>
      </c>
      <c r="G2039">
        <f t="shared" si="63"/>
        <v>2023</v>
      </c>
    </row>
    <row r="2040" spans="1:7" x14ac:dyDescent="0.25">
      <c r="A2040">
        <v>2090002</v>
      </c>
      <c r="B2040" s="1">
        <v>45200</v>
      </c>
      <c r="C2040" t="s">
        <v>451</v>
      </c>
      <c r="D2040">
        <v>357.68</v>
      </c>
      <c r="E2040">
        <v>1807.42</v>
      </c>
      <c r="F2040" t="str">
        <f t="shared" si="62"/>
        <v>outubro</v>
      </c>
      <c r="G2040">
        <f t="shared" si="63"/>
        <v>2023</v>
      </c>
    </row>
    <row r="2041" spans="1:7" x14ac:dyDescent="0.25">
      <c r="A2041">
        <v>3020103</v>
      </c>
      <c r="B2041" s="1">
        <v>45200</v>
      </c>
      <c r="C2041" t="s">
        <v>131</v>
      </c>
      <c r="D2041">
        <v>6762.73</v>
      </c>
      <c r="E2041">
        <v>22019.59</v>
      </c>
      <c r="F2041" t="str">
        <f t="shared" si="62"/>
        <v>outubro</v>
      </c>
      <c r="G2041">
        <f t="shared" si="63"/>
        <v>2023</v>
      </c>
    </row>
    <row r="2042" spans="1:7" x14ac:dyDescent="0.25">
      <c r="A2042">
        <v>3020212</v>
      </c>
      <c r="B2042" s="1">
        <v>45200</v>
      </c>
      <c r="C2042" t="s">
        <v>133</v>
      </c>
      <c r="D2042">
        <v>1652.26</v>
      </c>
      <c r="E2042">
        <v>6074.24</v>
      </c>
      <c r="F2042" t="str">
        <f t="shared" si="62"/>
        <v>outubro</v>
      </c>
      <c r="G2042">
        <f t="shared" si="63"/>
        <v>2023</v>
      </c>
    </row>
    <row r="2043" spans="1:7" x14ac:dyDescent="0.25">
      <c r="A2043">
        <v>3020214</v>
      </c>
      <c r="B2043" s="1">
        <v>45200</v>
      </c>
      <c r="C2043" t="s">
        <v>135</v>
      </c>
      <c r="D2043">
        <v>586.12</v>
      </c>
      <c r="E2043">
        <v>2078.39</v>
      </c>
      <c r="F2043" t="str">
        <f t="shared" si="62"/>
        <v>outubro</v>
      </c>
      <c r="G2043">
        <f t="shared" si="63"/>
        <v>2023</v>
      </c>
    </row>
    <row r="2044" spans="1:7" x14ac:dyDescent="0.25">
      <c r="A2044">
        <v>3020315</v>
      </c>
      <c r="B2044" s="1">
        <v>45200</v>
      </c>
      <c r="C2044" t="s">
        <v>137</v>
      </c>
      <c r="D2044">
        <v>2475.66</v>
      </c>
      <c r="E2044">
        <v>8836.02</v>
      </c>
      <c r="F2044" t="str">
        <f t="shared" si="62"/>
        <v>outubro</v>
      </c>
      <c r="G2044">
        <f t="shared" si="63"/>
        <v>2023</v>
      </c>
    </row>
    <row r="2045" spans="1:7" x14ac:dyDescent="0.25">
      <c r="A2045">
        <v>3020316</v>
      </c>
      <c r="B2045" s="1">
        <v>45200</v>
      </c>
      <c r="C2045" t="s">
        <v>139</v>
      </c>
      <c r="D2045">
        <v>241.3</v>
      </c>
      <c r="E2045">
        <v>767.36</v>
      </c>
      <c r="F2045" t="str">
        <f t="shared" si="62"/>
        <v>outubro</v>
      </c>
      <c r="G2045">
        <f t="shared" si="63"/>
        <v>2023</v>
      </c>
    </row>
    <row r="2046" spans="1:7" x14ac:dyDescent="0.25">
      <c r="A2046">
        <v>3020402</v>
      </c>
      <c r="B2046" s="1">
        <v>45200</v>
      </c>
      <c r="C2046" t="s">
        <v>141</v>
      </c>
      <c r="D2046">
        <v>2915.05</v>
      </c>
      <c r="E2046">
        <v>10564.39</v>
      </c>
      <c r="F2046" t="str">
        <f t="shared" si="62"/>
        <v>outubro</v>
      </c>
      <c r="G2046">
        <f t="shared" si="63"/>
        <v>2023</v>
      </c>
    </row>
    <row r="2047" spans="1:7" x14ac:dyDescent="0.25">
      <c r="A2047">
        <v>3020504</v>
      </c>
      <c r="B2047" s="1">
        <v>45200</v>
      </c>
      <c r="C2047" t="s">
        <v>143</v>
      </c>
      <c r="D2047">
        <v>448.86</v>
      </c>
      <c r="E2047">
        <v>1692.61</v>
      </c>
      <c r="F2047" t="str">
        <f t="shared" si="62"/>
        <v>outubro</v>
      </c>
      <c r="G2047">
        <f t="shared" si="63"/>
        <v>2023</v>
      </c>
    </row>
    <row r="2048" spans="1:7" x14ac:dyDescent="0.25">
      <c r="A2048">
        <v>3020622</v>
      </c>
      <c r="B2048" s="1">
        <v>45200</v>
      </c>
      <c r="C2048" t="s">
        <v>145</v>
      </c>
      <c r="D2048">
        <v>9176.77</v>
      </c>
      <c r="E2048">
        <v>32609.85</v>
      </c>
      <c r="F2048" t="str">
        <f t="shared" si="62"/>
        <v>outubro</v>
      </c>
      <c r="G2048">
        <f t="shared" si="63"/>
        <v>2023</v>
      </c>
    </row>
    <row r="2049" spans="1:7" x14ac:dyDescent="0.25">
      <c r="A2049">
        <v>3020623</v>
      </c>
      <c r="B2049" s="1">
        <v>45200</v>
      </c>
      <c r="C2049" t="s">
        <v>147</v>
      </c>
      <c r="D2049">
        <v>739.18</v>
      </c>
      <c r="E2049">
        <v>2849.73</v>
      </c>
      <c r="F2049" t="str">
        <f t="shared" si="62"/>
        <v>outubro</v>
      </c>
      <c r="G2049">
        <f t="shared" si="63"/>
        <v>2023</v>
      </c>
    </row>
    <row r="2050" spans="1:7" x14ac:dyDescent="0.25">
      <c r="A2050">
        <v>3020725</v>
      </c>
      <c r="B2050" s="1">
        <v>45200</v>
      </c>
      <c r="C2050" t="s">
        <v>149</v>
      </c>
      <c r="D2050">
        <v>393.56</v>
      </c>
      <c r="E2050">
        <v>1488.82</v>
      </c>
      <c r="F2050" t="str">
        <f t="shared" si="62"/>
        <v>outubro</v>
      </c>
      <c r="G2050">
        <f t="shared" si="63"/>
        <v>2023</v>
      </c>
    </row>
    <row r="2051" spans="1:7" x14ac:dyDescent="0.25">
      <c r="A2051">
        <v>3020823</v>
      </c>
      <c r="B2051" s="1">
        <v>45200</v>
      </c>
      <c r="C2051" t="s">
        <v>151</v>
      </c>
      <c r="D2051">
        <v>1640.18</v>
      </c>
      <c r="E2051">
        <v>6270.02</v>
      </c>
      <c r="F2051" t="str">
        <f t="shared" ref="F2051:F2114" si="64">TEXT(B2051,"mmmm")</f>
        <v>outubro</v>
      </c>
      <c r="G2051">
        <f t="shared" ref="G2051:G2114" si="65">YEAR(B2051)</f>
        <v>2023</v>
      </c>
    </row>
    <row r="2052" spans="1:7" x14ac:dyDescent="0.25">
      <c r="A2052">
        <v>3020824</v>
      </c>
      <c r="B2052" s="1">
        <v>45200</v>
      </c>
      <c r="C2052" t="s">
        <v>153</v>
      </c>
      <c r="D2052">
        <v>1614.94</v>
      </c>
      <c r="E2052">
        <v>6032.73</v>
      </c>
      <c r="F2052" t="str">
        <f t="shared" si="64"/>
        <v>outubro</v>
      </c>
      <c r="G2052">
        <f t="shared" si="65"/>
        <v>2023</v>
      </c>
    </row>
    <row r="2053" spans="1:7" x14ac:dyDescent="0.25">
      <c r="A2053">
        <v>3020825</v>
      </c>
      <c r="B2053" s="1">
        <v>45200</v>
      </c>
      <c r="C2053" t="s">
        <v>455</v>
      </c>
      <c r="D2053">
        <v>665.06</v>
      </c>
      <c r="E2053">
        <v>2726.77</v>
      </c>
      <c r="F2053" t="str">
        <f t="shared" si="64"/>
        <v>outubro</v>
      </c>
      <c r="G2053">
        <f t="shared" si="65"/>
        <v>2023</v>
      </c>
    </row>
    <row r="2054" spans="1:7" x14ac:dyDescent="0.25">
      <c r="A2054">
        <v>3020924</v>
      </c>
      <c r="B2054" s="1">
        <v>45200</v>
      </c>
      <c r="C2054" t="s">
        <v>155</v>
      </c>
      <c r="D2054">
        <v>1044.31</v>
      </c>
      <c r="E2054">
        <v>4023.06</v>
      </c>
      <c r="F2054" t="str">
        <f t="shared" si="64"/>
        <v>outubro</v>
      </c>
      <c r="G2054">
        <f t="shared" si="65"/>
        <v>2023</v>
      </c>
    </row>
    <row r="2055" spans="1:7" x14ac:dyDescent="0.25">
      <c r="A2055">
        <v>3020925</v>
      </c>
      <c r="B2055" s="1">
        <v>45200</v>
      </c>
      <c r="C2055" t="s">
        <v>157</v>
      </c>
      <c r="D2055">
        <v>1650.89</v>
      </c>
      <c r="E2055">
        <v>6328.34</v>
      </c>
      <c r="F2055" t="str">
        <f t="shared" si="64"/>
        <v>outubro</v>
      </c>
      <c r="G2055">
        <f t="shared" si="65"/>
        <v>2023</v>
      </c>
    </row>
    <row r="2056" spans="1:7" x14ac:dyDescent="0.25">
      <c r="A2056">
        <v>3021435</v>
      </c>
      <c r="B2056" s="1">
        <v>45200</v>
      </c>
      <c r="C2056" t="s">
        <v>159</v>
      </c>
      <c r="D2056">
        <v>11.16</v>
      </c>
      <c r="E2056">
        <v>35.15</v>
      </c>
      <c r="F2056" t="str">
        <f t="shared" si="64"/>
        <v>outubro</v>
      </c>
      <c r="G2056">
        <f t="shared" si="65"/>
        <v>2023</v>
      </c>
    </row>
    <row r="2057" spans="1:7" x14ac:dyDescent="0.25">
      <c r="A2057">
        <v>3021436</v>
      </c>
      <c r="B2057" s="1">
        <v>45200</v>
      </c>
      <c r="C2057" t="s">
        <v>546</v>
      </c>
      <c r="D2057">
        <v>233.44</v>
      </c>
      <c r="E2057">
        <v>767.01</v>
      </c>
      <c r="F2057" t="str">
        <f t="shared" si="64"/>
        <v>outubro</v>
      </c>
      <c r="G2057">
        <f t="shared" si="65"/>
        <v>2023</v>
      </c>
    </row>
    <row r="2058" spans="1:7" x14ac:dyDescent="0.25">
      <c r="A2058">
        <v>3021538</v>
      </c>
      <c r="B2058" s="1">
        <v>45200</v>
      </c>
      <c r="C2058" t="s">
        <v>548</v>
      </c>
      <c r="D2058">
        <v>37.25</v>
      </c>
      <c r="E2058">
        <v>120.69</v>
      </c>
      <c r="F2058" t="str">
        <f t="shared" si="64"/>
        <v>outubro</v>
      </c>
      <c r="G2058">
        <f t="shared" si="65"/>
        <v>2023</v>
      </c>
    </row>
    <row r="2059" spans="1:7" x14ac:dyDescent="0.25">
      <c r="A2059">
        <v>3021639</v>
      </c>
      <c r="B2059" s="1">
        <v>45200</v>
      </c>
      <c r="C2059" t="s">
        <v>457</v>
      </c>
      <c r="D2059">
        <v>25.19</v>
      </c>
      <c r="E2059">
        <v>78.650000000000006</v>
      </c>
      <c r="F2059" t="str">
        <f t="shared" si="64"/>
        <v>outubro</v>
      </c>
      <c r="G2059">
        <f t="shared" si="65"/>
        <v>2023</v>
      </c>
    </row>
    <row r="2060" spans="1:7" x14ac:dyDescent="0.25">
      <c r="A2060">
        <v>3021740</v>
      </c>
      <c r="B2060" s="1">
        <v>45200</v>
      </c>
      <c r="C2060" t="s">
        <v>459</v>
      </c>
      <c r="D2060">
        <v>808.59</v>
      </c>
      <c r="E2060">
        <v>2084.94</v>
      </c>
      <c r="F2060" t="str">
        <f t="shared" si="64"/>
        <v>outubro</v>
      </c>
      <c r="G2060">
        <f t="shared" si="65"/>
        <v>2023</v>
      </c>
    </row>
    <row r="2061" spans="1:7" x14ac:dyDescent="0.25">
      <c r="A2061">
        <v>3021760</v>
      </c>
      <c r="B2061" s="1">
        <v>45200</v>
      </c>
      <c r="C2061" t="s">
        <v>167</v>
      </c>
      <c r="D2061">
        <v>1799.75</v>
      </c>
      <c r="E2061">
        <v>3579.71</v>
      </c>
      <c r="F2061" t="str">
        <f t="shared" si="64"/>
        <v>outubro</v>
      </c>
      <c r="G2061">
        <f t="shared" si="65"/>
        <v>2023</v>
      </c>
    </row>
    <row r="2062" spans="1:7" x14ac:dyDescent="0.25">
      <c r="A2062">
        <v>3021811</v>
      </c>
      <c r="B2062" s="1">
        <v>45200</v>
      </c>
      <c r="C2062" t="s">
        <v>169</v>
      </c>
      <c r="D2062">
        <v>668.35</v>
      </c>
      <c r="E2062">
        <v>1667.34</v>
      </c>
      <c r="F2062" t="str">
        <f t="shared" si="64"/>
        <v>outubro</v>
      </c>
      <c r="G2062">
        <f t="shared" si="65"/>
        <v>2023</v>
      </c>
    </row>
    <row r="2063" spans="1:7" x14ac:dyDescent="0.25">
      <c r="A2063">
        <v>3021812</v>
      </c>
      <c r="B2063" s="1">
        <v>45200</v>
      </c>
      <c r="C2063" t="s">
        <v>171</v>
      </c>
      <c r="D2063">
        <v>1265.5</v>
      </c>
      <c r="E2063">
        <v>2965.43</v>
      </c>
      <c r="F2063" t="str">
        <f t="shared" si="64"/>
        <v>outubro</v>
      </c>
      <c r="G2063">
        <f t="shared" si="65"/>
        <v>2023</v>
      </c>
    </row>
    <row r="2064" spans="1:7" x14ac:dyDescent="0.25">
      <c r="A2064">
        <v>3022100</v>
      </c>
      <c r="B2064" s="1">
        <v>45200</v>
      </c>
      <c r="C2064" t="s">
        <v>173</v>
      </c>
      <c r="D2064">
        <v>109.67</v>
      </c>
      <c r="E2064">
        <v>416.97</v>
      </c>
      <c r="F2064" t="str">
        <f t="shared" si="64"/>
        <v>outubro</v>
      </c>
      <c r="G2064">
        <f t="shared" si="65"/>
        <v>2023</v>
      </c>
    </row>
    <row r="2065" spans="1:7" x14ac:dyDescent="0.25">
      <c r="A2065">
        <v>3022208</v>
      </c>
      <c r="B2065" s="1">
        <v>45200</v>
      </c>
      <c r="C2065" t="s">
        <v>307</v>
      </c>
      <c r="D2065">
        <v>178.15</v>
      </c>
      <c r="E2065">
        <v>669.7</v>
      </c>
      <c r="F2065" t="str">
        <f t="shared" si="64"/>
        <v>outubro</v>
      </c>
      <c r="G2065">
        <f t="shared" si="65"/>
        <v>2023</v>
      </c>
    </row>
    <row r="2066" spans="1:7" x14ac:dyDescent="0.25">
      <c r="A2066">
        <v>3022311</v>
      </c>
      <c r="B2066" s="1">
        <v>45200</v>
      </c>
      <c r="C2066" t="s">
        <v>176</v>
      </c>
      <c r="D2066">
        <v>2229.46</v>
      </c>
      <c r="E2066">
        <v>5341.77</v>
      </c>
      <c r="F2066" t="str">
        <f t="shared" si="64"/>
        <v>outubro</v>
      </c>
      <c r="G2066">
        <f t="shared" si="65"/>
        <v>2023</v>
      </c>
    </row>
    <row r="2067" spans="1:7" x14ac:dyDescent="0.25">
      <c r="A2067">
        <v>3022411</v>
      </c>
      <c r="B2067" s="1">
        <v>45200</v>
      </c>
      <c r="C2067" t="s">
        <v>178</v>
      </c>
      <c r="D2067">
        <v>41.83</v>
      </c>
      <c r="E2067">
        <v>121.8</v>
      </c>
      <c r="F2067" t="str">
        <f t="shared" si="64"/>
        <v>outubro</v>
      </c>
      <c r="G2067">
        <f t="shared" si="65"/>
        <v>2023</v>
      </c>
    </row>
    <row r="2068" spans="1:7" x14ac:dyDescent="0.25">
      <c r="A2068">
        <v>3022511</v>
      </c>
      <c r="B2068" s="1">
        <v>45200</v>
      </c>
      <c r="C2068" t="s">
        <v>180</v>
      </c>
      <c r="D2068">
        <v>8</v>
      </c>
      <c r="E2068">
        <v>20.67</v>
      </c>
      <c r="F2068" t="str">
        <f t="shared" si="64"/>
        <v>outubro</v>
      </c>
      <c r="G2068">
        <f t="shared" si="65"/>
        <v>2023</v>
      </c>
    </row>
    <row r="2069" spans="1:7" x14ac:dyDescent="0.25">
      <c r="A2069">
        <v>3022601</v>
      </c>
      <c r="B2069" s="1">
        <v>45200</v>
      </c>
      <c r="C2069" t="s">
        <v>182</v>
      </c>
      <c r="D2069">
        <v>366.75</v>
      </c>
      <c r="E2069">
        <v>1435.83</v>
      </c>
      <c r="F2069" t="str">
        <f t="shared" si="64"/>
        <v>outubro</v>
      </c>
      <c r="G2069">
        <f t="shared" si="65"/>
        <v>2023</v>
      </c>
    </row>
    <row r="2070" spans="1:7" x14ac:dyDescent="0.25">
      <c r="A2070">
        <v>3022703</v>
      </c>
      <c r="B2070" s="1">
        <v>45200</v>
      </c>
      <c r="C2070" t="s">
        <v>309</v>
      </c>
      <c r="D2070">
        <v>960</v>
      </c>
      <c r="E2070">
        <v>2639</v>
      </c>
      <c r="F2070" t="str">
        <f t="shared" si="64"/>
        <v>outubro</v>
      </c>
      <c r="G2070">
        <f t="shared" si="65"/>
        <v>2023</v>
      </c>
    </row>
    <row r="2071" spans="1:7" x14ac:dyDescent="0.25">
      <c r="A2071">
        <v>3022805</v>
      </c>
      <c r="B2071" s="1">
        <v>45200</v>
      </c>
      <c r="C2071" t="s">
        <v>186</v>
      </c>
      <c r="D2071">
        <v>1692.5</v>
      </c>
      <c r="E2071">
        <v>3586.68</v>
      </c>
      <c r="F2071" t="str">
        <f t="shared" si="64"/>
        <v>outubro</v>
      </c>
      <c r="G2071">
        <f t="shared" si="65"/>
        <v>2023</v>
      </c>
    </row>
    <row r="2072" spans="1:7" x14ac:dyDescent="0.25">
      <c r="A2072">
        <v>3022906</v>
      </c>
      <c r="B2072" s="1">
        <v>45200</v>
      </c>
      <c r="C2072" t="s">
        <v>188</v>
      </c>
      <c r="D2072">
        <v>3780</v>
      </c>
      <c r="E2072">
        <v>7684.73</v>
      </c>
      <c r="F2072" t="str">
        <f t="shared" si="64"/>
        <v>outubro</v>
      </c>
      <c r="G2072">
        <f t="shared" si="65"/>
        <v>2023</v>
      </c>
    </row>
    <row r="2073" spans="1:7" x14ac:dyDescent="0.25">
      <c r="A2073">
        <v>3023007</v>
      </c>
      <c r="B2073" s="1">
        <v>45200</v>
      </c>
      <c r="C2073" t="s">
        <v>190</v>
      </c>
      <c r="D2073">
        <v>780</v>
      </c>
      <c r="E2073">
        <v>1577.3</v>
      </c>
      <c r="F2073" t="str">
        <f t="shared" si="64"/>
        <v>outubro</v>
      </c>
      <c r="G2073">
        <f t="shared" si="65"/>
        <v>2023</v>
      </c>
    </row>
    <row r="2074" spans="1:7" x14ac:dyDescent="0.25">
      <c r="A2074">
        <v>3024001</v>
      </c>
      <c r="B2074" s="1">
        <v>45200</v>
      </c>
      <c r="C2074" t="s">
        <v>192</v>
      </c>
      <c r="D2074">
        <v>2043.19</v>
      </c>
      <c r="E2074">
        <v>7636.67</v>
      </c>
      <c r="F2074" t="str">
        <f t="shared" si="64"/>
        <v>outubro</v>
      </c>
      <c r="G2074">
        <f t="shared" si="65"/>
        <v>2023</v>
      </c>
    </row>
    <row r="2075" spans="1:7" x14ac:dyDescent="0.25">
      <c r="A2075">
        <v>3024003</v>
      </c>
      <c r="B2075" s="1">
        <v>45200</v>
      </c>
      <c r="C2075" t="s">
        <v>196</v>
      </c>
      <c r="D2075">
        <v>447.84</v>
      </c>
      <c r="E2075">
        <v>1262.3800000000001</v>
      </c>
      <c r="F2075" t="str">
        <f t="shared" si="64"/>
        <v>outubro</v>
      </c>
      <c r="G2075">
        <f t="shared" si="65"/>
        <v>2023</v>
      </c>
    </row>
    <row r="2076" spans="1:7" x14ac:dyDescent="0.25">
      <c r="A2076">
        <v>3024004</v>
      </c>
      <c r="B2076" s="1">
        <v>45200</v>
      </c>
      <c r="C2076" t="s">
        <v>198</v>
      </c>
      <c r="D2076">
        <v>1710.74</v>
      </c>
      <c r="E2076">
        <v>1733.49</v>
      </c>
      <c r="F2076" t="str">
        <f t="shared" si="64"/>
        <v>outubro</v>
      </c>
      <c r="G2076">
        <f t="shared" si="65"/>
        <v>2023</v>
      </c>
    </row>
    <row r="2077" spans="1:7" x14ac:dyDescent="0.25">
      <c r="A2077">
        <v>4030100</v>
      </c>
      <c r="B2077" s="1">
        <v>45200</v>
      </c>
      <c r="C2077" t="s">
        <v>200</v>
      </c>
      <c r="D2077">
        <v>406.22</v>
      </c>
      <c r="E2077">
        <v>2472.56</v>
      </c>
      <c r="F2077" t="str">
        <f t="shared" si="64"/>
        <v>outubro</v>
      </c>
      <c r="G2077">
        <f t="shared" si="65"/>
        <v>2023</v>
      </c>
    </row>
    <row r="2078" spans="1:7" x14ac:dyDescent="0.25">
      <c r="A2078">
        <v>4030211</v>
      </c>
      <c r="B2078" s="1">
        <v>45200</v>
      </c>
      <c r="C2078" t="s">
        <v>202</v>
      </c>
      <c r="D2078">
        <v>858.42</v>
      </c>
      <c r="E2078">
        <v>5040.91</v>
      </c>
      <c r="F2078" t="str">
        <f t="shared" si="64"/>
        <v>outubro</v>
      </c>
      <c r="G2078">
        <f t="shared" si="65"/>
        <v>2023</v>
      </c>
    </row>
    <row r="2079" spans="1:7" x14ac:dyDescent="0.25">
      <c r="A2079">
        <v>4030311</v>
      </c>
      <c r="B2079" s="1">
        <v>45200</v>
      </c>
      <c r="C2079" t="s">
        <v>311</v>
      </c>
      <c r="D2079">
        <v>257.43</v>
      </c>
      <c r="E2079">
        <v>1755.37</v>
      </c>
      <c r="F2079" t="str">
        <f t="shared" si="64"/>
        <v>outubro</v>
      </c>
      <c r="G2079">
        <f t="shared" si="65"/>
        <v>2023</v>
      </c>
    </row>
    <row r="2080" spans="1:7" x14ac:dyDescent="0.25">
      <c r="A2080">
        <v>4030401</v>
      </c>
      <c r="B2080" s="1">
        <v>45200</v>
      </c>
      <c r="C2080" t="s">
        <v>461</v>
      </c>
      <c r="D2080">
        <v>392.91</v>
      </c>
      <c r="E2080">
        <v>1998.51</v>
      </c>
      <c r="F2080" t="str">
        <f t="shared" si="64"/>
        <v>outubro</v>
      </c>
      <c r="G2080">
        <f t="shared" si="65"/>
        <v>2023</v>
      </c>
    </row>
    <row r="2081" spans="1:7" x14ac:dyDescent="0.25">
      <c r="A2081">
        <v>4030532</v>
      </c>
      <c r="B2081" s="1">
        <v>45200</v>
      </c>
      <c r="C2081" t="s">
        <v>210</v>
      </c>
      <c r="D2081">
        <v>24.6</v>
      </c>
      <c r="E2081">
        <v>144.30000000000001</v>
      </c>
      <c r="F2081" t="str">
        <f t="shared" si="64"/>
        <v>outubro</v>
      </c>
      <c r="G2081">
        <f t="shared" si="65"/>
        <v>2023</v>
      </c>
    </row>
    <row r="2082" spans="1:7" x14ac:dyDescent="0.25">
      <c r="A2082">
        <v>4030600</v>
      </c>
      <c r="B2082" s="1">
        <v>45200</v>
      </c>
      <c r="C2082" t="s">
        <v>212</v>
      </c>
      <c r="D2082">
        <v>1028.6400000000001</v>
      </c>
      <c r="E2082">
        <v>3188.96</v>
      </c>
      <c r="F2082" t="str">
        <f t="shared" si="64"/>
        <v>outubro</v>
      </c>
      <c r="G2082">
        <f t="shared" si="65"/>
        <v>2023</v>
      </c>
    </row>
    <row r="2083" spans="1:7" x14ac:dyDescent="0.25">
      <c r="A2083">
        <v>4030711</v>
      </c>
      <c r="B2083" s="1">
        <v>45200</v>
      </c>
      <c r="C2083" t="s">
        <v>214</v>
      </c>
      <c r="D2083">
        <v>1827.89</v>
      </c>
      <c r="E2083">
        <v>6020.58</v>
      </c>
      <c r="F2083" t="str">
        <f t="shared" si="64"/>
        <v>outubro</v>
      </c>
      <c r="G2083">
        <f t="shared" si="65"/>
        <v>2023</v>
      </c>
    </row>
    <row r="2084" spans="1:7" x14ac:dyDescent="0.25">
      <c r="A2084">
        <v>4030811</v>
      </c>
      <c r="B2084" s="1">
        <v>45200</v>
      </c>
      <c r="C2084" t="s">
        <v>722</v>
      </c>
      <c r="D2084">
        <v>1338.8</v>
      </c>
      <c r="E2084">
        <v>4211.45</v>
      </c>
      <c r="F2084" t="str">
        <f t="shared" si="64"/>
        <v>outubro</v>
      </c>
      <c r="G2084">
        <f t="shared" si="65"/>
        <v>2023</v>
      </c>
    </row>
    <row r="2085" spans="1:7" x14ac:dyDescent="0.25">
      <c r="A2085">
        <v>4030813</v>
      </c>
      <c r="B2085" s="1">
        <v>45200</v>
      </c>
      <c r="C2085" t="s">
        <v>723</v>
      </c>
      <c r="D2085">
        <v>2390.6999999999998</v>
      </c>
      <c r="E2085">
        <v>7150.8</v>
      </c>
      <c r="F2085" t="str">
        <f t="shared" si="64"/>
        <v>outubro</v>
      </c>
      <c r="G2085">
        <f t="shared" si="65"/>
        <v>2023</v>
      </c>
    </row>
    <row r="2086" spans="1:7" x14ac:dyDescent="0.25">
      <c r="A2086">
        <v>4030900</v>
      </c>
      <c r="B2086" s="1">
        <v>45200</v>
      </c>
      <c r="C2086" t="s">
        <v>220</v>
      </c>
      <c r="D2086">
        <v>6241.85</v>
      </c>
      <c r="E2086">
        <v>18655.04</v>
      </c>
      <c r="F2086" t="str">
        <f t="shared" si="64"/>
        <v>outubro</v>
      </c>
      <c r="G2086">
        <f t="shared" si="65"/>
        <v>2023</v>
      </c>
    </row>
    <row r="2087" spans="1:7" x14ac:dyDescent="0.25">
      <c r="A2087">
        <v>4030910</v>
      </c>
      <c r="B2087" s="1">
        <v>45200</v>
      </c>
      <c r="C2087" t="s">
        <v>724</v>
      </c>
      <c r="D2087">
        <v>95.65</v>
      </c>
      <c r="E2087">
        <v>326.08</v>
      </c>
      <c r="F2087" t="str">
        <f t="shared" si="64"/>
        <v>outubro</v>
      </c>
      <c r="G2087">
        <f t="shared" si="65"/>
        <v>2023</v>
      </c>
    </row>
    <row r="2088" spans="1:7" x14ac:dyDescent="0.25">
      <c r="A2088">
        <v>4031012</v>
      </c>
      <c r="B2088" s="1">
        <v>45200</v>
      </c>
      <c r="C2088" t="s">
        <v>224</v>
      </c>
      <c r="D2088">
        <v>1489.72</v>
      </c>
      <c r="E2088">
        <v>4640.76</v>
      </c>
      <c r="F2088" t="str">
        <f t="shared" si="64"/>
        <v>outubro</v>
      </c>
      <c r="G2088">
        <f t="shared" si="65"/>
        <v>2023</v>
      </c>
    </row>
    <row r="2089" spans="1:7" x14ac:dyDescent="0.25">
      <c r="A2089">
        <v>4031017</v>
      </c>
      <c r="B2089" s="1">
        <v>45200</v>
      </c>
      <c r="C2089" t="s">
        <v>226</v>
      </c>
      <c r="D2089">
        <v>63</v>
      </c>
      <c r="E2089">
        <v>43.65</v>
      </c>
      <c r="F2089" t="str">
        <f t="shared" si="64"/>
        <v>outubro</v>
      </c>
      <c r="G2089">
        <f t="shared" si="65"/>
        <v>2023</v>
      </c>
    </row>
    <row r="2090" spans="1:7" x14ac:dyDescent="0.25">
      <c r="A2090">
        <v>4031102</v>
      </c>
      <c r="B2090" s="1">
        <v>45200</v>
      </c>
      <c r="C2090" t="s">
        <v>228</v>
      </c>
      <c r="D2090">
        <v>11339.8</v>
      </c>
      <c r="E2090">
        <v>33119.94</v>
      </c>
      <c r="F2090" t="str">
        <f t="shared" si="64"/>
        <v>outubro</v>
      </c>
      <c r="G2090">
        <f t="shared" si="65"/>
        <v>2023</v>
      </c>
    </row>
    <row r="2091" spans="1:7" x14ac:dyDescent="0.25">
      <c r="A2091">
        <v>4031200</v>
      </c>
      <c r="B2091" s="1">
        <v>45200</v>
      </c>
      <c r="C2091" t="s">
        <v>230</v>
      </c>
      <c r="D2091">
        <v>1058.98</v>
      </c>
      <c r="E2091">
        <v>3177.04</v>
      </c>
      <c r="F2091" t="str">
        <f t="shared" si="64"/>
        <v>outubro</v>
      </c>
      <c r="G2091">
        <f t="shared" si="65"/>
        <v>2023</v>
      </c>
    </row>
    <row r="2092" spans="1:7" x14ac:dyDescent="0.25">
      <c r="A2092">
        <v>4031304</v>
      </c>
      <c r="B2092" s="1">
        <v>45200</v>
      </c>
      <c r="C2092" t="s">
        <v>232</v>
      </c>
      <c r="D2092">
        <v>1501.59</v>
      </c>
      <c r="E2092">
        <v>4333.59</v>
      </c>
      <c r="F2092" t="str">
        <f t="shared" si="64"/>
        <v>outubro</v>
      </c>
      <c r="G2092">
        <f t="shared" si="65"/>
        <v>2023</v>
      </c>
    </row>
    <row r="2093" spans="1:7" x14ac:dyDescent="0.25">
      <c r="A2093">
        <v>4031411</v>
      </c>
      <c r="B2093" s="1">
        <v>45200</v>
      </c>
      <c r="C2093" t="s">
        <v>234</v>
      </c>
      <c r="D2093">
        <v>50.68</v>
      </c>
      <c r="E2093">
        <v>161.44</v>
      </c>
      <c r="F2093" t="str">
        <f t="shared" si="64"/>
        <v>outubro</v>
      </c>
      <c r="G2093">
        <f t="shared" si="65"/>
        <v>2023</v>
      </c>
    </row>
    <row r="2094" spans="1:7" x14ac:dyDescent="0.25">
      <c r="A2094">
        <v>4031500</v>
      </c>
      <c r="B2094" s="1">
        <v>45200</v>
      </c>
      <c r="C2094" t="s">
        <v>236</v>
      </c>
      <c r="D2094">
        <v>6346.66</v>
      </c>
      <c r="E2094">
        <v>17832.27</v>
      </c>
      <c r="F2094" t="str">
        <f t="shared" si="64"/>
        <v>outubro</v>
      </c>
      <c r="G2094">
        <f t="shared" si="65"/>
        <v>2023</v>
      </c>
    </row>
    <row r="2095" spans="1:7" x14ac:dyDescent="0.25">
      <c r="A2095">
        <v>4031604</v>
      </c>
      <c r="B2095" s="1">
        <v>45200</v>
      </c>
      <c r="C2095" t="s">
        <v>238</v>
      </c>
      <c r="D2095">
        <v>6678.68</v>
      </c>
      <c r="E2095">
        <v>18292.330000000002</v>
      </c>
      <c r="F2095" t="str">
        <f t="shared" si="64"/>
        <v>outubro</v>
      </c>
      <c r="G2095">
        <f t="shared" si="65"/>
        <v>2023</v>
      </c>
    </row>
    <row r="2096" spans="1:7" x14ac:dyDescent="0.25">
      <c r="A2096">
        <v>4031605</v>
      </c>
      <c r="B2096" s="1">
        <v>45200</v>
      </c>
      <c r="C2096" t="s">
        <v>240</v>
      </c>
      <c r="D2096">
        <v>72.08</v>
      </c>
      <c r="E2096">
        <v>233.97</v>
      </c>
      <c r="F2096" t="str">
        <f t="shared" si="64"/>
        <v>outubro</v>
      </c>
      <c r="G2096">
        <f t="shared" si="65"/>
        <v>2023</v>
      </c>
    </row>
    <row r="2097" spans="1:7" x14ac:dyDescent="0.25">
      <c r="A2097">
        <v>4031700</v>
      </c>
      <c r="B2097" s="1">
        <v>45200</v>
      </c>
      <c r="C2097" t="s">
        <v>242</v>
      </c>
      <c r="D2097">
        <v>755.1</v>
      </c>
      <c r="E2097">
        <v>2233.92</v>
      </c>
      <c r="F2097" t="str">
        <f t="shared" si="64"/>
        <v>outubro</v>
      </c>
      <c r="G2097">
        <f t="shared" si="65"/>
        <v>2023</v>
      </c>
    </row>
    <row r="2098" spans="1:7" x14ac:dyDescent="0.25">
      <c r="A2098">
        <v>4031812</v>
      </c>
      <c r="B2098" s="1">
        <v>45200</v>
      </c>
      <c r="C2098" t="s">
        <v>244</v>
      </c>
      <c r="D2098">
        <v>425.67</v>
      </c>
      <c r="E2098">
        <v>1318.27</v>
      </c>
      <c r="F2098" t="str">
        <f t="shared" si="64"/>
        <v>outubro</v>
      </c>
      <c r="G2098">
        <f t="shared" si="65"/>
        <v>2023</v>
      </c>
    </row>
    <row r="2099" spans="1:7" x14ac:dyDescent="0.25">
      <c r="A2099">
        <v>4031813</v>
      </c>
      <c r="B2099" s="1">
        <v>45200</v>
      </c>
      <c r="C2099" t="s">
        <v>464</v>
      </c>
      <c r="D2099">
        <v>70</v>
      </c>
      <c r="E2099">
        <v>46.9</v>
      </c>
      <c r="F2099" t="str">
        <f t="shared" si="64"/>
        <v>outubro</v>
      </c>
      <c r="G2099">
        <f t="shared" si="65"/>
        <v>2023</v>
      </c>
    </row>
    <row r="2100" spans="1:7" x14ac:dyDescent="0.25">
      <c r="A2100">
        <v>4031904</v>
      </c>
      <c r="B2100" s="1">
        <v>45200</v>
      </c>
      <c r="C2100" t="s">
        <v>246</v>
      </c>
      <c r="D2100">
        <v>1246.5899999999999</v>
      </c>
      <c r="E2100">
        <v>3651.61</v>
      </c>
      <c r="F2100" t="str">
        <f t="shared" si="64"/>
        <v>outubro</v>
      </c>
      <c r="G2100">
        <f t="shared" si="65"/>
        <v>2023</v>
      </c>
    </row>
    <row r="2101" spans="1:7" x14ac:dyDescent="0.25">
      <c r="A2101">
        <v>4032204</v>
      </c>
      <c r="B2101" s="1">
        <v>45200</v>
      </c>
      <c r="C2101" t="s">
        <v>315</v>
      </c>
      <c r="D2101">
        <v>30.64</v>
      </c>
      <c r="E2101">
        <v>153.16</v>
      </c>
      <c r="F2101" t="str">
        <f t="shared" si="64"/>
        <v>outubro</v>
      </c>
      <c r="G2101">
        <f t="shared" si="65"/>
        <v>2023</v>
      </c>
    </row>
    <row r="2102" spans="1:7" x14ac:dyDescent="0.25">
      <c r="A2102">
        <v>4032205</v>
      </c>
      <c r="B2102" s="1">
        <v>45200</v>
      </c>
      <c r="C2102" t="s">
        <v>553</v>
      </c>
      <c r="D2102">
        <v>372.12</v>
      </c>
      <c r="E2102">
        <v>1916.9</v>
      </c>
      <c r="F2102" t="str">
        <f t="shared" si="64"/>
        <v>outubro</v>
      </c>
      <c r="G2102">
        <f t="shared" si="65"/>
        <v>2023</v>
      </c>
    </row>
    <row r="2103" spans="1:7" x14ac:dyDescent="0.25">
      <c r="A2103">
        <v>4032206</v>
      </c>
      <c r="B2103" s="1">
        <v>45200</v>
      </c>
      <c r="C2103" t="s">
        <v>555</v>
      </c>
      <c r="D2103">
        <v>35.97</v>
      </c>
      <c r="E2103">
        <v>192.37</v>
      </c>
      <c r="F2103" t="str">
        <f t="shared" si="64"/>
        <v>outubro</v>
      </c>
      <c r="G2103">
        <f t="shared" si="65"/>
        <v>2023</v>
      </c>
    </row>
    <row r="2104" spans="1:7" x14ac:dyDescent="0.25">
      <c r="A2104">
        <v>4032312</v>
      </c>
      <c r="B2104" s="1">
        <v>45200</v>
      </c>
      <c r="C2104" t="s">
        <v>252</v>
      </c>
      <c r="D2104">
        <v>562.45000000000005</v>
      </c>
      <c r="E2104">
        <v>2358.7199999999998</v>
      </c>
      <c r="F2104" t="str">
        <f t="shared" si="64"/>
        <v>outubro</v>
      </c>
      <c r="G2104">
        <f t="shared" si="65"/>
        <v>2023</v>
      </c>
    </row>
    <row r="2105" spans="1:7" x14ac:dyDescent="0.25">
      <c r="A2105">
        <v>4032404</v>
      </c>
      <c r="B2105" s="1">
        <v>45200</v>
      </c>
      <c r="C2105" t="s">
        <v>254</v>
      </c>
      <c r="D2105">
        <v>69.41</v>
      </c>
      <c r="E2105">
        <v>300.20999999999998</v>
      </c>
      <c r="F2105" t="str">
        <f t="shared" si="64"/>
        <v>outubro</v>
      </c>
      <c r="G2105">
        <f t="shared" si="65"/>
        <v>2023</v>
      </c>
    </row>
    <row r="2106" spans="1:7" x14ac:dyDescent="0.25">
      <c r="A2106">
        <v>4032500</v>
      </c>
      <c r="B2106" s="1">
        <v>45200</v>
      </c>
      <c r="C2106" t="s">
        <v>256</v>
      </c>
      <c r="D2106">
        <v>315.89999999999998</v>
      </c>
      <c r="E2106">
        <v>872.4</v>
      </c>
      <c r="F2106" t="str">
        <f t="shared" si="64"/>
        <v>outubro</v>
      </c>
      <c r="G2106">
        <f t="shared" si="65"/>
        <v>2023</v>
      </c>
    </row>
    <row r="2107" spans="1:7" x14ac:dyDescent="0.25">
      <c r="A2107">
        <v>4032611</v>
      </c>
      <c r="B2107" s="1">
        <v>45200</v>
      </c>
      <c r="C2107" t="s">
        <v>258</v>
      </c>
      <c r="D2107">
        <v>276.77999999999997</v>
      </c>
      <c r="E2107">
        <v>772.55</v>
      </c>
      <c r="F2107" t="str">
        <f t="shared" si="64"/>
        <v>outubro</v>
      </c>
      <c r="G2107">
        <f t="shared" si="65"/>
        <v>2023</v>
      </c>
    </row>
    <row r="2108" spans="1:7" x14ac:dyDescent="0.25">
      <c r="A2108">
        <v>4032704</v>
      </c>
      <c r="B2108" s="1">
        <v>45200</v>
      </c>
      <c r="C2108" t="s">
        <v>260</v>
      </c>
      <c r="D2108">
        <v>319.45999999999998</v>
      </c>
      <c r="E2108">
        <v>970.84</v>
      </c>
      <c r="F2108" t="str">
        <f t="shared" si="64"/>
        <v>outubro</v>
      </c>
      <c r="G2108">
        <f t="shared" si="65"/>
        <v>2023</v>
      </c>
    </row>
    <row r="2109" spans="1:7" x14ac:dyDescent="0.25">
      <c r="A2109">
        <v>4032800</v>
      </c>
      <c r="B2109" s="1">
        <v>45200</v>
      </c>
      <c r="C2109" t="s">
        <v>262</v>
      </c>
      <c r="D2109">
        <v>240.04</v>
      </c>
      <c r="E2109">
        <v>1309.7</v>
      </c>
      <c r="F2109" t="str">
        <f t="shared" si="64"/>
        <v>outubro</v>
      </c>
      <c r="G2109">
        <f t="shared" si="65"/>
        <v>2023</v>
      </c>
    </row>
    <row r="2110" spans="1:7" x14ac:dyDescent="0.25">
      <c r="A2110">
        <v>4032902</v>
      </c>
      <c r="B2110" s="1">
        <v>45200</v>
      </c>
      <c r="C2110" t="s">
        <v>264</v>
      </c>
      <c r="D2110">
        <v>371.33</v>
      </c>
      <c r="E2110">
        <v>1964.05</v>
      </c>
      <c r="F2110" t="str">
        <f t="shared" si="64"/>
        <v>outubro</v>
      </c>
      <c r="G2110">
        <f t="shared" si="65"/>
        <v>2023</v>
      </c>
    </row>
    <row r="2111" spans="1:7" x14ac:dyDescent="0.25">
      <c r="A2111">
        <v>4033011</v>
      </c>
      <c r="B2111" s="1">
        <v>45200</v>
      </c>
      <c r="C2111" t="s">
        <v>266</v>
      </c>
      <c r="D2111">
        <v>93.77</v>
      </c>
      <c r="E2111">
        <v>482.9</v>
      </c>
      <c r="F2111" t="str">
        <f t="shared" si="64"/>
        <v>outubro</v>
      </c>
      <c r="G2111">
        <f t="shared" si="65"/>
        <v>2023</v>
      </c>
    </row>
    <row r="2112" spans="1:7" x14ac:dyDescent="0.25">
      <c r="A2112">
        <v>4033111</v>
      </c>
      <c r="B2112" s="1">
        <v>45200</v>
      </c>
      <c r="C2112" t="s">
        <v>268</v>
      </c>
      <c r="D2112">
        <v>338</v>
      </c>
      <c r="E2112">
        <v>1448.27</v>
      </c>
      <c r="F2112" t="str">
        <f t="shared" si="64"/>
        <v>outubro</v>
      </c>
      <c r="G2112">
        <f t="shared" si="65"/>
        <v>2023</v>
      </c>
    </row>
    <row r="2113" spans="1:7" x14ac:dyDescent="0.25">
      <c r="A2113">
        <v>4033211</v>
      </c>
      <c r="B2113" s="1">
        <v>45200</v>
      </c>
      <c r="C2113" t="s">
        <v>270</v>
      </c>
      <c r="D2113">
        <v>62.26</v>
      </c>
      <c r="E2113">
        <v>283.54000000000002</v>
      </c>
      <c r="F2113" t="str">
        <f t="shared" si="64"/>
        <v>outubro</v>
      </c>
      <c r="G2113">
        <f t="shared" si="65"/>
        <v>2023</v>
      </c>
    </row>
    <row r="2114" spans="1:7" x14ac:dyDescent="0.25">
      <c r="A2114">
        <v>4033311</v>
      </c>
      <c r="B2114" s="1">
        <v>45200</v>
      </c>
      <c r="C2114" t="s">
        <v>272</v>
      </c>
      <c r="D2114">
        <v>10.56</v>
      </c>
      <c r="E2114">
        <v>65.72</v>
      </c>
      <c r="F2114" t="str">
        <f t="shared" si="64"/>
        <v>outubro</v>
      </c>
      <c r="G2114">
        <f t="shared" si="65"/>
        <v>2023</v>
      </c>
    </row>
    <row r="2115" spans="1:7" x14ac:dyDescent="0.25">
      <c r="A2115">
        <v>4033400</v>
      </c>
      <c r="B2115" s="1">
        <v>45200</v>
      </c>
      <c r="C2115" t="s">
        <v>274</v>
      </c>
      <c r="D2115">
        <v>1354.39</v>
      </c>
      <c r="E2115">
        <v>3952.88</v>
      </c>
      <c r="F2115" t="str">
        <f t="shared" ref="F2115:F2178" si="66">TEXT(B2115,"mmmm")</f>
        <v>outubro</v>
      </c>
      <c r="G2115">
        <f t="shared" ref="G2115:G2178" si="67">YEAR(B2115)</f>
        <v>2023</v>
      </c>
    </row>
    <row r="2116" spans="1:7" x14ac:dyDescent="0.25">
      <c r="A2116">
        <v>4033511</v>
      </c>
      <c r="B2116" s="1">
        <v>45200</v>
      </c>
      <c r="C2116" t="s">
        <v>276</v>
      </c>
      <c r="D2116">
        <v>2239.4299999999998</v>
      </c>
      <c r="E2116">
        <v>7084.55</v>
      </c>
      <c r="F2116" t="str">
        <f t="shared" si="66"/>
        <v>outubro</v>
      </c>
      <c r="G2116">
        <f t="shared" si="67"/>
        <v>2023</v>
      </c>
    </row>
    <row r="2117" spans="1:7" x14ac:dyDescent="0.25">
      <c r="A2117">
        <v>4033900</v>
      </c>
      <c r="B2117" s="1">
        <v>45200</v>
      </c>
      <c r="C2117" t="s">
        <v>725</v>
      </c>
      <c r="D2117">
        <v>31.22</v>
      </c>
      <c r="E2117">
        <v>160.18</v>
      </c>
      <c r="F2117" t="str">
        <f t="shared" si="66"/>
        <v>outubro</v>
      </c>
      <c r="G2117">
        <f t="shared" si="67"/>
        <v>2023</v>
      </c>
    </row>
    <row r="2118" spans="1:7" x14ac:dyDescent="0.25">
      <c r="A2118">
        <v>4034011</v>
      </c>
      <c r="B2118" s="1">
        <v>45200</v>
      </c>
      <c r="C2118" t="s">
        <v>726</v>
      </c>
      <c r="D2118">
        <v>701.16</v>
      </c>
      <c r="E2118">
        <v>3658.35</v>
      </c>
      <c r="F2118" t="str">
        <f t="shared" si="66"/>
        <v>outubro</v>
      </c>
      <c r="G2118">
        <f t="shared" si="67"/>
        <v>2023</v>
      </c>
    </row>
    <row r="2119" spans="1:7" x14ac:dyDescent="0.25">
      <c r="A2119">
        <v>4034211</v>
      </c>
      <c r="B2119" s="1">
        <v>45200</v>
      </c>
      <c r="C2119" t="s">
        <v>728</v>
      </c>
      <c r="D2119">
        <v>156.47999999999999</v>
      </c>
      <c r="E2119">
        <v>676.39</v>
      </c>
      <c r="F2119" t="str">
        <f t="shared" si="66"/>
        <v>outubro</v>
      </c>
      <c r="G2119">
        <f t="shared" si="67"/>
        <v>2023</v>
      </c>
    </row>
    <row r="2120" spans="1:7" x14ac:dyDescent="0.25">
      <c r="A2120">
        <v>4034400</v>
      </c>
      <c r="B2120" s="1">
        <v>45200</v>
      </c>
      <c r="C2120" t="s">
        <v>284</v>
      </c>
      <c r="D2120">
        <v>185.8</v>
      </c>
      <c r="E2120">
        <v>487.53</v>
      </c>
      <c r="F2120" t="str">
        <f t="shared" si="66"/>
        <v>outubro</v>
      </c>
      <c r="G2120">
        <f t="shared" si="67"/>
        <v>2023</v>
      </c>
    </row>
    <row r="2121" spans="1:7" x14ac:dyDescent="0.25">
      <c r="A2121">
        <v>4034502</v>
      </c>
      <c r="B2121" s="1">
        <v>45200</v>
      </c>
      <c r="C2121" t="s">
        <v>286</v>
      </c>
      <c r="D2121">
        <v>169.88</v>
      </c>
      <c r="E2121">
        <v>475.86</v>
      </c>
      <c r="F2121" t="str">
        <f t="shared" si="66"/>
        <v>outubro</v>
      </c>
      <c r="G2121">
        <f t="shared" si="67"/>
        <v>2023</v>
      </c>
    </row>
    <row r="2122" spans="1:7" x14ac:dyDescent="0.25">
      <c r="A2122">
        <v>8040001</v>
      </c>
      <c r="B2122" s="1">
        <v>45200</v>
      </c>
      <c r="C2122" t="s">
        <v>557</v>
      </c>
      <c r="D2122">
        <v>1</v>
      </c>
      <c r="E2122">
        <v>7.5</v>
      </c>
      <c r="F2122" t="str">
        <f t="shared" si="66"/>
        <v>outubro</v>
      </c>
      <c r="G2122">
        <f t="shared" si="67"/>
        <v>2023</v>
      </c>
    </row>
    <row r="2123" spans="1:7" x14ac:dyDescent="0.25">
      <c r="A2123">
        <v>8040008</v>
      </c>
      <c r="B2123" s="1">
        <v>45200</v>
      </c>
      <c r="C2123" t="s">
        <v>318</v>
      </c>
      <c r="D2123">
        <v>1</v>
      </c>
      <c r="E2123">
        <v>17.91</v>
      </c>
      <c r="F2123" t="str">
        <f t="shared" si="66"/>
        <v>outubro</v>
      </c>
      <c r="G2123">
        <f t="shared" si="67"/>
        <v>2023</v>
      </c>
    </row>
    <row r="2124" spans="1:7" x14ac:dyDescent="0.25">
      <c r="A2124">
        <v>8040011</v>
      </c>
      <c r="B2124" s="1">
        <v>45200</v>
      </c>
      <c r="C2124" t="s">
        <v>560</v>
      </c>
      <c r="D2124">
        <v>12</v>
      </c>
      <c r="E2124">
        <v>35.880000000000003</v>
      </c>
      <c r="F2124" t="str">
        <f t="shared" si="66"/>
        <v>outubro</v>
      </c>
      <c r="G2124">
        <f t="shared" si="67"/>
        <v>2023</v>
      </c>
    </row>
    <row r="2125" spans="1:7" x14ac:dyDescent="0.25">
      <c r="A2125">
        <v>8040034</v>
      </c>
      <c r="B2125" s="1">
        <v>45200</v>
      </c>
      <c r="C2125" t="s">
        <v>767</v>
      </c>
      <c r="D2125">
        <v>453.6</v>
      </c>
      <c r="E2125">
        <v>5080.32</v>
      </c>
      <c r="F2125" t="str">
        <f t="shared" si="66"/>
        <v>outubro</v>
      </c>
      <c r="G2125">
        <f t="shared" si="67"/>
        <v>2023</v>
      </c>
    </row>
    <row r="2126" spans="1:7" x14ac:dyDescent="0.25">
      <c r="A2126">
        <v>8040035</v>
      </c>
      <c r="B2126" s="1">
        <v>45200</v>
      </c>
      <c r="C2126" t="s">
        <v>768</v>
      </c>
      <c r="D2126">
        <v>432</v>
      </c>
      <c r="E2126">
        <v>5270.4</v>
      </c>
      <c r="F2126" t="str">
        <f t="shared" si="66"/>
        <v>outubro</v>
      </c>
      <c r="G2126">
        <f t="shared" si="67"/>
        <v>2023</v>
      </c>
    </row>
    <row r="2127" spans="1:7" x14ac:dyDescent="0.25">
      <c r="A2127">
        <v>8040048</v>
      </c>
      <c r="B2127" s="1">
        <v>45200</v>
      </c>
      <c r="C2127" t="s">
        <v>699</v>
      </c>
      <c r="D2127">
        <v>728</v>
      </c>
      <c r="E2127">
        <v>1870.96</v>
      </c>
      <c r="F2127" t="str">
        <f t="shared" si="66"/>
        <v>outubro</v>
      </c>
      <c r="G2127">
        <f t="shared" si="67"/>
        <v>2023</v>
      </c>
    </row>
    <row r="2128" spans="1:7" x14ac:dyDescent="0.25">
      <c r="A2128">
        <v>8040049</v>
      </c>
      <c r="B2128" s="1">
        <v>45200</v>
      </c>
      <c r="C2128" t="s">
        <v>643</v>
      </c>
      <c r="D2128">
        <v>40</v>
      </c>
      <c r="E2128">
        <v>475.2</v>
      </c>
      <c r="F2128" t="str">
        <f t="shared" si="66"/>
        <v>outubro</v>
      </c>
      <c r="G2128">
        <f t="shared" si="67"/>
        <v>2023</v>
      </c>
    </row>
    <row r="2129" spans="1:7" x14ac:dyDescent="0.25">
      <c r="A2129">
        <v>8040050</v>
      </c>
      <c r="B2129" s="1">
        <v>45200</v>
      </c>
      <c r="C2129" t="s">
        <v>746</v>
      </c>
      <c r="D2129">
        <v>384</v>
      </c>
      <c r="E2129">
        <v>5197.4399999999996</v>
      </c>
      <c r="F2129" t="str">
        <f t="shared" si="66"/>
        <v>outubro</v>
      </c>
      <c r="G2129">
        <f t="shared" si="67"/>
        <v>2023</v>
      </c>
    </row>
    <row r="2130" spans="1:7" x14ac:dyDescent="0.25">
      <c r="A2130">
        <v>8040051</v>
      </c>
      <c r="B2130" s="1">
        <v>45200</v>
      </c>
      <c r="C2130" t="s">
        <v>644</v>
      </c>
      <c r="D2130">
        <v>1.2</v>
      </c>
      <c r="E2130">
        <v>14.26</v>
      </c>
      <c r="F2130" t="str">
        <f t="shared" si="66"/>
        <v>outubro</v>
      </c>
      <c r="G2130">
        <f t="shared" si="67"/>
        <v>2023</v>
      </c>
    </row>
    <row r="2131" spans="1:7" x14ac:dyDescent="0.25">
      <c r="A2131">
        <v>8040052</v>
      </c>
      <c r="B2131" s="1">
        <v>45200</v>
      </c>
      <c r="C2131" t="s">
        <v>700</v>
      </c>
      <c r="D2131">
        <v>163.80000000000001</v>
      </c>
      <c r="E2131">
        <v>1828.89</v>
      </c>
      <c r="F2131" t="str">
        <f t="shared" si="66"/>
        <v>outubro</v>
      </c>
      <c r="G2131">
        <f t="shared" si="67"/>
        <v>2023</v>
      </c>
    </row>
    <row r="2132" spans="1:7" x14ac:dyDescent="0.25">
      <c r="A2132">
        <v>8040053</v>
      </c>
      <c r="B2132" s="1">
        <v>45200</v>
      </c>
      <c r="C2132" t="s">
        <v>747</v>
      </c>
      <c r="D2132">
        <v>10.57</v>
      </c>
      <c r="E2132">
        <v>131.04</v>
      </c>
      <c r="F2132" t="str">
        <f t="shared" si="66"/>
        <v>outubro</v>
      </c>
      <c r="G2132">
        <f t="shared" si="67"/>
        <v>2023</v>
      </c>
    </row>
    <row r="2133" spans="1:7" x14ac:dyDescent="0.25">
      <c r="A2133">
        <v>8040054</v>
      </c>
      <c r="B2133" s="1">
        <v>45200</v>
      </c>
      <c r="C2133" t="s">
        <v>645</v>
      </c>
      <c r="D2133">
        <v>14</v>
      </c>
      <c r="E2133">
        <v>123.2</v>
      </c>
      <c r="F2133" t="str">
        <f t="shared" si="66"/>
        <v>outubro</v>
      </c>
      <c r="G2133">
        <f t="shared" si="67"/>
        <v>2023</v>
      </c>
    </row>
    <row r="2134" spans="1:7" x14ac:dyDescent="0.25">
      <c r="A2134">
        <v>8040057</v>
      </c>
      <c r="B2134" s="1">
        <v>45200</v>
      </c>
      <c r="C2134" t="s">
        <v>734</v>
      </c>
      <c r="D2134">
        <v>4</v>
      </c>
      <c r="E2134">
        <v>19.2</v>
      </c>
      <c r="F2134" t="str">
        <f t="shared" si="66"/>
        <v>outubro</v>
      </c>
      <c r="G2134">
        <f t="shared" si="67"/>
        <v>2023</v>
      </c>
    </row>
    <row r="2135" spans="1:7" x14ac:dyDescent="0.25">
      <c r="A2135">
        <v>8040060</v>
      </c>
      <c r="B2135" s="1">
        <v>45200</v>
      </c>
      <c r="C2135" t="s">
        <v>769</v>
      </c>
      <c r="D2135">
        <v>40</v>
      </c>
      <c r="E2135">
        <v>532.79999999999995</v>
      </c>
      <c r="F2135" t="str">
        <f t="shared" si="66"/>
        <v>outubro</v>
      </c>
      <c r="G2135">
        <f t="shared" si="67"/>
        <v>2023</v>
      </c>
    </row>
    <row r="2136" spans="1:7" x14ac:dyDescent="0.25">
      <c r="A2136">
        <v>8040061</v>
      </c>
      <c r="B2136" s="1">
        <v>45200</v>
      </c>
      <c r="C2136" t="s">
        <v>770</v>
      </c>
      <c r="D2136">
        <v>5000</v>
      </c>
      <c r="E2136">
        <v>48750</v>
      </c>
      <c r="F2136" t="str">
        <f t="shared" si="66"/>
        <v>outubro</v>
      </c>
      <c r="G2136">
        <f t="shared" si="67"/>
        <v>2023</v>
      </c>
    </row>
    <row r="2137" spans="1:7" x14ac:dyDescent="0.25">
      <c r="A2137">
        <v>8050002</v>
      </c>
      <c r="B2137" s="1">
        <v>45200</v>
      </c>
      <c r="C2137" t="s">
        <v>322</v>
      </c>
      <c r="D2137">
        <v>10</v>
      </c>
      <c r="E2137">
        <v>64.599999999999994</v>
      </c>
      <c r="F2137" t="str">
        <f t="shared" si="66"/>
        <v>outubro</v>
      </c>
      <c r="G2137">
        <f t="shared" si="67"/>
        <v>2023</v>
      </c>
    </row>
    <row r="2138" spans="1:7" x14ac:dyDescent="0.25">
      <c r="A2138">
        <v>8060003</v>
      </c>
      <c r="B2138" s="1">
        <v>45200</v>
      </c>
      <c r="C2138" t="s">
        <v>771</v>
      </c>
      <c r="D2138">
        <v>864</v>
      </c>
      <c r="E2138">
        <v>4017.6</v>
      </c>
      <c r="F2138" t="str">
        <f t="shared" si="66"/>
        <v>outubro</v>
      </c>
      <c r="G2138">
        <f t="shared" si="67"/>
        <v>2023</v>
      </c>
    </row>
    <row r="2139" spans="1:7" x14ac:dyDescent="0.25">
      <c r="A2139">
        <v>8070001</v>
      </c>
      <c r="B2139" s="1">
        <v>45200</v>
      </c>
      <c r="C2139" t="s">
        <v>326</v>
      </c>
      <c r="D2139">
        <v>3</v>
      </c>
      <c r="E2139">
        <v>7.2</v>
      </c>
      <c r="F2139" t="str">
        <f t="shared" si="66"/>
        <v>outubro</v>
      </c>
      <c r="G2139">
        <f t="shared" si="67"/>
        <v>2023</v>
      </c>
    </row>
    <row r="2140" spans="1:7" x14ac:dyDescent="0.25">
      <c r="A2140">
        <v>8070009</v>
      </c>
      <c r="B2140" s="1">
        <v>45200</v>
      </c>
      <c r="C2140" t="s">
        <v>581</v>
      </c>
      <c r="D2140">
        <v>1372</v>
      </c>
      <c r="E2140">
        <v>4597.18</v>
      </c>
      <c r="F2140" t="str">
        <f t="shared" si="66"/>
        <v>outubro</v>
      </c>
      <c r="G2140">
        <f t="shared" si="67"/>
        <v>2023</v>
      </c>
    </row>
    <row r="2141" spans="1:7" x14ac:dyDescent="0.25">
      <c r="A2141">
        <v>8070012</v>
      </c>
      <c r="B2141" s="1">
        <v>45200</v>
      </c>
      <c r="C2141" t="s">
        <v>372</v>
      </c>
      <c r="D2141">
        <v>152</v>
      </c>
      <c r="E2141">
        <v>288.8</v>
      </c>
      <c r="F2141" t="str">
        <f t="shared" si="66"/>
        <v>outubro</v>
      </c>
      <c r="G2141">
        <f t="shared" si="67"/>
        <v>2023</v>
      </c>
    </row>
    <row r="2142" spans="1:7" x14ac:dyDescent="0.25">
      <c r="A2142">
        <v>8070014</v>
      </c>
      <c r="B2142" s="1">
        <v>45200</v>
      </c>
      <c r="C2142" t="s">
        <v>394</v>
      </c>
      <c r="D2142">
        <v>7159.88</v>
      </c>
      <c r="E2142">
        <v>26849.58</v>
      </c>
      <c r="F2142" t="str">
        <f t="shared" si="66"/>
        <v>outubro</v>
      </c>
      <c r="G2142">
        <f t="shared" si="67"/>
        <v>2023</v>
      </c>
    </row>
    <row r="2143" spans="1:7" x14ac:dyDescent="0.25">
      <c r="A2143">
        <v>8070016</v>
      </c>
      <c r="B2143" s="1">
        <v>45200</v>
      </c>
      <c r="C2143" t="s">
        <v>395</v>
      </c>
      <c r="D2143">
        <v>13440</v>
      </c>
      <c r="E2143">
        <v>75264</v>
      </c>
      <c r="F2143" t="str">
        <f t="shared" si="66"/>
        <v>outubro</v>
      </c>
      <c r="G2143">
        <f t="shared" si="67"/>
        <v>2023</v>
      </c>
    </row>
    <row r="2144" spans="1:7" x14ac:dyDescent="0.25">
      <c r="A2144">
        <v>8070018</v>
      </c>
      <c r="B2144" s="1">
        <v>45200</v>
      </c>
      <c r="C2144" t="s">
        <v>397</v>
      </c>
      <c r="D2144">
        <v>1891.94</v>
      </c>
      <c r="E2144">
        <v>6527.15</v>
      </c>
      <c r="F2144" t="str">
        <f t="shared" si="66"/>
        <v>outubro</v>
      </c>
      <c r="G2144">
        <f t="shared" si="67"/>
        <v>2023</v>
      </c>
    </row>
    <row r="2145" spans="1:7" x14ac:dyDescent="0.25">
      <c r="A2145">
        <v>8070027</v>
      </c>
      <c r="B2145" s="1">
        <v>45200</v>
      </c>
      <c r="C2145" t="s">
        <v>772</v>
      </c>
      <c r="D2145">
        <v>1801.8</v>
      </c>
      <c r="E2145">
        <v>6522.53</v>
      </c>
      <c r="F2145" t="str">
        <f t="shared" si="66"/>
        <v>outubro</v>
      </c>
      <c r="G2145">
        <f t="shared" si="67"/>
        <v>2023</v>
      </c>
    </row>
    <row r="2146" spans="1:7" x14ac:dyDescent="0.25">
      <c r="A2146">
        <v>8070028</v>
      </c>
      <c r="B2146" s="1">
        <v>45200</v>
      </c>
      <c r="C2146" t="s">
        <v>748</v>
      </c>
      <c r="D2146">
        <v>1440</v>
      </c>
      <c r="E2146">
        <v>5328</v>
      </c>
      <c r="F2146" t="str">
        <f t="shared" si="66"/>
        <v>outubro</v>
      </c>
      <c r="G2146">
        <f t="shared" si="67"/>
        <v>2023</v>
      </c>
    </row>
    <row r="2147" spans="1:7" x14ac:dyDescent="0.25">
      <c r="A2147">
        <v>8070029</v>
      </c>
      <c r="B2147" s="1">
        <v>45200</v>
      </c>
      <c r="C2147" t="s">
        <v>491</v>
      </c>
      <c r="D2147">
        <v>1800</v>
      </c>
      <c r="E2147">
        <v>6930</v>
      </c>
      <c r="F2147" t="str">
        <f t="shared" si="66"/>
        <v>outubro</v>
      </c>
      <c r="G2147">
        <f t="shared" si="67"/>
        <v>2023</v>
      </c>
    </row>
    <row r="2148" spans="1:7" x14ac:dyDescent="0.25">
      <c r="A2148">
        <v>8070051</v>
      </c>
      <c r="B2148" s="1">
        <v>45200</v>
      </c>
      <c r="C2148" t="s">
        <v>750</v>
      </c>
      <c r="D2148">
        <v>1.2</v>
      </c>
      <c r="E2148">
        <v>6.68</v>
      </c>
      <c r="F2148" t="str">
        <f t="shared" si="66"/>
        <v>outubro</v>
      </c>
      <c r="G2148">
        <f t="shared" si="67"/>
        <v>2023</v>
      </c>
    </row>
    <row r="2149" spans="1:7" x14ac:dyDescent="0.25">
      <c r="A2149">
        <v>8070052</v>
      </c>
      <c r="B2149" s="1">
        <v>45200</v>
      </c>
      <c r="C2149" t="s">
        <v>751</v>
      </c>
      <c r="D2149">
        <v>3.88</v>
      </c>
      <c r="E2149">
        <v>12.45</v>
      </c>
      <c r="F2149" t="str">
        <f t="shared" si="66"/>
        <v>outubro</v>
      </c>
      <c r="G2149">
        <f t="shared" si="67"/>
        <v>2023</v>
      </c>
    </row>
    <row r="2150" spans="1:7" x14ac:dyDescent="0.25">
      <c r="A2150">
        <v>8070054</v>
      </c>
      <c r="B2150" s="1">
        <v>45200</v>
      </c>
      <c r="C2150" t="s">
        <v>773</v>
      </c>
      <c r="D2150">
        <v>3.5</v>
      </c>
      <c r="E2150">
        <v>26.28</v>
      </c>
      <c r="F2150" t="str">
        <f t="shared" si="66"/>
        <v>outubro</v>
      </c>
      <c r="G2150">
        <f t="shared" si="67"/>
        <v>2023</v>
      </c>
    </row>
    <row r="2151" spans="1:7" x14ac:dyDescent="0.25">
      <c r="A2151">
        <v>8070060</v>
      </c>
      <c r="B2151" s="1">
        <v>45200</v>
      </c>
      <c r="C2151" t="s">
        <v>701</v>
      </c>
      <c r="D2151">
        <v>126</v>
      </c>
      <c r="E2151">
        <v>299.14</v>
      </c>
      <c r="F2151" t="str">
        <f t="shared" si="66"/>
        <v>outubro</v>
      </c>
      <c r="G2151">
        <f t="shared" si="67"/>
        <v>2023</v>
      </c>
    </row>
    <row r="2152" spans="1:7" x14ac:dyDescent="0.25">
      <c r="A2152">
        <v>8070061</v>
      </c>
      <c r="B2152" s="1">
        <v>45200</v>
      </c>
      <c r="C2152" t="s">
        <v>752</v>
      </c>
      <c r="D2152">
        <v>2</v>
      </c>
      <c r="E2152">
        <v>5.18</v>
      </c>
      <c r="F2152" t="str">
        <f t="shared" si="66"/>
        <v>outubro</v>
      </c>
      <c r="G2152">
        <f t="shared" si="67"/>
        <v>2023</v>
      </c>
    </row>
    <row r="2153" spans="1:7" x14ac:dyDescent="0.25">
      <c r="A2153">
        <v>8070068</v>
      </c>
      <c r="B2153" s="1">
        <v>45200</v>
      </c>
      <c r="C2153" t="s">
        <v>398</v>
      </c>
      <c r="D2153">
        <v>1890</v>
      </c>
      <c r="E2153">
        <v>6804</v>
      </c>
      <c r="F2153" t="str">
        <f t="shared" si="66"/>
        <v>outubro</v>
      </c>
      <c r="G2153">
        <f t="shared" si="67"/>
        <v>2023</v>
      </c>
    </row>
    <row r="2154" spans="1:7" x14ac:dyDescent="0.25">
      <c r="A2154">
        <v>8070069</v>
      </c>
      <c r="B2154" s="1">
        <v>45200</v>
      </c>
      <c r="C2154" t="s">
        <v>774</v>
      </c>
      <c r="D2154">
        <v>1008</v>
      </c>
      <c r="E2154">
        <v>1209.5999999999999</v>
      </c>
      <c r="F2154" t="str">
        <f t="shared" si="66"/>
        <v>outubro</v>
      </c>
      <c r="G2154">
        <f t="shared" si="67"/>
        <v>2023</v>
      </c>
    </row>
    <row r="2155" spans="1:7" x14ac:dyDescent="0.25">
      <c r="A2155">
        <v>8120002</v>
      </c>
      <c r="B2155" s="1">
        <v>45200</v>
      </c>
      <c r="C2155" t="s">
        <v>501</v>
      </c>
      <c r="D2155">
        <v>1600</v>
      </c>
      <c r="E2155">
        <v>4720</v>
      </c>
      <c r="F2155" t="str">
        <f t="shared" si="66"/>
        <v>outubro</v>
      </c>
      <c r="G2155">
        <f t="shared" si="67"/>
        <v>2023</v>
      </c>
    </row>
    <row r="2156" spans="1:7" x14ac:dyDescent="0.25">
      <c r="A2156">
        <v>8120003</v>
      </c>
      <c r="B2156" s="1">
        <v>45200</v>
      </c>
      <c r="C2156" t="s">
        <v>376</v>
      </c>
      <c r="D2156">
        <v>182</v>
      </c>
      <c r="E2156">
        <v>539.98</v>
      </c>
      <c r="F2156" t="str">
        <f t="shared" si="66"/>
        <v>outubro</v>
      </c>
      <c r="G2156">
        <f t="shared" si="67"/>
        <v>2023</v>
      </c>
    </row>
    <row r="2157" spans="1:7" x14ac:dyDescent="0.25">
      <c r="A2157">
        <v>8120005</v>
      </c>
      <c r="B2157" s="1">
        <v>45200</v>
      </c>
      <c r="C2157" t="s">
        <v>407</v>
      </c>
      <c r="D2157">
        <v>-500</v>
      </c>
      <c r="E2157">
        <v>2330</v>
      </c>
      <c r="F2157" t="str">
        <f t="shared" si="66"/>
        <v>outubro</v>
      </c>
      <c r="G2157">
        <f t="shared" si="67"/>
        <v>2023</v>
      </c>
    </row>
    <row r="2158" spans="1:7" x14ac:dyDescent="0.25">
      <c r="A2158">
        <v>8120006</v>
      </c>
      <c r="B2158" s="1">
        <v>45200</v>
      </c>
      <c r="C2158" t="s">
        <v>408</v>
      </c>
      <c r="D2158">
        <v>6.78</v>
      </c>
      <c r="E2158">
        <v>51.48</v>
      </c>
      <c r="F2158" t="str">
        <f t="shared" si="66"/>
        <v>outubro</v>
      </c>
      <c r="G2158">
        <f t="shared" si="67"/>
        <v>2023</v>
      </c>
    </row>
    <row r="2159" spans="1:7" x14ac:dyDescent="0.25">
      <c r="A2159">
        <v>8120007</v>
      </c>
      <c r="B2159" s="1">
        <v>45200</v>
      </c>
      <c r="C2159" t="s">
        <v>377</v>
      </c>
      <c r="D2159">
        <v>12.51</v>
      </c>
      <c r="E2159">
        <v>119.21</v>
      </c>
      <c r="F2159" t="str">
        <f t="shared" si="66"/>
        <v>outubro</v>
      </c>
      <c r="G2159">
        <f t="shared" si="67"/>
        <v>2023</v>
      </c>
    </row>
    <row r="2160" spans="1:7" x14ac:dyDescent="0.25">
      <c r="A2160">
        <v>8120008</v>
      </c>
      <c r="B2160" s="1">
        <v>45200</v>
      </c>
      <c r="C2160" t="s">
        <v>409</v>
      </c>
      <c r="D2160">
        <v>363.57</v>
      </c>
      <c r="E2160">
        <v>3581.16</v>
      </c>
      <c r="F2160" t="str">
        <f t="shared" si="66"/>
        <v>outubro</v>
      </c>
      <c r="G2160">
        <f t="shared" si="67"/>
        <v>2023</v>
      </c>
    </row>
    <row r="2161" spans="1:7" x14ac:dyDescent="0.25">
      <c r="A2161">
        <v>8120009</v>
      </c>
      <c r="B2161" s="1">
        <v>45200</v>
      </c>
      <c r="C2161" t="s">
        <v>506</v>
      </c>
      <c r="D2161">
        <v>425.63</v>
      </c>
      <c r="E2161">
        <v>4830.91</v>
      </c>
      <c r="F2161" t="str">
        <f t="shared" si="66"/>
        <v>outubro</v>
      </c>
      <c r="G2161">
        <f t="shared" si="67"/>
        <v>2023</v>
      </c>
    </row>
    <row r="2162" spans="1:7" x14ac:dyDescent="0.25">
      <c r="A2162">
        <v>8120010</v>
      </c>
      <c r="B2162" s="1">
        <v>45200</v>
      </c>
      <c r="C2162" t="s">
        <v>378</v>
      </c>
      <c r="D2162">
        <v>1884.45</v>
      </c>
      <c r="E2162">
        <v>22996.68</v>
      </c>
      <c r="F2162" t="str">
        <f t="shared" si="66"/>
        <v>outubro</v>
      </c>
      <c r="G2162">
        <f t="shared" si="67"/>
        <v>2023</v>
      </c>
    </row>
    <row r="2163" spans="1:7" x14ac:dyDescent="0.25">
      <c r="A2163">
        <v>8120015</v>
      </c>
      <c r="B2163" s="1">
        <v>45200</v>
      </c>
      <c r="C2163" t="s">
        <v>412</v>
      </c>
      <c r="D2163">
        <v>1949</v>
      </c>
      <c r="E2163">
        <v>5561.55</v>
      </c>
      <c r="F2163" t="str">
        <f t="shared" si="66"/>
        <v>outubro</v>
      </c>
      <c r="G2163">
        <f t="shared" si="67"/>
        <v>2023</v>
      </c>
    </row>
    <row r="2164" spans="1:7" x14ac:dyDescent="0.25">
      <c r="A2164">
        <v>8120016</v>
      </c>
      <c r="B2164" s="1">
        <v>45200</v>
      </c>
      <c r="C2164" t="s">
        <v>510</v>
      </c>
      <c r="D2164">
        <v>1868.96</v>
      </c>
      <c r="E2164">
        <v>12708.97</v>
      </c>
      <c r="F2164" t="str">
        <f t="shared" si="66"/>
        <v>outubro</v>
      </c>
      <c r="G2164">
        <f t="shared" si="67"/>
        <v>2023</v>
      </c>
    </row>
    <row r="2165" spans="1:7" x14ac:dyDescent="0.25">
      <c r="A2165">
        <v>8120051</v>
      </c>
      <c r="B2165" s="1">
        <v>45200</v>
      </c>
      <c r="C2165" t="s">
        <v>775</v>
      </c>
      <c r="D2165">
        <v>1359.64</v>
      </c>
      <c r="E2165">
        <v>10605.23</v>
      </c>
      <c r="F2165" t="str">
        <f t="shared" si="66"/>
        <v>outubro</v>
      </c>
      <c r="G2165">
        <f t="shared" si="67"/>
        <v>2023</v>
      </c>
    </row>
    <row r="2166" spans="1:7" x14ac:dyDescent="0.25">
      <c r="A2166">
        <v>8130001</v>
      </c>
      <c r="B2166" s="1">
        <v>45200</v>
      </c>
      <c r="C2166" t="s">
        <v>380</v>
      </c>
      <c r="D2166">
        <v>2</v>
      </c>
      <c r="E2166">
        <v>4.5199999999999996</v>
      </c>
      <c r="F2166" t="str">
        <f t="shared" si="66"/>
        <v>outubro</v>
      </c>
      <c r="G2166">
        <f t="shared" si="67"/>
        <v>2023</v>
      </c>
    </row>
    <row r="2167" spans="1:7" x14ac:dyDescent="0.25">
      <c r="A2167">
        <v>8130007</v>
      </c>
      <c r="B2167" s="1">
        <v>45200</v>
      </c>
      <c r="C2167" t="s">
        <v>737</v>
      </c>
      <c r="D2167">
        <v>3700</v>
      </c>
      <c r="E2167">
        <v>5846</v>
      </c>
      <c r="F2167" t="str">
        <f t="shared" si="66"/>
        <v>outubro</v>
      </c>
      <c r="G2167">
        <f t="shared" si="67"/>
        <v>2023</v>
      </c>
    </row>
    <row r="2168" spans="1:7" x14ac:dyDescent="0.25">
      <c r="A2168">
        <v>8130009</v>
      </c>
      <c r="B2168" s="1">
        <v>45200</v>
      </c>
      <c r="C2168" t="s">
        <v>738</v>
      </c>
      <c r="D2168">
        <v>1050</v>
      </c>
      <c r="E2168">
        <v>1992.5</v>
      </c>
      <c r="F2168" t="str">
        <f t="shared" si="66"/>
        <v>outubro</v>
      </c>
      <c r="G2168">
        <f t="shared" si="67"/>
        <v>2023</v>
      </c>
    </row>
    <row r="2169" spans="1:7" x14ac:dyDescent="0.25">
      <c r="A2169">
        <v>8130010</v>
      </c>
      <c r="B2169" s="1">
        <v>45200</v>
      </c>
      <c r="C2169" t="s">
        <v>619</v>
      </c>
      <c r="D2169">
        <v>1430</v>
      </c>
      <c r="E2169">
        <v>2003</v>
      </c>
      <c r="F2169" t="str">
        <f t="shared" si="66"/>
        <v>outubro</v>
      </c>
      <c r="G2169">
        <f t="shared" si="67"/>
        <v>2023</v>
      </c>
    </row>
    <row r="2170" spans="1:7" x14ac:dyDescent="0.25">
      <c r="A2170">
        <v>8130015</v>
      </c>
      <c r="B2170" s="1">
        <v>45200</v>
      </c>
      <c r="C2170" t="s">
        <v>622</v>
      </c>
      <c r="D2170">
        <v>16</v>
      </c>
      <c r="E2170">
        <v>59.67</v>
      </c>
      <c r="F2170" t="str">
        <f t="shared" si="66"/>
        <v>outubro</v>
      </c>
      <c r="G2170">
        <f t="shared" si="67"/>
        <v>2023</v>
      </c>
    </row>
    <row r="2171" spans="1:7" x14ac:dyDescent="0.25">
      <c r="A2171">
        <v>8130016</v>
      </c>
      <c r="B2171" s="1">
        <v>45200</v>
      </c>
      <c r="C2171" t="s">
        <v>776</v>
      </c>
      <c r="D2171">
        <v>280</v>
      </c>
      <c r="E2171">
        <v>1100.8</v>
      </c>
      <c r="F2171" t="str">
        <f t="shared" si="66"/>
        <v>outubro</v>
      </c>
      <c r="G2171">
        <f t="shared" si="67"/>
        <v>2023</v>
      </c>
    </row>
    <row r="2172" spans="1:7" x14ac:dyDescent="0.25">
      <c r="A2172">
        <v>8140001</v>
      </c>
      <c r="B2172" s="1">
        <v>45200</v>
      </c>
      <c r="C2172" t="s">
        <v>381</v>
      </c>
      <c r="D2172">
        <v>65</v>
      </c>
      <c r="E2172">
        <v>269.7</v>
      </c>
      <c r="F2172" t="str">
        <f t="shared" si="66"/>
        <v>outubro</v>
      </c>
      <c r="G2172">
        <f t="shared" si="67"/>
        <v>2023</v>
      </c>
    </row>
    <row r="2173" spans="1:7" x14ac:dyDescent="0.25">
      <c r="A2173">
        <v>8140003</v>
      </c>
      <c r="B2173" s="1">
        <v>45200</v>
      </c>
      <c r="C2173" t="s">
        <v>777</v>
      </c>
      <c r="D2173">
        <v>1200</v>
      </c>
      <c r="E2173">
        <v>2340</v>
      </c>
      <c r="F2173" t="str">
        <f t="shared" si="66"/>
        <v>outubro</v>
      </c>
      <c r="G2173">
        <f t="shared" si="67"/>
        <v>2023</v>
      </c>
    </row>
    <row r="2174" spans="1:7" x14ac:dyDescent="0.25">
      <c r="A2174">
        <v>8140006</v>
      </c>
      <c r="B2174" s="1">
        <v>45200</v>
      </c>
      <c r="C2174" t="s">
        <v>423</v>
      </c>
      <c r="D2174">
        <v>25</v>
      </c>
      <c r="E2174">
        <v>58</v>
      </c>
      <c r="F2174" t="str">
        <f t="shared" si="66"/>
        <v>outubro</v>
      </c>
      <c r="G2174">
        <f t="shared" si="67"/>
        <v>2023</v>
      </c>
    </row>
    <row r="2175" spans="1:7" x14ac:dyDescent="0.25">
      <c r="A2175">
        <v>8140010</v>
      </c>
      <c r="B2175" s="1">
        <v>45200</v>
      </c>
      <c r="C2175" t="s">
        <v>424</v>
      </c>
      <c r="D2175">
        <v>600</v>
      </c>
      <c r="E2175">
        <v>1668</v>
      </c>
      <c r="F2175" t="str">
        <f t="shared" si="66"/>
        <v>outubro</v>
      </c>
      <c r="G2175">
        <f t="shared" si="67"/>
        <v>2023</v>
      </c>
    </row>
    <row r="2176" spans="1:7" x14ac:dyDescent="0.25">
      <c r="A2176">
        <v>8140012</v>
      </c>
      <c r="B2176" s="1">
        <v>45200</v>
      </c>
      <c r="C2176" t="s">
        <v>425</v>
      </c>
      <c r="D2176">
        <v>320.18</v>
      </c>
      <c r="E2176">
        <v>6036.73</v>
      </c>
      <c r="F2176" t="str">
        <f t="shared" si="66"/>
        <v>outubro</v>
      </c>
      <c r="G2176">
        <f t="shared" si="67"/>
        <v>2023</v>
      </c>
    </row>
    <row r="2177" spans="1:7" x14ac:dyDescent="0.25">
      <c r="A2177">
        <v>8140013</v>
      </c>
      <c r="B2177" s="1">
        <v>45200</v>
      </c>
      <c r="C2177" t="s">
        <v>674</v>
      </c>
      <c r="D2177">
        <v>2042</v>
      </c>
      <c r="E2177">
        <v>1123.22</v>
      </c>
      <c r="F2177" t="str">
        <f t="shared" si="66"/>
        <v>outubro</v>
      </c>
      <c r="G2177">
        <f t="shared" si="67"/>
        <v>2023</v>
      </c>
    </row>
    <row r="2178" spans="1:7" x14ac:dyDescent="0.25">
      <c r="A2178">
        <v>8140014</v>
      </c>
      <c r="B2178" s="1">
        <v>45200</v>
      </c>
      <c r="C2178" t="s">
        <v>675</v>
      </c>
      <c r="D2178">
        <v>20</v>
      </c>
      <c r="E2178">
        <v>20</v>
      </c>
      <c r="F2178" t="str">
        <f t="shared" si="66"/>
        <v>outubro</v>
      </c>
      <c r="G2178">
        <f t="shared" si="67"/>
        <v>2023</v>
      </c>
    </row>
    <row r="2179" spans="1:7" x14ac:dyDescent="0.25">
      <c r="A2179">
        <v>8140015</v>
      </c>
      <c r="B2179" s="1">
        <v>45200</v>
      </c>
      <c r="C2179" t="s">
        <v>676</v>
      </c>
      <c r="D2179">
        <v>4041</v>
      </c>
      <c r="E2179">
        <v>3961.84</v>
      </c>
      <c r="F2179" t="str">
        <f t="shared" ref="F2179:F2242" si="68">TEXT(B2179,"mmmm")</f>
        <v>outubro</v>
      </c>
      <c r="G2179">
        <f t="shared" ref="G2179:G2242" si="69">YEAR(B2179)</f>
        <v>2023</v>
      </c>
    </row>
    <row r="2180" spans="1:7" x14ac:dyDescent="0.25">
      <c r="A2180">
        <v>8140016</v>
      </c>
      <c r="B2180" s="1">
        <v>45200</v>
      </c>
      <c r="C2180" t="s">
        <v>677</v>
      </c>
      <c r="D2180">
        <v>1000</v>
      </c>
      <c r="E2180">
        <v>3369.29</v>
      </c>
      <c r="F2180" t="str">
        <f t="shared" si="68"/>
        <v>outubro</v>
      </c>
      <c r="G2180">
        <f t="shared" si="69"/>
        <v>2023</v>
      </c>
    </row>
    <row r="2181" spans="1:7" x14ac:dyDescent="0.25">
      <c r="A2181">
        <v>8150001</v>
      </c>
      <c r="B2181" s="1">
        <v>45200</v>
      </c>
      <c r="C2181" t="s">
        <v>382</v>
      </c>
      <c r="D2181">
        <v>3</v>
      </c>
      <c r="E2181">
        <v>36.159999999999997</v>
      </c>
      <c r="F2181" t="str">
        <f t="shared" si="68"/>
        <v>outubro</v>
      </c>
      <c r="G2181">
        <f t="shared" si="69"/>
        <v>2023</v>
      </c>
    </row>
    <row r="2182" spans="1:7" x14ac:dyDescent="0.25">
      <c r="A2182">
        <v>8150003</v>
      </c>
      <c r="B2182" s="1">
        <v>45200</v>
      </c>
      <c r="C2182" t="s">
        <v>384</v>
      </c>
      <c r="D2182">
        <v>200</v>
      </c>
      <c r="E2182">
        <v>1500</v>
      </c>
      <c r="F2182" t="str">
        <f t="shared" si="68"/>
        <v>outubro</v>
      </c>
      <c r="G2182">
        <f t="shared" si="69"/>
        <v>2023</v>
      </c>
    </row>
    <row r="2183" spans="1:7" x14ac:dyDescent="0.25">
      <c r="A2183">
        <v>8150004</v>
      </c>
      <c r="B2183" s="1">
        <v>45200</v>
      </c>
      <c r="C2183" t="s">
        <v>625</v>
      </c>
      <c r="D2183">
        <v>2283</v>
      </c>
      <c r="E2183">
        <v>15304.11</v>
      </c>
      <c r="F2183" t="str">
        <f t="shared" si="68"/>
        <v>outubro</v>
      </c>
      <c r="G2183">
        <f t="shared" si="69"/>
        <v>2023</v>
      </c>
    </row>
    <row r="2184" spans="1:7" x14ac:dyDescent="0.25">
      <c r="A2184">
        <v>8150005</v>
      </c>
      <c r="B2184" s="1">
        <v>45200</v>
      </c>
      <c r="C2184" t="s">
        <v>386</v>
      </c>
      <c r="D2184">
        <v>10</v>
      </c>
      <c r="E2184">
        <v>55</v>
      </c>
      <c r="F2184" t="str">
        <f t="shared" si="68"/>
        <v>outubro</v>
      </c>
      <c r="G2184">
        <f t="shared" si="69"/>
        <v>2023</v>
      </c>
    </row>
    <row r="2185" spans="1:7" x14ac:dyDescent="0.25">
      <c r="A2185">
        <v>8150009</v>
      </c>
      <c r="B2185" s="1">
        <v>45200</v>
      </c>
      <c r="C2185" t="s">
        <v>678</v>
      </c>
      <c r="D2185">
        <v>1000</v>
      </c>
      <c r="E2185">
        <v>19500</v>
      </c>
      <c r="F2185" t="str">
        <f t="shared" si="68"/>
        <v>outubro</v>
      </c>
      <c r="G2185">
        <f t="shared" si="69"/>
        <v>2023</v>
      </c>
    </row>
    <row r="2186" spans="1:7" x14ac:dyDescent="0.25">
      <c r="A2186">
        <v>8150011</v>
      </c>
      <c r="B2186" s="1">
        <v>45200</v>
      </c>
      <c r="C2186" t="s">
        <v>532</v>
      </c>
      <c r="D2186">
        <v>1100</v>
      </c>
      <c r="E2186">
        <v>5826</v>
      </c>
      <c r="F2186" t="str">
        <f t="shared" si="68"/>
        <v>outubro</v>
      </c>
      <c r="G2186">
        <f t="shared" si="69"/>
        <v>2023</v>
      </c>
    </row>
    <row r="2187" spans="1:7" x14ac:dyDescent="0.25">
      <c r="A2187">
        <v>8150012</v>
      </c>
      <c r="B2187" s="1">
        <v>45200</v>
      </c>
      <c r="C2187" t="s">
        <v>626</v>
      </c>
      <c r="D2187">
        <v>690</v>
      </c>
      <c r="E2187">
        <v>3449.7</v>
      </c>
      <c r="F2187" t="str">
        <f t="shared" si="68"/>
        <v>outubro</v>
      </c>
      <c r="G2187">
        <f t="shared" si="69"/>
        <v>2023</v>
      </c>
    </row>
    <row r="2188" spans="1:7" x14ac:dyDescent="0.25">
      <c r="A2188">
        <v>8150013</v>
      </c>
      <c r="B2188" s="1">
        <v>45200</v>
      </c>
      <c r="C2188" t="s">
        <v>536</v>
      </c>
      <c r="D2188">
        <v>50</v>
      </c>
      <c r="E2188">
        <v>232.5</v>
      </c>
      <c r="F2188" t="str">
        <f t="shared" si="68"/>
        <v>outubro</v>
      </c>
      <c r="G2188">
        <f t="shared" si="69"/>
        <v>2023</v>
      </c>
    </row>
    <row r="2189" spans="1:7" x14ac:dyDescent="0.25">
      <c r="A2189">
        <v>8150014</v>
      </c>
      <c r="B2189" s="1">
        <v>45200</v>
      </c>
      <c r="C2189" t="s">
        <v>538</v>
      </c>
      <c r="D2189">
        <v>7</v>
      </c>
      <c r="E2189">
        <v>28.35</v>
      </c>
      <c r="F2189" t="str">
        <f t="shared" si="68"/>
        <v>outubro</v>
      </c>
      <c r="G2189">
        <f t="shared" si="69"/>
        <v>2023</v>
      </c>
    </row>
    <row r="2190" spans="1:7" x14ac:dyDescent="0.25">
      <c r="A2190">
        <v>8150015</v>
      </c>
      <c r="B2190" s="1">
        <v>45200</v>
      </c>
      <c r="C2190" t="s">
        <v>628</v>
      </c>
      <c r="D2190">
        <v>80</v>
      </c>
      <c r="E2190">
        <v>316</v>
      </c>
      <c r="F2190" t="str">
        <f t="shared" si="68"/>
        <v>outubro</v>
      </c>
      <c r="G2190">
        <f t="shared" si="69"/>
        <v>2023</v>
      </c>
    </row>
    <row r="2191" spans="1:7" x14ac:dyDescent="0.25">
      <c r="A2191">
        <v>8150020</v>
      </c>
      <c r="B2191" s="1">
        <v>45200</v>
      </c>
      <c r="C2191" t="s">
        <v>706</v>
      </c>
      <c r="D2191">
        <v>631</v>
      </c>
      <c r="E2191">
        <v>5332.36</v>
      </c>
      <c r="F2191" t="str">
        <f t="shared" si="68"/>
        <v>outubro</v>
      </c>
      <c r="G2191">
        <f t="shared" si="69"/>
        <v>2023</v>
      </c>
    </row>
    <row r="2192" spans="1:7" x14ac:dyDescent="0.25">
      <c r="A2192">
        <v>1010200</v>
      </c>
      <c r="B2192" s="1">
        <v>45231</v>
      </c>
      <c r="C2192" t="s">
        <v>331</v>
      </c>
      <c r="D2192">
        <v>876.2</v>
      </c>
      <c r="E2192">
        <v>262.86</v>
      </c>
      <c r="F2192" t="str">
        <f t="shared" si="68"/>
        <v>novembro</v>
      </c>
      <c r="G2192">
        <f t="shared" si="69"/>
        <v>2023</v>
      </c>
    </row>
    <row r="2193" spans="1:7" x14ac:dyDescent="0.25">
      <c r="A2193">
        <v>1010300</v>
      </c>
      <c r="B2193" s="1">
        <v>45231</v>
      </c>
      <c r="C2193" t="s">
        <v>333</v>
      </c>
      <c r="D2193">
        <v>151.6</v>
      </c>
      <c r="E2193">
        <v>45.48</v>
      </c>
      <c r="F2193" t="str">
        <f t="shared" si="68"/>
        <v>novembro</v>
      </c>
      <c r="G2193">
        <f t="shared" si="69"/>
        <v>2023</v>
      </c>
    </row>
    <row r="2194" spans="1:7" x14ac:dyDescent="0.25">
      <c r="A2194">
        <v>1010500</v>
      </c>
      <c r="B2194" s="1">
        <v>45231</v>
      </c>
      <c r="C2194" t="s">
        <v>6</v>
      </c>
      <c r="D2194">
        <v>1408.3</v>
      </c>
      <c r="E2194">
        <v>914.08</v>
      </c>
      <c r="F2194" t="str">
        <f t="shared" si="68"/>
        <v>novembro</v>
      </c>
      <c r="G2194">
        <f t="shared" si="69"/>
        <v>2023</v>
      </c>
    </row>
    <row r="2195" spans="1:7" x14ac:dyDescent="0.25">
      <c r="A2195">
        <v>1010600</v>
      </c>
      <c r="B2195" s="1">
        <v>45231</v>
      </c>
      <c r="C2195" t="s">
        <v>334</v>
      </c>
      <c r="D2195">
        <v>7729.4</v>
      </c>
      <c r="E2195">
        <v>5750</v>
      </c>
      <c r="F2195" t="str">
        <f t="shared" si="68"/>
        <v>novembro</v>
      </c>
      <c r="G2195">
        <f t="shared" si="69"/>
        <v>2023</v>
      </c>
    </row>
    <row r="2196" spans="1:7" x14ac:dyDescent="0.25">
      <c r="A2196">
        <v>1010700</v>
      </c>
      <c r="B2196" s="1">
        <v>45231</v>
      </c>
      <c r="C2196" t="s">
        <v>335</v>
      </c>
      <c r="D2196">
        <v>1219.8399999999999</v>
      </c>
      <c r="E2196">
        <v>2528.7399999999998</v>
      </c>
      <c r="F2196" t="str">
        <f t="shared" si="68"/>
        <v>novembro</v>
      </c>
      <c r="G2196">
        <f t="shared" si="69"/>
        <v>2023</v>
      </c>
    </row>
    <row r="2197" spans="1:7" x14ac:dyDescent="0.25">
      <c r="A2197">
        <v>1010701</v>
      </c>
      <c r="B2197" s="1">
        <v>45231</v>
      </c>
      <c r="C2197" t="s">
        <v>12</v>
      </c>
      <c r="D2197">
        <v>173.68</v>
      </c>
      <c r="E2197">
        <v>1430</v>
      </c>
      <c r="F2197" t="str">
        <f t="shared" si="68"/>
        <v>novembro</v>
      </c>
      <c r="G2197">
        <f t="shared" si="69"/>
        <v>2023</v>
      </c>
    </row>
    <row r="2198" spans="1:7" x14ac:dyDescent="0.25">
      <c r="A2198">
        <v>1010702</v>
      </c>
      <c r="B2198" s="1">
        <v>45231</v>
      </c>
      <c r="C2198" t="s">
        <v>740</v>
      </c>
      <c r="D2198">
        <v>3441</v>
      </c>
      <c r="E2198">
        <v>5487.9</v>
      </c>
      <c r="F2198" t="str">
        <f t="shared" si="68"/>
        <v>novembro</v>
      </c>
      <c r="G2198">
        <f t="shared" si="69"/>
        <v>2023</v>
      </c>
    </row>
    <row r="2199" spans="1:7" x14ac:dyDescent="0.25">
      <c r="A2199">
        <v>1010902</v>
      </c>
      <c r="B2199" s="1">
        <v>45231</v>
      </c>
      <c r="C2199" t="s">
        <v>431</v>
      </c>
      <c r="D2199">
        <v>1043.9000000000001</v>
      </c>
      <c r="E2199">
        <v>1239.8</v>
      </c>
      <c r="F2199" t="str">
        <f t="shared" si="68"/>
        <v>novembro</v>
      </c>
      <c r="G2199">
        <f t="shared" si="69"/>
        <v>2023</v>
      </c>
    </row>
    <row r="2200" spans="1:7" x14ac:dyDescent="0.25">
      <c r="A2200">
        <v>1010903</v>
      </c>
      <c r="B2200" s="1">
        <v>45231</v>
      </c>
      <c r="C2200" t="s">
        <v>629</v>
      </c>
      <c r="D2200">
        <v>382.68</v>
      </c>
      <c r="E2200">
        <v>331.63</v>
      </c>
      <c r="F2200" t="str">
        <f t="shared" si="68"/>
        <v>novembro</v>
      </c>
      <c r="G2200">
        <f t="shared" si="69"/>
        <v>2023</v>
      </c>
    </row>
    <row r="2201" spans="1:7" x14ac:dyDescent="0.25">
      <c r="A2201">
        <v>1011000</v>
      </c>
      <c r="B2201" s="1">
        <v>45231</v>
      </c>
      <c r="C2201" t="s">
        <v>20</v>
      </c>
      <c r="D2201">
        <v>1685.48</v>
      </c>
      <c r="E2201">
        <v>1222.76</v>
      </c>
      <c r="F2201" t="str">
        <f t="shared" si="68"/>
        <v>novembro</v>
      </c>
      <c r="G2201">
        <f t="shared" si="69"/>
        <v>2023</v>
      </c>
    </row>
    <row r="2202" spans="1:7" x14ac:dyDescent="0.25">
      <c r="A2202">
        <v>1011100</v>
      </c>
      <c r="B2202" s="1">
        <v>45231</v>
      </c>
      <c r="C2202" t="s">
        <v>293</v>
      </c>
      <c r="D2202">
        <v>50.2</v>
      </c>
      <c r="E2202">
        <v>23.7</v>
      </c>
      <c r="F2202" t="str">
        <f t="shared" si="68"/>
        <v>novembro</v>
      </c>
      <c r="G2202">
        <f t="shared" si="69"/>
        <v>2023</v>
      </c>
    </row>
    <row r="2203" spans="1:7" x14ac:dyDescent="0.25">
      <c r="A2203">
        <v>1011200</v>
      </c>
      <c r="B2203" s="1">
        <v>45231</v>
      </c>
      <c r="C2203" t="s">
        <v>24</v>
      </c>
      <c r="D2203">
        <v>77.8</v>
      </c>
      <c r="E2203">
        <v>106.75</v>
      </c>
      <c r="F2203" t="str">
        <f t="shared" si="68"/>
        <v>novembro</v>
      </c>
      <c r="G2203">
        <f t="shared" si="69"/>
        <v>2023</v>
      </c>
    </row>
    <row r="2204" spans="1:7" x14ac:dyDescent="0.25">
      <c r="A2204">
        <v>1011201</v>
      </c>
      <c r="B2204" s="1">
        <v>45231</v>
      </c>
      <c r="C2204" t="s">
        <v>338</v>
      </c>
      <c r="D2204">
        <v>119.1</v>
      </c>
      <c r="E2204">
        <v>321.57</v>
      </c>
      <c r="F2204" t="str">
        <f t="shared" si="68"/>
        <v>novembro</v>
      </c>
      <c r="G2204">
        <f t="shared" si="69"/>
        <v>2023</v>
      </c>
    </row>
    <row r="2205" spans="1:7" x14ac:dyDescent="0.25">
      <c r="A2205">
        <v>1011202</v>
      </c>
      <c r="B2205" s="1">
        <v>45231</v>
      </c>
      <c r="C2205" t="s">
        <v>340</v>
      </c>
      <c r="D2205">
        <v>407.7</v>
      </c>
      <c r="E2205">
        <v>81.540000000000006</v>
      </c>
      <c r="F2205" t="str">
        <f t="shared" si="68"/>
        <v>novembro</v>
      </c>
      <c r="G2205">
        <f t="shared" si="69"/>
        <v>2023</v>
      </c>
    </row>
    <row r="2206" spans="1:7" x14ac:dyDescent="0.25">
      <c r="A2206">
        <v>1011203</v>
      </c>
      <c r="B2206" s="1">
        <v>45231</v>
      </c>
      <c r="C2206" t="s">
        <v>342</v>
      </c>
      <c r="D2206">
        <v>107.5</v>
      </c>
      <c r="E2206">
        <v>64.5</v>
      </c>
      <c r="F2206" t="str">
        <f t="shared" si="68"/>
        <v>novembro</v>
      </c>
      <c r="G2206">
        <f t="shared" si="69"/>
        <v>2023</v>
      </c>
    </row>
    <row r="2207" spans="1:7" x14ac:dyDescent="0.25">
      <c r="A2207">
        <v>1011204</v>
      </c>
      <c r="B2207" s="1">
        <v>45231</v>
      </c>
      <c r="C2207" t="s">
        <v>344</v>
      </c>
      <c r="D2207">
        <v>129.80000000000001</v>
      </c>
      <c r="E2207">
        <v>220.66</v>
      </c>
      <c r="F2207" t="str">
        <f t="shared" si="68"/>
        <v>novembro</v>
      </c>
      <c r="G2207">
        <f t="shared" si="69"/>
        <v>2023</v>
      </c>
    </row>
    <row r="2208" spans="1:7" x14ac:dyDescent="0.25">
      <c r="A2208">
        <v>1011211</v>
      </c>
      <c r="B2208" s="1">
        <v>45231</v>
      </c>
      <c r="C2208" t="s">
        <v>685</v>
      </c>
      <c r="D2208">
        <v>301</v>
      </c>
      <c r="E2208">
        <v>105.37</v>
      </c>
      <c r="F2208" t="str">
        <f t="shared" si="68"/>
        <v>novembro</v>
      </c>
      <c r="G2208">
        <f t="shared" si="69"/>
        <v>2023</v>
      </c>
    </row>
    <row r="2209" spans="1:7" x14ac:dyDescent="0.25">
      <c r="A2209">
        <v>1011300</v>
      </c>
      <c r="B2209" s="1">
        <v>45231</v>
      </c>
      <c r="C2209" t="s">
        <v>295</v>
      </c>
      <c r="D2209">
        <v>87.7</v>
      </c>
      <c r="E2209">
        <v>70.16</v>
      </c>
      <c r="F2209" t="str">
        <f t="shared" si="68"/>
        <v>novembro</v>
      </c>
      <c r="G2209">
        <f t="shared" si="69"/>
        <v>2023</v>
      </c>
    </row>
    <row r="2210" spans="1:7" x14ac:dyDescent="0.25">
      <c r="A2210">
        <v>1011500</v>
      </c>
      <c r="B2210" s="1">
        <v>45231</v>
      </c>
      <c r="C2210" t="s">
        <v>27</v>
      </c>
      <c r="D2210">
        <v>1709.9</v>
      </c>
      <c r="E2210">
        <v>1346.09</v>
      </c>
      <c r="F2210" t="str">
        <f t="shared" si="68"/>
        <v>novembro</v>
      </c>
      <c r="G2210">
        <f t="shared" si="69"/>
        <v>2023</v>
      </c>
    </row>
    <row r="2211" spans="1:7" x14ac:dyDescent="0.25">
      <c r="A2211">
        <v>1011604</v>
      </c>
      <c r="B2211" s="1">
        <v>45231</v>
      </c>
      <c r="C2211" t="s">
        <v>29</v>
      </c>
      <c r="D2211">
        <v>18174</v>
      </c>
      <c r="E2211">
        <v>1453.92</v>
      </c>
      <c r="F2211" t="str">
        <f t="shared" si="68"/>
        <v>novembro</v>
      </c>
      <c r="G2211">
        <f t="shared" si="69"/>
        <v>2023</v>
      </c>
    </row>
    <row r="2212" spans="1:7" x14ac:dyDescent="0.25">
      <c r="A2212">
        <v>1011700</v>
      </c>
      <c r="B2212" s="1">
        <v>45231</v>
      </c>
      <c r="C2212" t="s">
        <v>31</v>
      </c>
      <c r="D2212">
        <v>288.8</v>
      </c>
      <c r="E2212">
        <v>479.39</v>
      </c>
      <c r="F2212" t="str">
        <f t="shared" si="68"/>
        <v>novembro</v>
      </c>
      <c r="G2212">
        <f t="shared" si="69"/>
        <v>2023</v>
      </c>
    </row>
    <row r="2213" spans="1:7" x14ac:dyDescent="0.25">
      <c r="A2213">
        <v>1011800</v>
      </c>
      <c r="B2213" s="1">
        <v>45231</v>
      </c>
      <c r="C2213" t="s">
        <v>33</v>
      </c>
      <c r="D2213">
        <v>4871.37</v>
      </c>
      <c r="E2213">
        <v>9040.61</v>
      </c>
      <c r="F2213" t="str">
        <f t="shared" si="68"/>
        <v>novembro</v>
      </c>
      <c r="G2213">
        <f t="shared" si="69"/>
        <v>2023</v>
      </c>
    </row>
    <row r="2214" spans="1:7" x14ac:dyDescent="0.25">
      <c r="A2214">
        <v>1011801</v>
      </c>
      <c r="B2214" s="1">
        <v>45231</v>
      </c>
      <c r="C2214" t="s">
        <v>35</v>
      </c>
      <c r="D2214">
        <v>229.45</v>
      </c>
      <c r="E2214">
        <v>355.65</v>
      </c>
      <c r="F2214" t="str">
        <f t="shared" si="68"/>
        <v>novembro</v>
      </c>
      <c r="G2214">
        <f t="shared" si="69"/>
        <v>2023</v>
      </c>
    </row>
    <row r="2215" spans="1:7" x14ac:dyDescent="0.25">
      <c r="A2215">
        <v>1011901</v>
      </c>
      <c r="B2215" s="1">
        <v>45231</v>
      </c>
      <c r="C2215" t="s">
        <v>37</v>
      </c>
      <c r="D2215">
        <v>192.3</v>
      </c>
      <c r="E2215">
        <v>129.97999999999999</v>
      </c>
      <c r="F2215" t="str">
        <f t="shared" si="68"/>
        <v>novembro</v>
      </c>
      <c r="G2215">
        <f t="shared" si="69"/>
        <v>2023</v>
      </c>
    </row>
    <row r="2216" spans="1:7" x14ac:dyDescent="0.25">
      <c r="A2216">
        <v>1011902</v>
      </c>
      <c r="B2216" s="1">
        <v>45231</v>
      </c>
      <c r="C2216" t="s">
        <v>437</v>
      </c>
      <c r="D2216">
        <v>400</v>
      </c>
      <c r="E2216">
        <v>200</v>
      </c>
      <c r="F2216" t="str">
        <f t="shared" si="68"/>
        <v>novembro</v>
      </c>
      <c r="G2216">
        <f t="shared" si="69"/>
        <v>2023</v>
      </c>
    </row>
    <row r="2217" spans="1:7" x14ac:dyDescent="0.25">
      <c r="A2217">
        <v>1012100</v>
      </c>
      <c r="B2217" s="1">
        <v>45231</v>
      </c>
      <c r="C2217" t="s">
        <v>302</v>
      </c>
      <c r="D2217">
        <v>638.70000000000005</v>
      </c>
      <c r="E2217">
        <v>1788.36</v>
      </c>
      <c r="F2217" t="str">
        <f t="shared" si="68"/>
        <v>novembro</v>
      </c>
      <c r="G2217">
        <f t="shared" si="69"/>
        <v>2023</v>
      </c>
    </row>
    <row r="2218" spans="1:7" x14ac:dyDescent="0.25">
      <c r="A2218">
        <v>1012200</v>
      </c>
      <c r="B2218" s="1">
        <v>45231</v>
      </c>
      <c r="C2218" t="s">
        <v>39</v>
      </c>
      <c r="D2218">
        <v>1723.58</v>
      </c>
      <c r="E2218">
        <v>2746.94</v>
      </c>
      <c r="F2218" t="str">
        <f t="shared" si="68"/>
        <v>novembro</v>
      </c>
      <c r="G2218">
        <f t="shared" si="69"/>
        <v>2023</v>
      </c>
    </row>
    <row r="2219" spans="1:7" x14ac:dyDescent="0.25">
      <c r="A2219">
        <v>1012201</v>
      </c>
      <c r="B2219" s="1">
        <v>45231</v>
      </c>
      <c r="C2219" t="s">
        <v>41</v>
      </c>
      <c r="D2219">
        <v>375.04</v>
      </c>
      <c r="E2219">
        <v>748.95</v>
      </c>
      <c r="F2219" t="str">
        <f t="shared" si="68"/>
        <v>novembro</v>
      </c>
      <c r="G2219">
        <f t="shared" si="69"/>
        <v>2023</v>
      </c>
    </row>
    <row r="2220" spans="1:7" x14ac:dyDescent="0.25">
      <c r="A2220">
        <v>1012203</v>
      </c>
      <c r="B2220" s="1">
        <v>45231</v>
      </c>
      <c r="C2220" t="s">
        <v>43</v>
      </c>
      <c r="D2220">
        <v>1615.92</v>
      </c>
      <c r="E2220">
        <v>2812.66</v>
      </c>
      <c r="F2220" t="str">
        <f t="shared" si="68"/>
        <v>novembro</v>
      </c>
      <c r="G2220">
        <f t="shared" si="69"/>
        <v>2023</v>
      </c>
    </row>
    <row r="2221" spans="1:7" x14ac:dyDescent="0.25">
      <c r="A2221">
        <v>1012205</v>
      </c>
      <c r="B2221" s="1">
        <v>45231</v>
      </c>
      <c r="C2221" t="s">
        <v>741</v>
      </c>
      <c r="D2221">
        <v>16004.38</v>
      </c>
      <c r="E2221">
        <v>17833.419999999998</v>
      </c>
      <c r="F2221" t="str">
        <f t="shared" si="68"/>
        <v>novembro</v>
      </c>
      <c r="G2221">
        <f t="shared" si="69"/>
        <v>2023</v>
      </c>
    </row>
    <row r="2222" spans="1:7" x14ac:dyDescent="0.25">
      <c r="A2222">
        <v>1012206</v>
      </c>
      <c r="B2222" s="1">
        <v>45231</v>
      </c>
      <c r="C2222" t="s">
        <v>763</v>
      </c>
      <c r="D2222">
        <v>7278.6</v>
      </c>
      <c r="E2222">
        <v>8642.59</v>
      </c>
      <c r="F2222" t="str">
        <f t="shared" si="68"/>
        <v>novembro</v>
      </c>
      <c r="G2222">
        <f t="shared" si="69"/>
        <v>2023</v>
      </c>
    </row>
    <row r="2223" spans="1:7" x14ac:dyDescent="0.25">
      <c r="A2223">
        <v>1012300</v>
      </c>
      <c r="B2223" s="1">
        <v>45231</v>
      </c>
      <c r="C2223" t="s">
        <v>45</v>
      </c>
      <c r="D2223">
        <v>532.67999999999995</v>
      </c>
      <c r="E2223">
        <v>784.74</v>
      </c>
      <c r="F2223" t="str">
        <f t="shared" si="68"/>
        <v>novembro</v>
      </c>
      <c r="G2223">
        <f t="shared" si="69"/>
        <v>2023</v>
      </c>
    </row>
    <row r="2224" spans="1:7" x14ac:dyDescent="0.25">
      <c r="A2224">
        <v>1012301</v>
      </c>
      <c r="B2224" s="1">
        <v>45231</v>
      </c>
      <c r="C2224" t="s">
        <v>47</v>
      </c>
      <c r="D2224">
        <v>227</v>
      </c>
      <c r="E2224">
        <v>283.75</v>
      </c>
      <c r="F2224" t="str">
        <f t="shared" si="68"/>
        <v>novembro</v>
      </c>
      <c r="G2224">
        <f t="shared" si="69"/>
        <v>2023</v>
      </c>
    </row>
    <row r="2225" spans="1:7" x14ac:dyDescent="0.25">
      <c r="A2225">
        <v>1012400</v>
      </c>
      <c r="B2225" s="1">
        <v>45231</v>
      </c>
      <c r="C2225" t="s">
        <v>49</v>
      </c>
      <c r="D2225">
        <v>1380.2</v>
      </c>
      <c r="E2225">
        <v>2355.27</v>
      </c>
      <c r="F2225" t="str">
        <f t="shared" si="68"/>
        <v>novembro</v>
      </c>
      <c r="G2225">
        <f t="shared" si="69"/>
        <v>2023</v>
      </c>
    </row>
    <row r="2226" spans="1:7" x14ac:dyDescent="0.25">
      <c r="A2226">
        <v>1012401</v>
      </c>
      <c r="B2226" s="1">
        <v>45231</v>
      </c>
      <c r="C2226" t="s">
        <v>51</v>
      </c>
      <c r="D2226">
        <v>162.04</v>
      </c>
      <c r="E2226">
        <v>218.97</v>
      </c>
      <c r="F2226" t="str">
        <f t="shared" si="68"/>
        <v>novembro</v>
      </c>
      <c r="G2226">
        <f t="shared" si="69"/>
        <v>2023</v>
      </c>
    </row>
    <row r="2227" spans="1:7" x14ac:dyDescent="0.25">
      <c r="A2227">
        <v>1012500</v>
      </c>
      <c r="B2227" s="1">
        <v>45231</v>
      </c>
      <c r="C2227" t="s">
        <v>53</v>
      </c>
      <c r="D2227">
        <v>1362.6</v>
      </c>
      <c r="E2227">
        <v>343</v>
      </c>
      <c r="F2227" t="str">
        <f t="shared" si="68"/>
        <v>novembro</v>
      </c>
      <c r="G2227">
        <f t="shared" si="69"/>
        <v>2023</v>
      </c>
    </row>
    <row r="2228" spans="1:7" x14ac:dyDescent="0.25">
      <c r="A2228">
        <v>1012601</v>
      </c>
      <c r="B2228" s="1">
        <v>45231</v>
      </c>
      <c r="C2228" t="s">
        <v>55</v>
      </c>
      <c r="D2228">
        <v>139</v>
      </c>
      <c r="E2228">
        <v>139</v>
      </c>
      <c r="F2228" t="str">
        <f t="shared" si="68"/>
        <v>novembro</v>
      </c>
      <c r="G2228">
        <f t="shared" si="69"/>
        <v>2023</v>
      </c>
    </row>
    <row r="2229" spans="1:7" x14ac:dyDescent="0.25">
      <c r="A2229">
        <v>1012700</v>
      </c>
      <c r="B2229" s="1">
        <v>45231</v>
      </c>
      <c r="C2229" t="s">
        <v>630</v>
      </c>
      <c r="D2229">
        <v>311</v>
      </c>
      <c r="E2229">
        <v>402.74</v>
      </c>
      <c r="F2229" t="str">
        <f t="shared" si="68"/>
        <v>novembro</v>
      </c>
      <c r="G2229">
        <f t="shared" si="69"/>
        <v>2023</v>
      </c>
    </row>
    <row r="2230" spans="1:7" x14ac:dyDescent="0.25">
      <c r="A2230">
        <v>1012800</v>
      </c>
      <c r="B2230" s="1">
        <v>45231</v>
      </c>
      <c r="C2230" t="s">
        <v>439</v>
      </c>
      <c r="D2230">
        <v>26.8</v>
      </c>
      <c r="E2230">
        <v>40.200000000000003</v>
      </c>
      <c r="F2230" t="str">
        <f t="shared" si="68"/>
        <v>novembro</v>
      </c>
      <c r="G2230">
        <f t="shared" si="69"/>
        <v>2023</v>
      </c>
    </row>
    <row r="2231" spans="1:7" x14ac:dyDescent="0.25">
      <c r="A2231">
        <v>1013100</v>
      </c>
      <c r="B2231" s="1">
        <v>45231</v>
      </c>
      <c r="C2231" t="s">
        <v>57</v>
      </c>
      <c r="D2231">
        <v>86.5</v>
      </c>
      <c r="E2231">
        <v>121.31</v>
      </c>
      <c r="F2231" t="str">
        <f t="shared" si="68"/>
        <v>novembro</v>
      </c>
      <c r="G2231">
        <f t="shared" si="69"/>
        <v>2023</v>
      </c>
    </row>
    <row r="2232" spans="1:7" x14ac:dyDescent="0.25">
      <c r="A2232">
        <v>1013101</v>
      </c>
      <c r="B2232" s="1">
        <v>45231</v>
      </c>
      <c r="C2232" t="s">
        <v>346</v>
      </c>
      <c r="D2232">
        <v>4248</v>
      </c>
      <c r="E2232">
        <v>2548.8000000000002</v>
      </c>
      <c r="F2232" t="str">
        <f t="shared" si="68"/>
        <v>novembro</v>
      </c>
      <c r="G2232">
        <f t="shared" si="69"/>
        <v>2023</v>
      </c>
    </row>
    <row r="2233" spans="1:7" x14ac:dyDescent="0.25">
      <c r="A2233">
        <v>1013200</v>
      </c>
      <c r="B2233" s="1">
        <v>45231</v>
      </c>
      <c r="C2233" t="s">
        <v>59</v>
      </c>
      <c r="D2233">
        <v>2042.2</v>
      </c>
      <c r="E2233">
        <v>2095.61</v>
      </c>
      <c r="F2233" t="str">
        <f t="shared" si="68"/>
        <v>novembro</v>
      </c>
      <c r="G2233">
        <f t="shared" si="69"/>
        <v>2023</v>
      </c>
    </row>
    <row r="2234" spans="1:7" x14ac:dyDescent="0.25">
      <c r="A2234">
        <v>1013202</v>
      </c>
      <c r="B2234" s="1">
        <v>45231</v>
      </c>
      <c r="C2234" t="s">
        <v>443</v>
      </c>
      <c r="D2234">
        <v>4.5999999999999996</v>
      </c>
      <c r="E2234">
        <v>9.1999999999999993</v>
      </c>
      <c r="F2234" t="str">
        <f t="shared" si="68"/>
        <v>novembro</v>
      </c>
      <c r="G2234">
        <f t="shared" si="69"/>
        <v>2023</v>
      </c>
    </row>
    <row r="2235" spans="1:7" x14ac:dyDescent="0.25">
      <c r="A2235">
        <v>1013300</v>
      </c>
      <c r="B2235" s="1">
        <v>45231</v>
      </c>
      <c r="C2235" t="s">
        <v>348</v>
      </c>
      <c r="D2235">
        <v>877.1</v>
      </c>
      <c r="E2235">
        <v>263.13</v>
      </c>
      <c r="F2235" t="str">
        <f t="shared" si="68"/>
        <v>novembro</v>
      </c>
      <c r="G2235">
        <f t="shared" si="69"/>
        <v>2023</v>
      </c>
    </row>
    <row r="2236" spans="1:7" x14ac:dyDescent="0.25">
      <c r="A2236">
        <v>1013500</v>
      </c>
      <c r="B2236" s="1">
        <v>45231</v>
      </c>
      <c r="C2236" t="s">
        <v>61</v>
      </c>
      <c r="D2236">
        <v>36</v>
      </c>
      <c r="E2236">
        <v>18</v>
      </c>
      <c r="F2236" t="str">
        <f t="shared" si="68"/>
        <v>novembro</v>
      </c>
      <c r="G2236">
        <f t="shared" si="69"/>
        <v>2023</v>
      </c>
    </row>
    <row r="2237" spans="1:7" x14ac:dyDescent="0.25">
      <c r="A2237">
        <v>1100100</v>
      </c>
      <c r="B2237" s="1">
        <v>45231</v>
      </c>
      <c r="C2237" t="s">
        <v>63</v>
      </c>
      <c r="D2237">
        <v>80709.72</v>
      </c>
      <c r="E2237">
        <v>202502.83</v>
      </c>
      <c r="F2237" t="str">
        <f t="shared" si="68"/>
        <v>novembro</v>
      </c>
      <c r="G2237">
        <f t="shared" si="69"/>
        <v>2023</v>
      </c>
    </row>
    <row r="2238" spans="1:7" x14ac:dyDescent="0.25">
      <c r="A2238">
        <v>1100101</v>
      </c>
      <c r="B2238" s="1">
        <v>45231</v>
      </c>
      <c r="C2238" t="s">
        <v>65</v>
      </c>
      <c r="D2238">
        <v>371</v>
      </c>
      <c r="E2238">
        <v>933.12</v>
      </c>
      <c r="F2238" t="str">
        <f t="shared" si="68"/>
        <v>novembro</v>
      </c>
      <c r="G2238">
        <f t="shared" si="69"/>
        <v>2023</v>
      </c>
    </row>
    <row r="2239" spans="1:7" x14ac:dyDescent="0.25">
      <c r="A2239">
        <v>1100200</v>
      </c>
      <c r="B2239" s="1">
        <v>45231</v>
      </c>
      <c r="C2239" t="s">
        <v>67</v>
      </c>
      <c r="D2239">
        <v>50890.38</v>
      </c>
      <c r="E2239">
        <v>143033.79999999999</v>
      </c>
      <c r="F2239" t="str">
        <f t="shared" si="68"/>
        <v>novembro</v>
      </c>
      <c r="G2239">
        <f t="shared" si="69"/>
        <v>2023</v>
      </c>
    </row>
    <row r="2240" spans="1:7" x14ac:dyDescent="0.25">
      <c r="A2240">
        <v>1100300</v>
      </c>
      <c r="B2240" s="1">
        <v>45231</v>
      </c>
      <c r="C2240" t="s">
        <v>69</v>
      </c>
      <c r="D2240">
        <v>13602.36</v>
      </c>
      <c r="E2240">
        <v>38088.86</v>
      </c>
      <c r="F2240" t="str">
        <f t="shared" si="68"/>
        <v>novembro</v>
      </c>
      <c r="G2240">
        <f t="shared" si="69"/>
        <v>2023</v>
      </c>
    </row>
    <row r="2241" spans="1:7" x14ac:dyDescent="0.25">
      <c r="A2241">
        <v>1100400</v>
      </c>
      <c r="B2241" s="1">
        <v>45231</v>
      </c>
      <c r="C2241" t="s">
        <v>73</v>
      </c>
      <c r="D2241">
        <v>13923.85</v>
      </c>
      <c r="E2241">
        <v>34273.81</v>
      </c>
      <c r="F2241" t="str">
        <f t="shared" si="68"/>
        <v>novembro</v>
      </c>
      <c r="G2241">
        <f t="shared" si="69"/>
        <v>2023</v>
      </c>
    </row>
    <row r="2242" spans="1:7" x14ac:dyDescent="0.25">
      <c r="A2242">
        <v>1100500</v>
      </c>
      <c r="B2242" s="1">
        <v>45231</v>
      </c>
      <c r="C2242" t="s">
        <v>75</v>
      </c>
      <c r="D2242">
        <v>172.7</v>
      </c>
      <c r="E2242">
        <v>461.51</v>
      </c>
      <c r="F2242" t="str">
        <f t="shared" si="68"/>
        <v>novembro</v>
      </c>
      <c r="G2242">
        <f t="shared" si="69"/>
        <v>2023</v>
      </c>
    </row>
    <row r="2243" spans="1:7" x14ac:dyDescent="0.25">
      <c r="A2243">
        <v>1100600</v>
      </c>
      <c r="B2243" s="1">
        <v>45231</v>
      </c>
      <c r="C2243" t="s">
        <v>77</v>
      </c>
      <c r="D2243">
        <v>7774.72</v>
      </c>
      <c r="E2243">
        <v>26425.78</v>
      </c>
      <c r="F2243" t="str">
        <f t="shared" ref="F2243:F2306" si="70">TEXT(B2243,"mmmm")</f>
        <v>novembro</v>
      </c>
      <c r="G2243">
        <f t="shared" ref="G2243:G2306" si="71">YEAR(B2243)</f>
        <v>2023</v>
      </c>
    </row>
    <row r="2244" spans="1:7" x14ac:dyDescent="0.25">
      <c r="A2244">
        <v>1100602</v>
      </c>
      <c r="B2244" s="1">
        <v>45231</v>
      </c>
      <c r="C2244" t="s">
        <v>79</v>
      </c>
      <c r="D2244">
        <v>810.92</v>
      </c>
      <c r="E2244">
        <v>4203</v>
      </c>
      <c r="F2244" t="str">
        <f t="shared" si="70"/>
        <v>novembro</v>
      </c>
      <c r="G2244">
        <f t="shared" si="71"/>
        <v>2023</v>
      </c>
    </row>
    <row r="2245" spans="1:7" x14ac:dyDescent="0.25">
      <c r="A2245">
        <v>1100603</v>
      </c>
      <c r="B2245" s="1">
        <v>45231</v>
      </c>
      <c r="C2245" t="s">
        <v>304</v>
      </c>
      <c r="D2245">
        <v>1909.3</v>
      </c>
      <c r="E2245">
        <v>10465.879999999999</v>
      </c>
      <c r="F2245" t="str">
        <f t="shared" si="70"/>
        <v>novembro</v>
      </c>
      <c r="G2245">
        <f t="shared" si="71"/>
        <v>2023</v>
      </c>
    </row>
    <row r="2246" spans="1:7" x14ac:dyDescent="0.25">
      <c r="A2246">
        <v>1100605</v>
      </c>
      <c r="B2246" s="1">
        <v>45231</v>
      </c>
      <c r="C2246" t="s">
        <v>631</v>
      </c>
      <c r="D2246">
        <v>185.58</v>
      </c>
      <c r="E2246">
        <v>686.65</v>
      </c>
      <c r="F2246" t="str">
        <f t="shared" si="70"/>
        <v>novembro</v>
      </c>
      <c r="G2246">
        <f t="shared" si="71"/>
        <v>2023</v>
      </c>
    </row>
    <row r="2247" spans="1:7" x14ac:dyDescent="0.25">
      <c r="A2247">
        <v>1100608</v>
      </c>
      <c r="B2247" s="1">
        <v>45231</v>
      </c>
      <c r="C2247" t="s">
        <v>349</v>
      </c>
      <c r="D2247">
        <v>4033.46</v>
      </c>
      <c r="E2247">
        <v>13183.71</v>
      </c>
      <c r="F2247" t="str">
        <f t="shared" si="70"/>
        <v>novembro</v>
      </c>
      <c r="G2247">
        <f t="shared" si="71"/>
        <v>2023</v>
      </c>
    </row>
    <row r="2248" spans="1:7" x14ac:dyDescent="0.25">
      <c r="A2248">
        <v>1100700</v>
      </c>
      <c r="B2248" s="1">
        <v>45231</v>
      </c>
      <c r="C2248" t="s">
        <v>83</v>
      </c>
      <c r="D2248">
        <v>17378.310000000001</v>
      </c>
      <c r="E2248">
        <v>55088.4</v>
      </c>
      <c r="F2248" t="str">
        <f t="shared" si="70"/>
        <v>novembro</v>
      </c>
      <c r="G2248">
        <f t="shared" si="71"/>
        <v>2023</v>
      </c>
    </row>
    <row r="2249" spans="1:7" x14ac:dyDescent="0.25">
      <c r="A2249">
        <v>1100701</v>
      </c>
      <c r="B2249" s="1">
        <v>45231</v>
      </c>
      <c r="C2249" t="s">
        <v>84</v>
      </c>
      <c r="D2249">
        <v>444.9</v>
      </c>
      <c r="E2249">
        <v>1692.3</v>
      </c>
      <c r="F2249" t="str">
        <f t="shared" si="70"/>
        <v>novembro</v>
      </c>
      <c r="G2249">
        <f t="shared" si="71"/>
        <v>2023</v>
      </c>
    </row>
    <row r="2250" spans="1:7" x14ac:dyDescent="0.25">
      <c r="A2250">
        <v>1100703</v>
      </c>
      <c r="B2250" s="1">
        <v>45231</v>
      </c>
      <c r="C2250" t="s">
        <v>86</v>
      </c>
      <c r="D2250">
        <v>1773.61</v>
      </c>
      <c r="E2250">
        <v>6462.07</v>
      </c>
      <c r="F2250" t="str">
        <f t="shared" si="70"/>
        <v>novembro</v>
      </c>
      <c r="G2250">
        <f t="shared" si="71"/>
        <v>2023</v>
      </c>
    </row>
    <row r="2251" spans="1:7" x14ac:dyDescent="0.25">
      <c r="A2251">
        <v>1100704</v>
      </c>
      <c r="B2251" s="1">
        <v>45231</v>
      </c>
      <c r="C2251" t="s">
        <v>718</v>
      </c>
      <c r="D2251">
        <v>3.7</v>
      </c>
      <c r="E2251">
        <v>19.61</v>
      </c>
      <c r="F2251" t="str">
        <f t="shared" si="70"/>
        <v>novembro</v>
      </c>
      <c r="G2251">
        <f t="shared" si="71"/>
        <v>2023</v>
      </c>
    </row>
    <row r="2252" spans="1:7" x14ac:dyDescent="0.25">
      <c r="A2252">
        <v>1100705</v>
      </c>
      <c r="B2252" s="1">
        <v>45231</v>
      </c>
      <c r="C2252" t="s">
        <v>88</v>
      </c>
      <c r="D2252">
        <v>261.3</v>
      </c>
      <c r="E2252">
        <v>446.82</v>
      </c>
      <c r="F2252" t="str">
        <f t="shared" si="70"/>
        <v>novembro</v>
      </c>
      <c r="G2252">
        <f t="shared" si="71"/>
        <v>2023</v>
      </c>
    </row>
    <row r="2253" spans="1:7" x14ac:dyDescent="0.25">
      <c r="A2253">
        <v>1100706</v>
      </c>
      <c r="B2253" s="1">
        <v>45231</v>
      </c>
      <c r="C2253" t="s">
        <v>305</v>
      </c>
      <c r="D2253">
        <v>28.08</v>
      </c>
      <c r="E2253">
        <v>46.9</v>
      </c>
      <c r="F2253" t="str">
        <f t="shared" si="70"/>
        <v>novembro</v>
      </c>
      <c r="G2253">
        <f t="shared" si="71"/>
        <v>2023</v>
      </c>
    </row>
    <row r="2254" spans="1:7" x14ac:dyDescent="0.25">
      <c r="A2254">
        <v>1100707</v>
      </c>
      <c r="B2254" s="1">
        <v>45231</v>
      </c>
      <c r="C2254" t="s">
        <v>686</v>
      </c>
      <c r="D2254">
        <v>918.56</v>
      </c>
      <c r="E2254">
        <v>2913.09</v>
      </c>
      <c r="F2254" t="str">
        <f t="shared" si="70"/>
        <v>novembro</v>
      </c>
      <c r="G2254">
        <f t="shared" si="71"/>
        <v>2023</v>
      </c>
    </row>
    <row r="2255" spans="1:7" x14ac:dyDescent="0.25">
      <c r="A2255">
        <v>1100709</v>
      </c>
      <c r="B2255" s="1">
        <v>45231</v>
      </c>
      <c r="C2255" t="s">
        <v>764</v>
      </c>
      <c r="D2255">
        <v>2061.15</v>
      </c>
      <c r="E2255">
        <v>7872.36</v>
      </c>
      <c r="F2255" t="str">
        <f t="shared" si="70"/>
        <v>novembro</v>
      </c>
      <c r="G2255">
        <f t="shared" si="71"/>
        <v>2023</v>
      </c>
    </row>
    <row r="2256" spans="1:7" x14ac:dyDescent="0.25">
      <c r="A2256">
        <v>1100710</v>
      </c>
      <c r="B2256" s="1">
        <v>45231</v>
      </c>
      <c r="C2256" t="s">
        <v>778</v>
      </c>
      <c r="D2256">
        <v>564.02</v>
      </c>
      <c r="E2256">
        <v>2368.91</v>
      </c>
      <c r="F2256" t="str">
        <f t="shared" si="70"/>
        <v>novembro</v>
      </c>
      <c r="G2256">
        <f t="shared" si="71"/>
        <v>2023</v>
      </c>
    </row>
    <row r="2257" spans="1:7" x14ac:dyDescent="0.25">
      <c r="A2257">
        <v>1100800</v>
      </c>
      <c r="B2257" s="1">
        <v>45231</v>
      </c>
      <c r="C2257" t="s">
        <v>90</v>
      </c>
      <c r="D2257">
        <v>14251.98</v>
      </c>
      <c r="E2257">
        <v>42002</v>
      </c>
      <c r="F2257" t="str">
        <f t="shared" si="70"/>
        <v>novembro</v>
      </c>
      <c r="G2257">
        <f t="shared" si="71"/>
        <v>2023</v>
      </c>
    </row>
    <row r="2258" spans="1:7" x14ac:dyDescent="0.25">
      <c r="A2258">
        <v>1100801</v>
      </c>
      <c r="B2258" s="1">
        <v>45231</v>
      </c>
      <c r="C2258" t="s">
        <v>92</v>
      </c>
      <c r="D2258">
        <v>16065</v>
      </c>
      <c r="E2258">
        <v>43789.8</v>
      </c>
      <c r="F2258" t="str">
        <f t="shared" si="70"/>
        <v>novembro</v>
      </c>
      <c r="G2258">
        <f t="shared" si="71"/>
        <v>2023</v>
      </c>
    </row>
    <row r="2259" spans="1:7" x14ac:dyDescent="0.25">
      <c r="A2259">
        <v>1100802</v>
      </c>
      <c r="B2259" s="1">
        <v>45231</v>
      </c>
      <c r="C2259" t="s">
        <v>306</v>
      </c>
      <c r="D2259">
        <v>207.2</v>
      </c>
      <c r="E2259">
        <v>608.16</v>
      </c>
      <c r="F2259" t="str">
        <f t="shared" si="70"/>
        <v>novembro</v>
      </c>
      <c r="G2259">
        <f t="shared" si="71"/>
        <v>2023</v>
      </c>
    </row>
    <row r="2260" spans="1:7" x14ac:dyDescent="0.25">
      <c r="A2260">
        <v>1100900</v>
      </c>
      <c r="B2260" s="1">
        <v>45231</v>
      </c>
      <c r="C2260" t="s">
        <v>94</v>
      </c>
      <c r="D2260">
        <v>1025.8499999999999</v>
      </c>
      <c r="E2260">
        <v>5283.91</v>
      </c>
      <c r="F2260" t="str">
        <f t="shared" si="70"/>
        <v>novembro</v>
      </c>
      <c r="G2260">
        <f t="shared" si="71"/>
        <v>2023</v>
      </c>
    </row>
    <row r="2261" spans="1:7" x14ac:dyDescent="0.25">
      <c r="A2261">
        <v>1101000</v>
      </c>
      <c r="B2261" s="1">
        <v>45231</v>
      </c>
      <c r="C2261" t="s">
        <v>96</v>
      </c>
      <c r="D2261">
        <v>10761.76</v>
      </c>
      <c r="E2261">
        <v>37743.58</v>
      </c>
      <c r="F2261" t="str">
        <f t="shared" si="70"/>
        <v>novembro</v>
      </c>
      <c r="G2261">
        <f t="shared" si="71"/>
        <v>2023</v>
      </c>
    </row>
    <row r="2262" spans="1:7" x14ac:dyDescent="0.25">
      <c r="A2262">
        <v>1101001</v>
      </c>
      <c r="B2262" s="1">
        <v>45231</v>
      </c>
      <c r="C2262" t="s">
        <v>98</v>
      </c>
      <c r="D2262">
        <v>143.5</v>
      </c>
      <c r="E2262">
        <v>584.38</v>
      </c>
      <c r="F2262" t="str">
        <f t="shared" si="70"/>
        <v>novembro</v>
      </c>
      <c r="G2262">
        <f t="shared" si="71"/>
        <v>2023</v>
      </c>
    </row>
    <row r="2263" spans="1:7" x14ac:dyDescent="0.25">
      <c r="A2263">
        <v>1101002</v>
      </c>
      <c r="B2263" s="1">
        <v>45231</v>
      </c>
      <c r="C2263" t="s">
        <v>687</v>
      </c>
      <c r="D2263">
        <v>1211.3</v>
      </c>
      <c r="E2263">
        <v>5571.98</v>
      </c>
      <c r="F2263" t="str">
        <f t="shared" si="70"/>
        <v>novembro</v>
      </c>
      <c r="G2263">
        <f t="shared" si="71"/>
        <v>2023</v>
      </c>
    </row>
    <row r="2264" spans="1:7" x14ac:dyDescent="0.25">
      <c r="A2264">
        <v>1101003</v>
      </c>
      <c r="B2264" s="1">
        <v>45231</v>
      </c>
      <c r="C2264" t="s">
        <v>779</v>
      </c>
      <c r="D2264">
        <v>410</v>
      </c>
      <c r="E2264">
        <v>1517</v>
      </c>
      <c r="F2264" t="str">
        <f t="shared" si="70"/>
        <v>novembro</v>
      </c>
      <c r="G2264">
        <f t="shared" si="71"/>
        <v>2023</v>
      </c>
    </row>
    <row r="2265" spans="1:7" x14ac:dyDescent="0.25">
      <c r="A2265">
        <v>1101100</v>
      </c>
      <c r="B2265" s="1">
        <v>45231</v>
      </c>
      <c r="C2265" t="s">
        <v>100</v>
      </c>
      <c r="D2265">
        <v>48260.57</v>
      </c>
      <c r="E2265">
        <v>148320.24</v>
      </c>
      <c r="F2265" t="str">
        <f t="shared" si="70"/>
        <v>novembro</v>
      </c>
      <c r="G2265">
        <f t="shared" si="71"/>
        <v>2023</v>
      </c>
    </row>
    <row r="2266" spans="1:7" x14ac:dyDescent="0.25">
      <c r="A2266">
        <v>1101102</v>
      </c>
      <c r="B2266" s="1">
        <v>45231</v>
      </c>
      <c r="C2266" t="s">
        <v>742</v>
      </c>
      <c r="D2266">
        <v>93.8</v>
      </c>
      <c r="E2266">
        <v>318.92</v>
      </c>
      <c r="F2266" t="str">
        <f t="shared" si="70"/>
        <v>novembro</v>
      </c>
      <c r="G2266">
        <f t="shared" si="71"/>
        <v>2023</v>
      </c>
    </row>
    <row r="2267" spans="1:7" x14ac:dyDescent="0.25">
      <c r="A2267">
        <v>1101103</v>
      </c>
      <c r="B2267" s="1">
        <v>45231</v>
      </c>
      <c r="C2267" t="s">
        <v>350</v>
      </c>
      <c r="D2267">
        <v>17.3</v>
      </c>
      <c r="E2267">
        <v>60.55</v>
      </c>
      <c r="F2267" t="str">
        <f t="shared" si="70"/>
        <v>novembro</v>
      </c>
      <c r="G2267">
        <f t="shared" si="71"/>
        <v>2023</v>
      </c>
    </row>
    <row r="2268" spans="1:7" x14ac:dyDescent="0.25">
      <c r="A2268">
        <v>1101105</v>
      </c>
      <c r="B2268" s="1">
        <v>45231</v>
      </c>
      <c r="C2268" t="s">
        <v>542</v>
      </c>
      <c r="D2268">
        <v>42.59</v>
      </c>
      <c r="E2268">
        <v>178.88</v>
      </c>
      <c r="F2268" t="str">
        <f t="shared" si="70"/>
        <v>novembro</v>
      </c>
      <c r="G2268">
        <f t="shared" si="71"/>
        <v>2023</v>
      </c>
    </row>
    <row r="2269" spans="1:7" x14ac:dyDescent="0.25">
      <c r="A2269">
        <v>1101106</v>
      </c>
      <c r="B2269" s="1">
        <v>45231</v>
      </c>
      <c r="C2269" t="s">
        <v>780</v>
      </c>
      <c r="D2269">
        <v>17710.64</v>
      </c>
      <c r="E2269">
        <v>48748.83</v>
      </c>
      <c r="F2269" t="str">
        <f t="shared" si="70"/>
        <v>novembro</v>
      </c>
      <c r="G2269">
        <f t="shared" si="71"/>
        <v>2023</v>
      </c>
    </row>
    <row r="2270" spans="1:7" x14ac:dyDescent="0.25">
      <c r="A2270">
        <v>1101108</v>
      </c>
      <c r="B2270" s="1">
        <v>45231</v>
      </c>
      <c r="C2270" t="s">
        <v>743</v>
      </c>
      <c r="D2270">
        <v>41.92</v>
      </c>
      <c r="E2270">
        <v>152.29</v>
      </c>
      <c r="F2270" t="str">
        <f t="shared" si="70"/>
        <v>novembro</v>
      </c>
      <c r="G2270">
        <f t="shared" si="71"/>
        <v>2023</v>
      </c>
    </row>
    <row r="2271" spans="1:7" x14ac:dyDescent="0.25">
      <c r="A2271">
        <v>1101300</v>
      </c>
      <c r="B2271" s="1">
        <v>45231</v>
      </c>
      <c r="C2271" t="s">
        <v>102</v>
      </c>
      <c r="D2271">
        <v>284.3</v>
      </c>
      <c r="E2271">
        <v>1100.2</v>
      </c>
      <c r="F2271" t="str">
        <f t="shared" si="70"/>
        <v>novembro</v>
      </c>
      <c r="G2271">
        <f t="shared" si="71"/>
        <v>2023</v>
      </c>
    </row>
    <row r="2272" spans="1:7" x14ac:dyDescent="0.25">
      <c r="A2272">
        <v>1101400</v>
      </c>
      <c r="B2272" s="1">
        <v>45231</v>
      </c>
      <c r="C2272" t="s">
        <v>104</v>
      </c>
      <c r="D2272">
        <v>24397.02</v>
      </c>
      <c r="E2272">
        <v>61479.08</v>
      </c>
      <c r="F2272" t="str">
        <f t="shared" si="70"/>
        <v>novembro</v>
      </c>
      <c r="G2272">
        <f t="shared" si="71"/>
        <v>2023</v>
      </c>
    </row>
    <row r="2273" spans="1:7" x14ac:dyDescent="0.25">
      <c r="A2273">
        <v>1101500</v>
      </c>
      <c r="B2273" s="1">
        <v>45231</v>
      </c>
      <c r="C2273" t="s">
        <v>106</v>
      </c>
      <c r="D2273">
        <v>960.38</v>
      </c>
      <c r="E2273">
        <v>2570.4899999999998</v>
      </c>
      <c r="F2273" t="str">
        <f t="shared" si="70"/>
        <v>novembro</v>
      </c>
      <c r="G2273">
        <f t="shared" si="71"/>
        <v>2023</v>
      </c>
    </row>
    <row r="2274" spans="1:7" x14ac:dyDescent="0.25">
      <c r="A2274">
        <v>1101600</v>
      </c>
      <c r="B2274" s="1">
        <v>45231</v>
      </c>
      <c r="C2274" t="s">
        <v>108</v>
      </c>
      <c r="D2274">
        <v>228.5</v>
      </c>
      <c r="E2274">
        <v>622.63</v>
      </c>
      <c r="F2274" t="str">
        <f t="shared" si="70"/>
        <v>novembro</v>
      </c>
      <c r="G2274">
        <f t="shared" si="71"/>
        <v>2023</v>
      </c>
    </row>
    <row r="2275" spans="1:7" x14ac:dyDescent="0.25">
      <c r="A2275">
        <v>1101700</v>
      </c>
      <c r="B2275" s="1">
        <v>45231</v>
      </c>
      <c r="C2275" t="s">
        <v>110</v>
      </c>
      <c r="D2275">
        <v>1609.9</v>
      </c>
      <c r="E2275">
        <v>4014.92</v>
      </c>
      <c r="F2275" t="str">
        <f t="shared" si="70"/>
        <v>novembro</v>
      </c>
      <c r="G2275">
        <f t="shared" si="71"/>
        <v>2023</v>
      </c>
    </row>
    <row r="2276" spans="1:7" x14ac:dyDescent="0.25">
      <c r="A2276">
        <v>1101801</v>
      </c>
      <c r="B2276" s="1">
        <v>45231</v>
      </c>
      <c r="C2276" t="s">
        <v>112</v>
      </c>
      <c r="D2276">
        <v>2950.6</v>
      </c>
      <c r="E2276">
        <v>7064.88</v>
      </c>
      <c r="F2276" t="str">
        <f t="shared" si="70"/>
        <v>novembro</v>
      </c>
      <c r="G2276">
        <f t="shared" si="71"/>
        <v>2023</v>
      </c>
    </row>
    <row r="2277" spans="1:7" x14ac:dyDescent="0.25">
      <c r="A2277">
        <v>1101900</v>
      </c>
      <c r="B2277" s="1">
        <v>45231</v>
      </c>
      <c r="C2277" t="s">
        <v>114</v>
      </c>
      <c r="D2277">
        <v>3187.35</v>
      </c>
      <c r="E2277">
        <v>10743</v>
      </c>
      <c r="F2277" t="str">
        <f t="shared" si="70"/>
        <v>novembro</v>
      </c>
      <c r="G2277">
        <f t="shared" si="71"/>
        <v>2023</v>
      </c>
    </row>
    <row r="2278" spans="1:7" x14ac:dyDescent="0.25">
      <c r="A2278">
        <v>1101901</v>
      </c>
      <c r="B2278" s="1">
        <v>45231</v>
      </c>
      <c r="C2278" t="s">
        <v>448</v>
      </c>
      <c r="D2278">
        <v>6812.7</v>
      </c>
      <c r="E2278">
        <v>25089.5</v>
      </c>
      <c r="F2278" t="str">
        <f t="shared" si="70"/>
        <v>novembro</v>
      </c>
      <c r="G2278">
        <f t="shared" si="71"/>
        <v>2023</v>
      </c>
    </row>
    <row r="2279" spans="1:7" x14ac:dyDescent="0.25">
      <c r="A2279">
        <v>1101902</v>
      </c>
      <c r="B2279" s="1">
        <v>45231</v>
      </c>
      <c r="C2279" t="s">
        <v>351</v>
      </c>
      <c r="D2279">
        <v>1095.79</v>
      </c>
      <c r="E2279">
        <v>4633.8999999999996</v>
      </c>
      <c r="F2279" t="str">
        <f t="shared" si="70"/>
        <v>novembro</v>
      </c>
      <c r="G2279">
        <f t="shared" si="71"/>
        <v>2023</v>
      </c>
    </row>
    <row r="2280" spans="1:7" x14ac:dyDescent="0.25">
      <c r="A2280">
        <v>1101903</v>
      </c>
      <c r="B2280" s="1">
        <v>45231</v>
      </c>
      <c r="C2280" t="s">
        <v>745</v>
      </c>
      <c r="D2280">
        <v>159.76</v>
      </c>
      <c r="E2280">
        <v>671</v>
      </c>
      <c r="F2280" t="str">
        <f t="shared" si="70"/>
        <v>novembro</v>
      </c>
      <c r="G2280">
        <f t="shared" si="71"/>
        <v>2023</v>
      </c>
    </row>
    <row r="2281" spans="1:7" x14ac:dyDescent="0.25">
      <c r="A2281">
        <v>1101904</v>
      </c>
      <c r="B2281" s="1">
        <v>45231</v>
      </c>
      <c r="C2281" t="s">
        <v>765</v>
      </c>
      <c r="D2281">
        <v>993.9</v>
      </c>
      <c r="E2281">
        <v>4241.96</v>
      </c>
      <c r="F2281" t="str">
        <f t="shared" si="70"/>
        <v>novembro</v>
      </c>
      <c r="G2281">
        <f t="shared" si="71"/>
        <v>2023</v>
      </c>
    </row>
    <row r="2282" spans="1:7" x14ac:dyDescent="0.25">
      <c r="A2282">
        <v>1101907</v>
      </c>
      <c r="B2282" s="1">
        <v>45231</v>
      </c>
      <c r="C2282" t="s">
        <v>781</v>
      </c>
      <c r="D2282">
        <v>811</v>
      </c>
      <c r="E2282">
        <v>3081.8</v>
      </c>
      <c r="F2282" t="str">
        <f t="shared" si="70"/>
        <v>novembro</v>
      </c>
      <c r="G2282">
        <f t="shared" si="71"/>
        <v>2023</v>
      </c>
    </row>
    <row r="2283" spans="1:7" x14ac:dyDescent="0.25">
      <c r="A2283">
        <v>1102000</v>
      </c>
      <c r="B2283" s="1">
        <v>45231</v>
      </c>
      <c r="C2283" t="s">
        <v>115</v>
      </c>
      <c r="D2283">
        <v>138.1</v>
      </c>
      <c r="E2283">
        <v>580.48</v>
      </c>
      <c r="F2283" t="str">
        <f t="shared" si="70"/>
        <v>novembro</v>
      </c>
      <c r="G2283">
        <f t="shared" si="71"/>
        <v>2023</v>
      </c>
    </row>
    <row r="2284" spans="1:7" x14ac:dyDescent="0.25">
      <c r="A2284">
        <v>1102100</v>
      </c>
      <c r="B2284" s="1">
        <v>45231</v>
      </c>
      <c r="C2284" t="s">
        <v>688</v>
      </c>
      <c r="D2284">
        <v>24.1</v>
      </c>
      <c r="E2284">
        <v>74.23</v>
      </c>
      <c r="F2284" t="str">
        <f t="shared" si="70"/>
        <v>novembro</v>
      </c>
      <c r="G2284">
        <f t="shared" si="71"/>
        <v>2023</v>
      </c>
    </row>
    <row r="2285" spans="1:7" x14ac:dyDescent="0.25">
      <c r="A2285">
        <v>1102200</v>
      </c>
      <c r="B2285" s="1">
        <v>45231</v>
      </c>
      <c r="C2285" t="s">
        <v>117</v>
      </c>
      <c r="D2285">
        <v>169.5</v>
      </c>
      <c r="E2285">
        <v>608.51</v>
      </c>
      <c r="F2285" t="str">
        <f t="shared" si="70"/>
        <v>novembro</v>
      </c>
      <c r="G2285">
        <f t="shared" si="71"/>
        <v>2023</v>
      </c>
    </row>
    <row r="2286" spans="1:7" x14ac:dyDescent="0.25">
      <c r="A2286">
        <v>1102300</v>
      </c>
      <c r="B2286" s="1">
        <v>45231</v>
      </c>
      <c r="C2286" t="s">
        <v>119</v>
      </c>
      <c r="D2286">
        <v>3414.2</v>
      </c>
      <c r="E2286">
        <v>9769.0499999999993</v>
      </c>
      <c r="F2286" t="str">
        <f t="shared" si="70"/>
        <v>novembro</v>
      </c>
      <c r="G2286">
        <f t="shared" si="71"/>
        <v>2023</v>
      </c>
    </row>
    <row r="2287" spans="1:7" x14ac:dyDescent="0.25">
      <c r="A2287">
        <v>1103000</v>
      </c>
      <c r="B2287" s="1">
        <v>45231</v>
      </c>
      <c r="C2287" t="s">
        <v>121</v>
      </c>
      <c r="D2287">
        <v>42</v>
      </c>
      <c r="E2287">
        <v>87.02</v>
      </c>
      <c r="F2287" t="str">
        <f t="shared" si="70"/>
        <v>novembro</v>
      </c>
      <c r="G2287">
        <f t="shared" si="71"/>
        <v>2023</v>
      </c>
    </row>
    <row r="2288" spans="1:7" x14ac:dyDescent="0.25">
      <c r="A2288">
        <v>1103001</v>
      </c>
      <c r="B2288" s="1">
        <v>45231</v>
      </c>
      <c r="C2288" t="s">
        <v>123</v>
      </c>
      <c r="D2288">
        <v>620.32000000000005</v>
      </c>
      <c r="E2288">
        <v>1239.8599999999999</v>
      </c>
      <c r="F2288" t="str">
        <f t="shared" si="70"/>
        <v>novembro</v>
      </c>
      <c r="G2288">
        <f t="shared" si="71"/>
        <v>2023</v>
      </c>
    </row>
    <row r="2289" spans="1:7" x14ac:dyDescent="0.25">
      <c r="A2289">
        <v>2010904</v>
      </c>
      <c r="B2289" s="1">
        <v>45231</v>
      </c>
      <c r="C2289" t="s">
        <v>633</v>
      </c>
      <c r="D2289">
        <v>5492.5</v>
      </c>
      <c r="E2289">
        <v>4360</v>
      </c>
      <c r="F2289" t="str">
        <f t="shared" si="70"/>
        <v>novembro</v>
      </c>
      <c r="G2289">
        <f t="shared" si="71"/>
        <v>2023</v>
      </c>
    </row>
    <row r="2290" spans="1:7" x14ac:dyDescent="0.25">
      <c r="A2290">
        <v>2010905</v>
      </c>
      <c r="B2290" s="1">
        <v>45231</v>
      </c>
      <c r="C2290" t="s">
        <v>544</v>
      </c>
      <c r="D2290">
        <v>645</v>
      </c>
      <c r="E2290">
        <v>513.5</v>
      </c>
      <c r="F2290" t="str">
        <f t="shared" si="70"/>
        <v>novembro</v>
      </c>
      <c r="G2290">
        <f t="shared" si="71"/>
        <v>2023</v>
      </c>
    </row>
    <row r="2291" spans="1:7" x14ac:dyDescent="0.25">
      <c r="A2291">
        <v>2011700</v>
      </c>
      <c r="B2291" s="1">
        <v>45231</v>
      </c>
      <c r="C2291" t="s">
        <v>129</v>
      </c>
      <c r="D2291">
        <v>189.3</v>
      </c>
      <c r="E2291">
        <v>518.57000000000005</v>
      </c>
      <c r="F2291" t="str">
        <f t="shared" si="70"/>
        <v>novembro</v>
      </c>
      <c r="G2291">
        <f t="shared" si="71"/>
        <v>2023</v>
      </c>
    </row>
    <row r="2292" spans="1:7" x14ac:dyDescent="0.25">
      <c r="A2292">
        <v>2090002</v>
      </c>
      <c r="B2292" s="1">
        <v>45231</v>
      </c>
      <c r="C2292" t="s">
        <v>451</v>
      </c>
      <c r="D2292">
        <v>166.43</v>
      </c>
      <c r="E2292">
        <v>862.07</v>
      </c>
      <c r="F2292" t="str">
        <f t="shared" si="70"/>
        <v>novembro</v>
      </c>
      <c r="G2292">
        <f t="shared" si="71"/>
        <v>2023</v>
      </c>
    </row>
    <row r="2293" spans="1:7" x14ac:dyDescent="0.25">
      <c r="A2293">
        <v>3020103</v>
      </c>
      <c r="B2293" s="1">
        <v>45231</v>
      </c>
      <c r="C2293" t="s">
        <v>131</v>
      </c>
      <c r="D2293">
        <v>6656.39</v>
      </c>
      <c r="E2293">
        <v>21964.35</v>
      </c>
      <c r="F2293" t="str">
        <f t="shared" si="70"/>
        <v>novembro</v>
      </c>
      <c r="G2293">
        <f t="shared" si="71"/>
        <v>2023</v>
      </c>
    </row>
    <row r="2294" spans="1:7" x14ac:dyDescent="0.25">
      <c r="A2294">
        <v>3020212</v>
      </c>
      <c r="B2294" s="1">
        <v>45231</v>
      </c>
      <c r="C2294" t="s">
        <v>133</v>
      </c>
      <c r="D2294">
        <v>1444.91</v>
      </c>
      <c r="E2294">
        <v>5358.86</v>
      </c>
      <c r="F2294" t="str">
        <f t="shared" si="70"/>
        <v>novembro</v>
      </c>
      <c r="G2294">
        <f t="shared" si="71"/>
        <v>2023</v>
      </c>
    </row>
    <row r="2295" spans="1:7" x14ac:dyDescent="0.25">
      <c r="A2295">
        <v>3020214</v>
      </c>
      <c r="B2295" s="1">
        <v>45231</v>
      </c>
      <c r="C2295" t="s">
        <v>135</v>
      </c>
      <c r="D2295">
        <v>404.21</v>
      </c>
      <c r="E2295">
        <v>1437.89</v>
      </c>
      <c r="F2295" t="str">
        <f t="shared" si="70"/>
        <v>novembro</v>
      </c>
      <c r="G2295">
        <f t="shared" si="71"/>
        <v>2023</v>
      </c>
    </row>
    <row r="2296" spans="1:7" x14ac:dyDescent="0.25">
      <c r="A2296">
        <v>3020315</v>
      </c>
      <c r="B2296" s="1">
        <v>45231</v>
      </c>
      <c r="C2296" t="s">
        <v>137</v>
      </c>
      <c r="D2296">
        <v>2092.8000000000002</v>
      </c>
      <c r="E2296">
        <v>7409.46</v>
      </c>
      <c r="F2296" t="str">
        <f t="shared" si="70"/>
        <v>novembro</v>
      </c>
      <c r="G2296">
        <f t="shared" si="71"/>
        <v>2023</v>
      </c>
    </row>
    <row r="2297" spans="1:7" x14ac:dyDescent="0.25">
      <c r="A2297">
        <v>3020316</v>
      </c>
      <c r="B2297" s="1">
        <v>45231</v>
      </c>
      <c r="C2297" t="s">
        <v>139</v>
      </c>
      <c r="D2297">
        <v>170.77</v>
      </c>
      <c r="E2297">
        <v>543.04</v>
      </c>
      <c r="F2297" t="str">
        <f t="shared" si="70"/>
        <v>novembro</v>
      </c>
      <c r="G2297">
        <f t="shared" si="71"/>
        <v>2023</v>
      </c>
    </row>
    <row r="2298" spans="1:7" x14ac:dyDescent="0.25">
      <c r="A2298">
        <v>3020402</v>
      </c>
      <c r="B2298" s="1">
        <v>45231</v>
      </c>
      <c r="C2298" t="s">
        <v>141</v>
      </c>
      <c r="D2298">
        <v>2513.87</v>
      </c>
      <c r="E2298">
        <v>8962.7199999999993</v>
      </c>
      <c r="F2298" t="str">
        <f t="shared" si="70"/>
        <v>novembro</v>
      </c>
      <c r="G2298">
        <f t="shared" si="71"/>
        <v>2023</v>
      </c>
    </row>
    <row r="2299" spans="1:7" x14ac:dyDescent="0.25">
      <c r="A2299">
        <v>3020504</v>
      </c>
      <c r="B2299" s="1">
        <v>45231</v>
      </c>
      <c r="C2299" t="s">
        <v>143</v>
      </c>
      <c r="D2299">
        <v>457.09</v>
      </c>
      <c r="E2299">
        <v>1715.68</v>
      </c>
      <c r="F2299" t="str">
        <f t="shared" si="70"/>
        <v>novembro</v>
      </c>
      <c r="G2299">
        <f t="shared" si="71"/>
        <v>2023</v>
      </c>
    </row>
    <row r="2300" spans="1:7" x14ac:dyDescent="0.25">
      <c r="A2300">
        <v>3020622</v>
      </c>
      <c r="B2300" s="1">
        <v>45231</v>
      </c>
      <c r="C2300" t="s">
        <v>145</v>
      </c>
      <c r="D2300">
        <v>5481.45</v>
      </c>
      <c r="E2300">
        <v>20278.87</v>
      </c>
      <c r="F2300" t="str">
        <f t="shared" si="70"/>
        <v>novembro</v>
      </c>
      <c r="G2300">
        <f t="shared" si="71"/>
        <v>2023</v>
      </c>
    </row>
    <row r="2301" spans="1:7" x14ac:dyDescent="0.25">
      <c r="A2301">
        <v>3020623</v>
      </c>
      <c r="B2301" s="1">
        <v>45231</v>
      </c>
      <c r="C2301" t="s">
        <v>147</v>
      </c>
      <c r="D2301">
        <v>784.77</v>
      </c>
      <c r="E2301">
        <v>3029.23</v>
      </c>
      <c r="F2301" t="str">
        <f t="shared" si="70"/>
        <v>novembro</v>
      </c>
      <c r="G2301">
        <f t="shared" si="71"/>
        <v>2023</v>
      </c>
    </row>
    <row r="2302" spans="1:7" x14ac:dyDescent="0.25">
      <c r="A2302">
        <v>3020725</v>
      </c>
      <c r="B2302" s="1">
        <v>45231</v>
      </c>
      <c r="C2302" t="s">
        <v>149</v>
      </c>
      <c r="D2302">
        <v>567.17999999999995</v>
      </c>
      <c r="E2302">
        <v>2135.2800000000002</v>
      </c>
      <c r="F2302" t="str">
        <f t="shared" si="70"/>
        <v>novembro</v>
      </c>
      <c r="G2302">
        <f t="shared" si="71"/>
        <v>2023</v>
      </c>
    </row>
    <row r="2303" spans="1:7" x14ac:dyDescent="0.25">
      <c r="A2303">
        <v>3020823</v>
      </c>
      <c r="B2303" s="1">
        <v>45231</v>
      </c>
      <c r="C2303" t="s">
        <v>151</v>
      </c>
      <c r="D2303">
        <v>1734.43</v>
      </c>
      <c r="E2303">
        <v>6535.96</v>
      </c>
      <c r="F2303" t="str">
        <f t="shared" si="70"/>
        <v>novembro</v>
      </c>
      <c r="G2303">
        <f t="shared" si="71"/>
        <v>2023</v>
      </c>
    </row>
    <row r="2304" spans="1:7" x14ac:dyDescent="0.25">
      <c r="A2304">
        <v>3020824</v>
      </c>
      <c r="B2304" s="1">
        <v>45231</v>
      </c>
      <c r="C2304" t="s">
        <v>153</v>
      </c>
      <c r="D2304">
        <v>2051.7199999999998</v>
      </c>
      <c r="E2304">
        <v>7175.1</v>
      </c>
      <c r="F2304" t="str">
        <f t="shared" si="70"/>
        <v>novembro</v>
      </c>
      <c r="G2304">
        <f t="shared" si="71"/>
        <v>2023</v>
      </c>
    </row>
    <row r="2305" spans="1:7" x14ac:dyDescent="0.25">
      <c r="A2305">
        <v>3020825</v>
      </c>
      <c r="B2305" s="1">
        <v>45231</v>
      </c>
      <c r="C2305" t="s">
        <v>455</v>
      </c>
      <c r="D2305">
        <v>698.43</v>
      </c>
      <c r="E2305">
        <v>2863.6</v>
      </c>
      <c r="F2305" t="str">
        <f t="shared" si="70"/>
        <v>novembro</v>
      </c>
      <c r="G2305">
        <f t="shared" si="71"/>
        <v>2023</v>
      </c>
    </row>
    <row r="2306" spans="1:7" x14ac:dyDescent="0.25">
      <c r="A2306">
        <v>3020924</v>
      </c>
      <c r="B2306" s="1">
        <v>45231</v>
      </c>
      <c r="C2306" t="s">
        <v>155</v>
      </c>
      <c r="D2306">
        <v>1461.52</v>
      </c>
      <c r="E2306">
        <v>5612.8</v>
      </c>
      <c r="F2306" t="str">
        <f t="shared" si="70"/>
        <v>novembro</v>
      </c>
      <c r="G2306">
        <f t="shared" si="71"/>
        <v>2023</v>
      </c>
    </row>
    <row r="2307" spans="1:7" x14ac:dyDescent="0.25">
      <c r="A2307">
        <v>3020925</v>
      </c>
      <c r="B2307" s="1">
        <v>45231</v>
      </c>
      <c r="C2307" t="s">
        <v>157</v>
      </c>
      <c r="D2307">
        <v>1336.1</v>
      </c>
      <c r="E2307">
        <v>5034.7299999999996</v>
      </c>
      <c r="F2307" t="str">
        <f t="shared" ref="F2307:F2370" si="72">TEXT(B2307,"mmmm")</f>
        <v>novembro</v>
      </c>
      <c r="G2307">
        <f t="shared" ref="G2307:G2370" si="73">YEAR(B2307)</f>
        <v>2023</v>
      </c>
    </row>
    <row r="2308" spans="1:7" x14ac:dyDescent="0.25">
      <c r="A2308">
        <v>3021436</v>
      </c>
      <c r="B2308" s="1">
        <v>45231</v>
      </c>
      <c r="C2308" t="s">
        <v>546</v>
      </c>
      <c r="D2308">
        <v>371.52</v>
      </c>
      <c r="E2308">
        <v>1207.98</v>
      </c>
      <c r="F2308" t="str">
        <f t="shared" si="72"/>
        <v>novembro</v>
      </c>
      <c r="G2308">
        <f t="shared" si="73"/>
        <v>2023</v>
      </c>
    </row>
    <row r="2309" spans="1:7" x14ac:dyDescent="0.25">
      <c r="A2309">
        <v>3021538</v>
      </c>
      <c r="B2309" s="1">
        <v>45231</v>
      </c>
      <c r="C2309" t="s">
        <v>548</v>
      </c>
      <c r="D2309">
        <v>52.36</v>
      </c>
      <c r="E2309">
        <v>156.33000000000001</v>
      </c>
      <c r="F2309" t="str">
        <f t="shared" si="72"/>
        <v>novembro</v>
      </c>
      <c r="G2309">
        <f t="shared" si="73"/>
        <v>2023</v>
      </c>
    </row>
    <row r="2310" spans="1:7" x14ac:dyDescent="0.25">
      <c r="A2310">
        <v>3021639</v>
      </c>
      <c r="B2310" s="1">
        <v>45231</v>
      </c>
      <c r="C2310" t="s">
        <v>457</v>
      </c>
      <c r="D2310">
        <v>22.4</v>
      </c>
      <c r="E2310">
        <v>69.44</v>
      </c>
      <c r="F2310" t="str">
        <f t="shared" si="72"/>
        <v>novembro</v>
      </c>
      <c r="G2310">
        <f t="shared" si="73"/>
        <v>2023</v>
      </c>
    </row>
    <row r="2311" spans="1:7" x14ac:dyDescent="0.25">
      <c r="A2311">
        <v>3021739</v>
      </c>
      <c r="B2311" s="1">
        <v>45231</v>
      </c>
      <c r="C2311" t="s">
        <v>165</v>
      </c>
      <c r="D2311">
        <v>-2.88</v>
      </c>
      <c r="E2311">
        <v>-8.06</v>
      </c>
      <c r="F2311" t="str">
        <f t="shared" si="72"/>
        <v>novembro</v>
      </c>
      <c r="G2311">
        <f t="shared" si="73"/>
        <v>2023</v>
      </c>
    </row>
    <row r="2312" spans="1:7" x14ac:dyDescent="0.25">
      <c r="A2312">
        <v>3021740</v>
      </c>
      <c r="B2312" s="1">
        <v>45231</v>
      </c>
      <c r="C2312" t="s">
        <v>459</v>
      </c>
      <c r="D2312">
        <v>940.94</v>
      </c>
      <c r="E2312">
        <v>2359.9699999999998</v>
      </c>
      <c r="F2312" t="str">
        <f t="shared" si="72"/>
        <v>novembro</v>
      </c>
      <c r="G2312">
        <f t="shared" si="73"/>
        <v>2023</v>
      </c>
    </row>
    <row r="2313" spans="1:7" x14ac:dyDescent="0.25">
      <c r="A2313">
        <v>3021760</v>
      </c>
      <c r="B2313" s="1">
        <v>45231</v>
      </c>
      <c r="C2313" t="s">
        <v>167</v>
      </c>
      <c r="D2313">
        <v>2288.1</v>
      </c>
      <c r="E2313">
        <v>4997.71</v>
      </c>
      <c r="F2313" t="str">
        <f t="shared" si="72"/>
        <v>novembro</v>
      </c>
      <c r="G2313">
        <f t="shared" si="73"/>
        <v>2023</v>
      </c>
    </row>
    <row r="2314" spans="1:7" x14ac:dyDescent="0.25">
      <c r="A2314">
        <v>3021811</v>
      </c>
      <c r="B2314" s="1">
        <v>45231</v>
      </c>
      <c r="C2314" t="s">
        <v>169</v>
      </c>
      <c r="D2314">
        <v>829.21</v>
      </c>
      <c r="E2314">
        <v>1813.64</v>
      </c>
      <c r="F2314" t="str">
        <f t="shared" si="72"/>
        <v>novembro</v>
      </c>
      <c r="G2314">
        <f t="shared" si="73"/>
        <v>2023</v>
      </c>
    </row>
    <row r="2315" spans="1:7" x14ac:dyDescent="0.25">
      <c r="A2315">
        <v>3021812</v>
      </c>
      <c r="B2315" s="1">
        <v>45231</v>
      </c>
      <c r="C2315" t="s">
        <v>171</v>
      </c>
      <c r="D2315">
        <v>1849.1</v>
      </c>
      <c r="E2315">
        <v>3776.26</v>
      </c>
      <c r="F2315" t="str">
        <f t="shared" si="72"/>
        <v>novembro</v>
      </c>
      <c r="G2315">
        <f t="shared" si="73"/>
        <v>2023</v>
      </c>
    </row>
    <row r="2316" spans="1:7" x14ac:dyDescent="0.25">
      <c r="A2316">
        <v>3022100</v>
      </c>
      <c r="B2316" s="1">
        <v>45231</v>
      </c>
      <c r="C2316" t="s">
        <v>173</v>
      </c>
      <c r="D2316">
        <v>55.37</v>
      </c>
      <c r="E2316">
        <v>219.35</v>
      </c>
      <c r="F2316" t="str">
        <f t="shared" si="72"/>
        <v>novembro</v>
      </c>
      <c r="G2316">
        <f t="shared" si="73"/>
        <v>2023</v>
      </c>
    </row>
    <row r="2317" spans="1:7" x14ac:dyDescent="0.25">
      <c r="A2317">
        <v>3022208</v>
      </c>
      <c r="B2317" s="1">
        <v>45231</v>
      </c>
      <c r="C2317" t="s">
        <v>307</v>
      </c>
      <c r="D2317">
        <v>113.8</v>
      </c>
      <c r="E2317">
        <v>437.13</v>
      </c>
      <c r="F2317" t="str">
        <f t="shared" si="72"/>
        <v>novembro</v>
      </c>
      <c r="G2317">
        <f t="shared" si="73"/>
        <v>2023</v>
      </c>
    </row>
    <row r="2318" spans="1:7" x14ac:dyDescent="0.25">
      <c r="A2318">
        <v>3022311</v>
      </c>
      <c r="B2318" s="1">
        <v>45231</v>
      </c>
      <c r="C2318" t="s">
        <v>176</v>
      </c>
      <c r="D2318">
        <v>1886.32</v>
      </c>
      <c r="E2318">
        <v>4497.6899999999996</v>
      </c>
      <c r="F2318" t="str">
        <f t="shared" si="72"/>
        <v>novembro</v>
      </c>
      <c r="G2318">
        <f t="shared" si="73"/>
        <v>2023</v>
      </c>
    </row>
    <row r="2319" spans="1:7" x14ac:dyDescent="0.25">
      <c r="A2319">
        <v>3022411</v>
      </c>
      <c r="B2319" s="1">
        <v>45231</v>
      </c>
      <c r="C2319" t="s">
        <v>178</v>
      </c>
      <c r="D2319">
        <v>46.2</v>
      </c>
      <c r="E2319">
        <v>130.86000000000001</v>
      </c>
      <c r="F2319" t="str">
        <f t="shared" si="72"/>
        <v>novembro</v>
      </c>
      <c r="G2319">
        <f t="shared" si="73"/>
        <v>2023</v>
      </c>
    </row>
    <row r="2320" spans="1:7" x14ac:dyDescent="0.25">
      <c r="A2320">
        <v>3022511</v>
      </c>
      <c r="B2320" s="1">
        <v>45231</v>
      </c>
      <c r="C2320" t="s">
        <v>180</v>
      </c>
      <c r="D2320">
        <v>4.4000000000000004</v>
      </c>
      <c r="E2320">
        <v>10.79</v>
      </c>
      <c r="F2320" t="str">
        <f t="shared" si="72"/>
        <v>novembro</v>
      </c>
      <c r="G2320">
        <f t="shared" si="73"/>
        <v>2023</v>
      </c>
    </row>
    <row r="2321" spans="1:7" x14ac:dyDescent="0.25">
      <c r="A2321">
        <v>3022601</v>
      </c>
      <c r="B2321" s="1">
        <v>45231</v>
      </c>
      <c r="C2321" t="s">
        <v>182</v>
      </c>
      <c r="D2321">
        <v>455.25</v>
      </c>
      <c r="E2321">
        <v>1826.27</v>
      </c>
      <c r="F2321" t="str">
        <f t="shared" si="72"/>
        <v>novembro</v>
      </c>
      <c r="G2321">
        <f t="shared" si="73"/>
        <v>2023</v>
      </c>
    </row>
    <row r="2322" spans="1:7" x14ac:dyDescent="0.25">
      <c r="A2322">
        <v>3022703</v>
      </c>
      <c r="B2322" s="1">
        <v>45231</v>
      </c>
      <c r="C2322" t="s">
        <v>309</v>
      </c>
      <c r="D2322">
        <v>917</v>
      </c>
      <c r="E2322">
        <v>2535.25</v>
      </c>
      <c r="F2322" t="str">
        <f t="shared" si="72"/>
        <v>novembro</v>
      </c>
      <c r="G2322">
        <f t="shared" si="73"/>
        <v>2023</v>
      </c>
    </row>
    <row r="2323" spans="1:7" x14ac:dyDescent="0.25">
      <c r="A2323">
        <v>3022805</v>
      </c>
      <c r="B2323" s="1">
        <v>45231</v>
      </c>
      <c r="C2323" t="s">
        <v>186</v>
      </c>
      <c r="D2323">
        <v>2225</v>
      </c>
      <c r="E2323">
        <v>4662.8999999999996</v>
      </c>
      <c r="F2323" t="str">
        <f t="shared" si="72"/>
        <v>novembro</v>
      </c>
      <c r="G2323">
        <f t="shared" si="73"/>
        <v>2023</v>
      </c>
    </row>
    <row r="2324" spans="1:7" x14ac:dyDescent="0.25">
      <c r="A2324">
        <v>3022906</v>
      </c>
      <c r="B2324" s="1">
        <v>45231</v>
      </c>
      <c r="C2324" t="s">
        <v>188</v>
      </c>
      <c r="D2324">
        <v>3880</v>
      </c>
      <c r="E2324">
        <v>7932.8</v>
      </c>
      <c r="F2324" t="str">
        <f t="shared" si="72"/>
        <v>novembro</v>
      </c>
      <c r="G2324">
        <f t="shared" si="73"/>
        <v>2023</v>
      </c>
    </row>
    <row r="2325" spans="1:7" x14ac:dyDescent="0.25">
      <c r="A2325">
        <v>3023007</v>
      </c>
      <c r="B2325" s="1">
        <v>45231</v>
      </c>
      <c r="C2325" t="s">
        <v>190</v>
      </c>
      <c r="D2325">
        <v>1340</v>
      </c>
      <c r="E2325">
        <v>2728.8</v>
      </c>
      <c r="F2325" t="str">
        <f t="shared" si="72"/>
        <v>novembro</v>
      </c>
      <c r="G2325">
        <f t="shared" si="73"/>
        <v>2023</v>
      </c>
    </row>
    <row r="2326" spans="1:7" x14ac:dyDescent="0.25">
      <c r="A2326">
        <v>3024001</v>
      </c>
      <c r="B2326" s="1">
        <v>45231</v>
      </c>
      <c r="C2326" t="s">
        <v>192</v>
      </c>
      <c r="D2326">
        <v>2797.58</v>
      </c>
      <c r="E2326">
        <v>10655.25</v>
      </c>
      <c r="F2326" t="str">
        <f t="shared" si="72"/>
        <v>novembro</v>
      </c>
      <c r="G2326">
        <f t="shared" si="73"/>
        <v>2023</v>
      </c>
    </row>
    <row r="2327" spans="1:7" x14ac:dyDescent="0.25">
      <c r="A2327">
        <v>3024003</v>
      </c>
      <c r="B2327" s="1">
        <v>45231</v>
      </c>
      <c r="C2327" t="s">
        <v>196</v>
      </c>
      <c r="D2327">
        <v>489.65</v>
      </c>
      <c r="E2327">
        <v>1384.19</v>
      </c>
      <c r="F2327" t="str">
        <f t="shared" si="72"/>
        <v>novembro</v>
      </c>
      <c r="G2327">
        <f t="shared" si="73"/>
        <v>2023</v>
      </c>
    </row>
    <row r="2328" spans="1:7" x14ac:dyDescent="0.25">
      <c r="A2328">
        <v>3024004</v>
      </c>
      <c r="B2328" s="1">
        <v>45231</v>
      </c>
      <c r="C2328" t="s">
        <v>198</v>
      </c>
      <c r="D2328">
        <v>2585.6999999999998</v>
      </c>
      <c r="E2328">
        <v>2635.89</v>
      </c>
      <c r="F2328" t="str">
        <f t="shared" si="72"/>
        <v>novembro</v>
      </c>
      <c r="G2328">
        <f t="shared" si="73"/>
        <v>2023</v>
      </c>
    </row>
    <row r="2329" spans="1:7" x14ac:dyDescent="0.25">
      <c r="A2329">
        <v>4030100</v>
      </c>
      <c r="B2329" s="1">
        <v>45231</v>
      </c>
      <c r="C2329" t="s">
        <v>200</v>
      </c>
      <c r="D2329">
        <v>420.37</v>
      </c>
      <c r="E2329">
        <v>2627.06</v>
      </c>
      <c r="F2329" t="str">
        <f t="shared" si="72"/>
        <v>novembro</v>
      </c>
      <c r="G2329">
        <f t="shared" si="73"/>
        <v>2023</v>
      </c>
    </row>
    <row r="2330" spans="1:7" x14ac:dyDescent="0.25">
      <c r="A2330">
        <v>4030211</v>
      </c>
      <c r="B2330" s="1">
        <v>45231</v>
      </c>
      <c r="C2330" t="s">
        <v>202</v>
      </c>
      <c r="D2330">
        <v>1102.33</v>
      </c>
      <c r="E2330">
        <v>6354.72</v>
      </c>
      <c r="F2330" t="str">
        <f t="shared" si="72"/>
        <v>novembro</v>
      </c>
      <c r="G2330">
        <f t="shared" si="73"/>
        <v>2023</v>
      </c>
    </row>
    <row r="2331" spans="1:7" x14ac:dyDescent="0.25">
      <c r="A2331">
        <v>4030311</v>
      </c>
      <c r="B2331" s="1">
        <v>45231</v>
      </c>
      <c r="C2331" t="s">
        <v>311</v>
      </c>
      <c r="D2331">
        <v>359.06</v>
      </c>
      <c r="E2331">
        <v>2371.2199999999998</v>
      </c>
      <c r="F2331" t="str">
        <f t="shared" si="72"/>
        <v>novembro</v>
      </c>
      <c r="G2331">
        <f t="shared" si="73"/>
        <v>2023</v>
      </c>
    </row>
    <row r="2332" spans="1:7" x14ac:dyDescent="0.25">
      <c r="A2332">
        <v>4030401</v>
      </c>
      <c r="B2332" s="1">
        <v>45231</v>
      </c>
      <c r="C2332" t="s">
        <v>461</v>
      </c>
      <c r="D2332">
        <v>212.45</v>
      </c>
      <c r="E2332">
        <v>1057.2</v>
      </c>
      <c r="F2332" t="str">
        <f t="shared" si="72"/>
        <v>novembro</v>
      </c>
      <c r="G2332">
        <f t="shared" si="73"/>
        <v>2023</v>
      </c>
    </row>
    <row r="2333" spans="1:7" x14ac:dyDescent="0.25">
      <c r="A2333">
        <v>4030532</v>
      </c>
      <c r="B2333" s="1">
        <v>45231</v>
      </c>
      <c r="C2333" t="s">
        <v>210</v>
      </c>
      <c r="D2333">
        <v>230.66</v>
      </c>
      <c r="E2333">
        <v>1212</v>
      </c>
      <c r="F2333" t="str">
        <f t="shared" si="72"/>
        <v>novembro</v>
      </c>
      <c r="G2333">
        <f t="shared" si="73"/>
        <v>2023</v>
      </c>
    </row>
    <row r="2334" spans="1:7" x14ac:dyDescent="0.25">
      <c r="A2334">
        <v>4030600</v>
      </c>
      <c r="B2334" s="1">
        <v>45231</v>
      </c>
      <c r="C2334" t="s">
        <v>212</v>
      </c>
      <c r="D2334">
        <v>950.43</v>
      </c>
      <c r="E2334">
        <v>2943.53</v>
      </c>
      <c r="F2334" t="str">
        <f t="shared" si="72"/>
        <v>novembro</v>
      </c>
      <c r="G2334">
        <f t="shared" si="73"/>
        <v>2023</v>
      </c>
    </row>
    <row r="2335" spans="1:7" x14ac:dyDescent="0.25">
      <c r="A2335">
        <v>4030711</v>
      </c>
      <c r="B2335" s="1">
        <v>45231</v>
      </c>
      <c r="C2335" t="s">
        <v>214</v>
      </c>
      <c r="D2335">
        <v>2852.12</v>
      </c>
      <c r="E2335">
        <v>9324.5</v>
      </c>
      <c r="F2335" t="str">
        <f t="shared" si="72"/>
        <v>novembro</v>
      </c>
      <c r="G2335">
        <f t="shared" si="73"/>
        <v>2023</v>
      </c>
    </row>
    <row r="2336" spans="1:7" x14ac:dyDescent="0.25">
      <c r="A2336">
        <v>4030811</v>
      </c>
      <c r="B2336" s="1">
        <v>45231</v>
      </c>
      <c r="C2336" t="s">
        <v>216</v>
      </c>
      <c r="D2336">
        <v>1918.95</v>
      </c>
      <c r="E2336">
        <v>6043.86</v>
      </c>
      <c r="F2336" t="str">
        <f t="shared" si="72"/>
        <v>novembro</v>
      </c>
      <c r="G2336">
        <f t="shared" si="73"/>
        <v>2023</v>
      </c>
    </row>
    <row r="2337" spans="1:7" x14ac:dyDescent="0.25">
      <c r="A2337">
        <v>4030813</v>
      </c>
      <c r="B2337" s="1">
        <v>45231</v>
      </c>
      <c r="C2337" t="s">
        <v>218</v>
      </c>
      <c r="D2337">
        <v>1281.8399999999999</v>
      </c>
      <c r="E2337">
        <v>3771.1</v>
      </c>
      <c r="F2337" t="str">
        <f t="shared" si="72"/>
        <v>novembro</v>
      </c>
      <c r="G2337">
        <f t="shared" si="73"/>
        <v>2023</v>
      </c>
    </row>
    <row r="2338" spans="1:7" x14ac:dyDescent="0.25">
      <c r="A2338">
        <v>4030900</v>
      </c>
      <c r="B2338" s="1">
        <v>45231</v>
      </c>
      <c r="C2338" t="s">
        <v>220</v>
      </c>
      <c r="D2338">
        <v>6874.66</v>
      </c>
      <c r="E2338">
        <v>20632.28</v>
      </c>
      <c r="F2338" t="str">
        <f t="shared" si="72"/>
        <v>novembro</v>
      </c>
      <c r="G2338">
        <f t="shared" si="73"/>
        <v>2023</v>
      </c>
    </row>
    <row r="2339" spans="1:7" x14ac:dyDescent="0.25">
      <c r="A2339">
        <v>4030910</v>
      </c>
      <c r="B2339" s="1">
        <v>45231</v>
      </c>
      <c r="C2339" t="s">
        <v>222</v>
      </c>
      <c r="D2339">
        <v>170.61</v>
      </c>
      <c r="E2339">
        <v>541.16999999999996</v>
      </c>
      <c r="F2339" t="str">
        <f t="shared" si="72"/>
        <v>novembro</v>
      </c>
      <c r="G2339">
        <f t="shared" si="73"/>
        <v>2023</v>
      </c>
    </row>
    <row r="2340" spans="1:7" x14ac:dyDescent="0.25">
      <c r="A2340">
        <v>4031012</v>
      </c>
      <c r="B2340" s="1">
        <v>45231</v>
      </c>
      <c r="C2340" t="s">
        <v>224</v>
      </c>
      <c r="D2340">
        <v>1050.98</v>
      </c>
      <c r="E2340">
        <v>3224.61</v>
      </c>
      <c r="F2340" t="str">
        <f t="shared" si="72"/>
        <v>novembro</v>
      </c>
      <c r="G2340">
        <f t="shared" si="73"/>
        <v>2023</v>
      </c>
    </row>
    <row r="2341" spans="1:7" x14ac:dyDescent="0.25">
      <c r="A2341">
        <v>4031017</v>
      </c>
      <c r="B2341" s="1">
        <v>45231</v>
      </c>
      <c r="C2341" t="s">
        <v>226</v>
      </c>
      <c r="D2341">
        <v>2404</v>
      </c>
      <c r="E2341">
        <v>1602.39</v>
      </c>
      <c r="F2341" t="str">
        <f t="shared" si="72"/>
        <v>novembro</v>
      </c>
      <c r="G2341">
        <f t="shared" si="73"/>
        <v>2023</v>
      </c>
    </row>
    <row r="2342" spans="1:7" x14ac:dyDescent="0.25">
      <c r="A2342">
        <v>4031102</v>
      </c>
      <c r="B2342" s="1">
        <v>45231</v>
      </c>
      <c r="C2342" t="s">
        <v>228</v>
      </c>
      <c r="D2342">
        <v>11484.61</v>
      </c>
      <c r="E2342">
        <v>33669.800000000003</v>
      </c>
      <c r="F2342" t="str">
        <f t="shared" si="72"/>
        <v>novembro</v>
      </c>
      <c r="G2342">
        <f t="shared" si="73"/>
        <v>2023</v>
      </c>
    </row>
    <row r="2343" spans="1:7" x14ac:dyDescent="0.25">
      <c r="A2343">
        <v>4031200</v>
      </c>
      <c r="B2343" s="1">
        <v>45231</v>
      </c>
      <c r="C2343" t="s">
        <v>230</v>
      </c>
      <c r="D2343">
        <v>1349.37</v>
      </c>
      <c r="E2343">
        <v>4047.87</v>
      </c>
      <c r="F2343" t="str">
        <f t="shared" si="72"/>
        <v>novembro</v>
      </c>
      <c r="G2343">
        <f t="shared" si="73"/>
        <v>2023</v>
      </c>
    </row>
    <row r="2344" spans="1:7" x14ac:dyDescent="0.25">
      <c r="A2344">
        <v>4031304</v>
      </c>
      <c r="B2344" s="1">
        <v>45231</v>
      </c>
      <c r="C2344" t="s">
        <v>232</v>
      </c>
      <c r="D2344">
        <v>985.12</v>
      </c>
      <c r="E2344">
        <v>2873.79</v>
      </c>
      <c r="F2344" t="str">
        <f t="shared" si="72"/>
        <v>novembro</v>
      </c>
      <c r="G2344">
        <f t="shared" si="73"/>
        <v>2023</v>
      </c>
    </row>
    <row r="2345" spans="1:7" x14ac:dyDescent="0.25">
      <c r="A2345">
        <v>4031411</v>
      </c>
      <c r="B2345" s="1">
        <v>45231</v>
      </c>
      <c r="C2345" t="s">
        <v>234</v>
      </c>
      <c r="D2345">
        <v>92.02</v>
      </c>
      <c r="E2345">
        <v>294.18</v>
      </c>
      <c r="F2345" t="str">
        <f t="shared" si="72"/>
        <v>novembro</v>
      </c>
      <c r="G2345">
        <f t="shared" si="73"/>
        <v>2023</v>
      </c>
    </row>
    <row r="2346" spans="1:7" x14ac:dyDescent="0.25">
      <c r="A2346">
        <v>4031500</v>
      </c>
      <c r="B2346" s="1">
        <v>45231</v>
      </c>
      <c r="C2346" t="s">
        <v>236</v>
      </c>
      <c r="D2346">
        <v>6445.07</v>
      </c>
      <c r="E2346">
        <v>18160.12</v>
      </c>
      <c r="F2346" t="str">
        <f t="shared" si="72"/>
        <v>novembro</v>
      </c>
      <c r="G2346">
        <f t="shared" si="73"/>
        <v>2023</v>
      </c>
    </row>
    <row r="2347" spans="1:7" x14ac:dyDescent="0.25">
      <c r="A2347">
        <v>4031604</v>
      </c>
      <c r="B2347" s="1">
        <v>45231</v>
      </c>
      <c r="C2347" t="s">
        <v>238</v>
      </c>
      <c r="D2347">
        <v>6718.92</v>
      </c>
      <c r="E2347">
        <v>18185.39</v>
      </c>
      <c r="F2347" t="str">
        <f t="shared" si="72"/>
        <v>novembro</v>
      </c>
      <c r="G2347">
        <f t="shared" si="73"/>
        <v>2023</v>
      </c>
    </row>
    <row r="2348" spans="1:7" x14ac:dyDescent="0.25">
      <c r="A2348">
        <v>4031605</v>
      </c>
      <c r="B2348" s="1">
        <v>45231</v>
      </c>
      <c r="C2348" t="s">
        <v>240</v>
      </c>
      <c r="D2348">
        <v>125.2</v>
      </c>
      <c r="E2348">
        <v>403.88</v>
      </c>
      <c r="F2348" t="str">
        <f t="shared" si="72"/>
        <v>novembro</v>
      </c>
      <c r="G2348">
        <f t="shared" si="73"/>
        <v>2023</v>
      </c>
    </row>
    <row r="2349" spans="1:7" x14ac:dyDescent="0.25">
      <c r="A2349">
        <v>4031700</v>
      </c>
      <c r="B2349" s="1">
        <v>45231</v>
      </c>
      <c r="C2349" t="s">
        <v>242</v>
      </c>
      <c r="D2349">
        <v>824.9</v>
      </c>
      <c r="E2349">
        <v>2447</v>
      </c>
      <c r="F2349" t="str">
        <f t="shared" si="72"/>
        <v>novembro</v>
      </c>
      <c r="G2349">
        <f t="shared" si="73"/>
        <v>2023</v>
      </c>
    </row>
    <row r="2350" spans="1:7" x14ac:dyDescent="0.25">
      <c r="A2350">
        <v>4031812</v>
      </c>
      <c r="B2350" s="1">
        <v>45231</v>
      </c>
      <c r="C2350" t="s">
        <v>244</v>
      </c>
      <c r="D2350">
        <v>458.54</v>
      </c>
      <c r="E2350">
        <v>1405.1</v>
      </c>
      <c r="F2350" t="str">
        <f t="shared" si="72"/>
        <v>novembro</v>
      </c>
      <c r="G2350">
        <f t="shared" si="73"/>
        <v>2023</v>
      </c>
    </row>
    <row r="2351" spans="1:7" x14ac:dyDescent="0.25">
      <c r="A2351">
        <v>4031813</v>
      </c>
      <c r="B2351" s="1">
        <v>45231</v>
      </c>
      <c r="C2351" t="s">
        <v>464</v>
      </c>
      <c r="D2351">
        <v>350</v>
      </c>
      <c r="E2351">
        <v>234.5</v>
      </c>
      <c r="F2351" t="str">
        <f t="shared" si="72"/>
        <v>novembro</v>
      </c>
      <c r="G2351">
        <f t="shared" si="73"/>
        <v>2023</v>
      </c>
    </row>
    <row r="2352" spans="1:7" x14ac:dyDescent="0.25">
      <c r="A2352">
        <v>4031904</v>
      </c>
      <c r="B2352" s="1">
        <v>45231</v>
      </c>
      <c r="C2352" t="s">
        <v>246</v>
      </c>
      <c r="D2352">
        <v>1304.94</v>
      </c>
      <c r="E2352">
        <v>3849.68</v>
      </c>
      <c r="F2352" t="str">
        <f t="shared" si="72"/>
        <v>novembro</v>
      </c>
      <c r="G2352">
        <f t="shared" si="73"/>
        <v>2023</v>
      </c>
    </row>
    <row r="2353" spans="1:7" x14ac:dyDescent="0.25">
      <c r="A2353">
        <v>4032111</v>
      </c>
      <c r="B2353" s="1">
        <v>45231</v>
      </c>
      <c r="C2353" t="s">
        <v>314</v>
      </c>
      <c r="D2353">
        <v>13.75</v>
      </c>
      <c r="E2353">
        <v>63.04</v>
      </c>
      <c r="F2353" t="str">
        <f t="shared" si="72"/>
        <v>novembro</v>
      </c>
      <c r="G2353">
        <f t="shared" si="73"/>
        <v>2023</v>
      </c>
    </row>
    <row r="2354" spans="1:7" x14ac:dyDescent="0.25">
      <c r="A2354">
        <v>4032204</v>
      </c>
      <c r="B2354" s="1">
        <v>45231</v>
      </c>
      <c r="C2354" t="s">
        <v>315</v>
      </c>
      <c r="D2354">
        <v>40.68</v>
      </c>
      <c r="E2354">
        <v>213.1</v>
      </c>
      <c r="F2354" t="str">
        <f t="shared" si="72"/>
        <v>novembro</v>
      </c>
      <c r="G2354">
        <f t="shared" si="73"/>
        <v>2023</v>
      </c>
    </row>
    <row r="2355" spans="1:7" x14ac:dyDescent="0.25">
      <c r="A2355">
        <v>4032205</v>
      </c>
      <c r="B2355" s="1">
        <v>45231</v>
      </c>
      <c r="C2355" t="s">
        <v>553</v>
      </c>
      <c r="D2355">
        <v>98.29</v>
      </c>
      <c r="E2355">
        <v>508.61</v>
      </c>
      <c r="F2355" t="str">
        <f t="shared" si="72"/>
        <v>novembro</v>
      </c>
      <c r="G2355">
        <f t="shared" si="73"/>
        <v>2023</v>
      </c>
    </row>
    <row r="2356" spans="1:7" x14ac:dyDescent="0.25">
      <c r="A2356">
        <v>4032206</v>
      </c>
      <c r="B2356" s="1">
        <v>45231</v>
      </c>
      <c r="C2356" t="s">
        <v>555</v>
      </c>
      <c r="D2356">
        <v>105.25</v>
      </c>
      <c r="E2356">
        <v>552.54</v>
      </c>
      <c r="F2356" t="str">
        <f t="shared" si="72"/>
        <v>novembro</v>
      </c>
      <c r="G2356">
        <f t="shared" si="73"/>
        <v>2023</v>
      </c>
    </row>
    <row r="2357" spans="1:7" x14ac:dyDescent="0.25">
      <c r="A2357">
        <v>4032312</v>
      </c>
      <c r="B2357" s="1">
        <v>45231</v>
      </c>
      <c r="C2357" t="s">
        <v>252</v>
      </c>
      <c r="D2357">
        <v>470.34</v>
      </c>
      <c r="E2357">
        <v>1993.52</v>
      </c>
      <c r="F2357" t="str">
        <f t="shared" si="72"/>
        <v>novembro</v>
      </c>
      <c r="G2357">
        <f t="shared" si="73"/>
        <v>2023</v>
      </c>
    </row>
    <row r="2358" spans="1:7" x14ac:dyDescent="0.25">
      <c r="A2358">
        <v>4032404</v>
      </c>
      <c r="B2358" s="1">
        <v>45231</v>
      </c>
      <c r="C2358" t="s">
        <v>254</v>
      </c>
      <c r="D2358">
        <v>113.1</v>
      </c>
      <c r="E2358">
        <v>484.73</v>
      </c>
      <c r="F2358" t="str">
        <f t="shared" si="72"/>
        <v>novembro</v>
      </c>
      <c r="G2358">
        <f t="shared" si="73"/>
        <v>2023</v>
      </c>
    </row>
    <row r="2359" spans="1:7" x14ac:dyDescent="0.25">
      <c r="A2359">
        <v>4032500</v>
      </c>
      <c r="B2359" s="1">
        <v>45231</v>
      </c>
      <c r="C2359" t="s">
        <v>256</v>
      </c>
      <c r="D2359">
        <v>405.5</v>
      </c>
      <c r="E2359">
        <v>1114.07</v>
      </c>
      <c r="F2359" t="str">
        <f t="shared" si="72"/>
        <v>novembro</v>
      </c>
      <c r="G2359">
        <f t="shared" si="73"/>
        <v>2023</v>
      </c>
    </row>
    <row r="2360" spans="1:7" x14ac:dyDescent="0.25">
      <c r="A2360">
        <v>4032611</v>
      </c>
      <c r="B2360" s="1">
        <v>45231</v>
      </c>
      <c r="C2360" t="s">
        <v>258</v>
      </c>
      <c r="D2360">
        <v>81.99</v>
      </c>
      <c r="E2360">
        <v>255.38</v>
      </c>
      <c r="F2360" t="str">
        <f t="shared" si="72"/>
        <v>novembro</v>
      </c>
      <c r="G2360">
        <f t="shared" si="73"/>
        <v>2023</v>
      </c>
    </row>
    <row r="2361" spans="1:7" x14ac:dyDescent="0.25">
      <c r="A2361">
        <v>4032704</v>
      </c>
      <c r="B2361" s="1">
        <v>45231</v>
      </c>
      <c r="C2361" t="s">
        <v>260</v>
      </c>
      <c r="D2361">
        <v>537.86</v>
      </c>
      <c r="E2361">
        <v>1593.11</v>
      </c>
      <c r="F2361" t="str">
        <f t="shared" si="72"/>
        <v>novembro</v>
      </c>
      <c r="G2361">
        <f t="shared" si="73"/>
        <v>2023</v>
      </c>
    </row>
    <row r="2362" spans="1:7" x14ac:dyDescent="0.25">
      <c r="A2362">
        <v>4032800</v>
      </c>
      <c r="B2362" s="1">
        <v>45231</v>
      </c>
      <c r="C2362" t="s">
        <v>262</v>
      </c>
      <c r="D2362">
        <v>193.15</v>
      </c>
      <c r="E2362">
        <v>1039.69</v>
      </c>
      <c r="F2362" t="str">
        <f t="shared" si="72"/>
        <v>novembro</v>
      </c>
      <c r="G2362">
        <f t="shared" si="73"/>
        <v>2023</v>
      </c>
    </row>
    <row r="2363" spans="1:7" x14ac:dyDescent="0.25">
      <c r="A2363">
        <v>4032902</v>
      </c>
      <c r="B2363" s="1">
        <v>45231</v>
      </c>
      <c r="C2363" t="s">
        <v>264</v>
      </c>
      <c r="D2363">
        <v>452.78</v>
      </c>
      <c r="E2363">
        <v>2362.48</v>
      </c>
      <c r="F2363" t="str">
        <f t="shared" si="72"/>
        <v>novembro</v>
      </c>
      <c r="G2363">
        <f t="shared" si="73"/>
        <v>2023</v>
      </c>
    </row>
    <row r="2364" spans="1:7" x14ac:dyDescent="0.25">
      <c r="A2364">
        <v>4033011</v>
      </c>
      <c r="B2364" s="1">
        <v>45231</v>
      </c>
      <c r="C2364" t="s">
        <v>266</v>
      </c>
      <c r="D2364">
        <v>143.44999999999999</v>
      </c>
      <c r="E2364">
        <v>732.41</v>
      </c>
      <c r="F2364" t="str">
        <f t="shared" si="72"/>
        <v>novembro</v>
      </c>
      <c r="G2364">
        <f t="shared" si="73"/>
        <v>2023</v>
      </c>
    </row>
    <row r="2365" spans="1:7" x14ac:dyDescent="0.25">
      <c r="A2365">
        <v>4033111</v>
      </c>
      <c r="B2365" s="1">
        <v>45231</v>
      </c>
      <c r="C2365" t="s">
        <v>268</v>
      </c>
      <c r="D2365">
        <v>664.1</v>
      </c>
      <c r="E2365">
        <v>2831.56</v>
      </c>
      <c r="F2365" t="str">
        <f t="shared" si="72"/>
        <v>novembro</v>
      </c>
      <c r="G2365">
        <f t="shared" si="73"/>
        <v>2023</v>
      </c>
    </row>
    <row r="2366" spans="1:7" x14ac:dyDescent="0.25">
      <c r="A2366">
        <v>4033211</v>
      </c>
      <c r="B2366" s="1">
        <v>45231</v>
      </c>
      <c r="C2366" t="s">
        <v>270</v>
      </c>
      <c r="D2366">
        <v>142.97</v>
      </c>
      <c r="E2366">
        <v>656</v>
      </c>
      <c r="F2366" t="str">
        <f t="shared" si="72"/>
        <v>novembro</v>
      </c>
      <c r="G2366">
        <f t="shared" si="73"/>
        <v>2023</v>
      </c>
    </row>
    <row r="2367" spans="1:7" x14ac:dyDescent="0.25">
      <c r="A2367">
        <v>4033311</v>
      </c>
      <c r="B2367" s="1">
        <v>45231</v>
      </c>
      <c r="C2367" t="s">
        <v>272</v>
      </c>
      <c r="D2367">
        <v>17.559999999999999</v>
      </c>
      <c r="E2367">
        <v>109.82</v>
      </c>
      <c r="F2367" t="str">
        <f t="shared" si="72"/>
        <v>novembro</v>
      </c>
      <c r="G2367">
        <f t="shared" si="73"/>
        <v>2023</v>
      </c>
    </row>
    <row r="2368" spans="1:7" x14ac:dyDescent="0.25">
      <c r="A2368">
        <v>4033400</v>
      </c>
      <c r="B2368" s="1">
        <v>45231</v>
      </c>
      <c r="C2368" t="s">
        <v>274</v>
      </c>
      <c r="D2368">
        <v>1138.5</v>
      </c>
      <c r="E2368">
        <v>3340.39</v>
      </c>
      <c r="F2368" t="str">
        <f t="shared" si="72"/>
        <v>novembro</v>
      </c>
      <c r="G2368">
        <f t="shared" si="73"/>
        <v>2023</v>
      </c>
    </row>
    <row r="2369" spans="1:7" x14ac:dyDescent="0.25">
      <c r="A2369">
        <v>4033511</v>
      </c>
      <c r="B2369" s="1">
        <v>45231</v>
      </c>
      <c r="C2369" t="s">
        <v>276</v>
      </c>
      <c r="D2369">
        <v>3082.2</v>
      </c>
      <c r="E2369">
        <v>9764.33</v>
      </c>
      <c r="F2369" t="str">
        <f t="shared" si="72"/>
        <v>novembro</v>
      </c>
      <c r="G2369">
        <f t="shared" si="73"/>
        <v>2023</v>
      </c>
    </row>
    <row r="2370" spans="1:7" x14ac:dyDescent="0.25">
      <c r="A2370">
        <v>4033900</v>
      </c>
      <c r="B2370" s="1">
        <v>45231</v>
      </c>
      <c r="C2370" t="s">
        <v>278</v>
      </c>
      <c r="D2370">
        <v>12.86</v>
      </c>
      <c r="E2370">
        <v>67.260000000000005</v>
      </c>
      <c r="F2370" t="str">
        <f t="shared" si="72"/>
        <v>novembro</v>
      </c>
      <c r="G2370">
        <f t="shared" si="73"/>
        <v>2023</v>
      </c>
    </row>
    <row r="2371" spans="1:7" x14ac:dyDescent="0.25">
      <c r="A2371">
        <v>4034011</v>
      </c>
      <c r="B2371" s="1">
        <v>45231</v>
      </c>
      <c r="C2371" t="s">
        <v>280</v>
      </c>
      <c r="D2371">
        <v>858.22</v>
      </c>
      <c r="E2371">
        <v>4461.3500000000004</v>
      </c>
      <c r="F2371" t="str">
        <f t="shared" ref="F2371:F2434" si="74">TEXT(B2371,"mmmm")</f>
        <v>novembro</v>
      </c>
      <c r="G2371">
        <f t="shared" ref="G2371:G2434" si="75">YEAR(B2371)</f>
        <v>2023</v>
      </c>
    </row>
    <row r="2372" spans="1:7" x14ac:dyDescent="0.25">
      <c r="A2372">
        <v>4034211</v>
      </c>
      <c r="B2372" s="1">
        <v>45231</v>
      </c>
      <c r="C2372" t="s">
        <v>282</v>
      </c>
      <c r="D2372">
        <v>245.36</v>
      </c>
      <c r="E2372">
        <v>1051.3399999999999</v>
      </c>
      <c r="F2372" t="str">
        <f t="shared" si="74"/>
        <v>novembro</v>
      </c>
      <c r="G2372">
        <f t="shared" si="75"/>
        <v>2023</v>
      </c>
    </row>
    <row r="2373" spans="1:7" x14ac:dyDescent="0.25">
      <c r="A2373">
        <v>4034400</v>
      </c>
      <c r="B2373" s="1">
        <v>45231</v>
      </c>
      <c r="C2373" t="s">
        <v>284</v>
      </c>
      <c r="D2373">
        <v>253.7</v>
      </c>
      <c r="E2373">
        <v>666.59</v>
      </c>
      <c r="F2373" t="str">
        <f t="shared" si="74"/>
        <v>novembro</v>
      </c>
      <c r="G2373">
        <f t="shared" si="75"/>
        <v>2023</v>
      </c>
    </row>
    <row r="2374" spans="1:7" x14ac:dyDescent="0.25">
      <c r="A2374">
        <v>4034502</v>
      </c>
      <c r="B2374" s="1">
        <v>45231</v>
      </c>
      <c r="C2374" t="s">
        <v>286</v>
      </c>
      <c r="D2374">
        <v>125.04</v>
      </c>
      <c r="E2374">
        <v>354.62</v>
      </c>
      <c r="F2374" t="str">
        <f t="shared" si="74"/>
        <v>novembro</v>
      </c>
      <c r="G2374">
        <f t="shared" si="75"/>
        <v>2023</v>
      </c>
    </row>
    <row r="2375" spans="1:7" x14ac:dyDescent="0.25">
      <c r="A2375">
        <v>8040001</v>
      </c>
      <c r="B2375" s="1">
        <v>45231</v>
      </c>
      <c r="C2375" t="s">
        <v>557</v>
      </c>
      <c r="D2375">
        <v>2</v>
      </c>
      <c r="E2375">
        <v>15</v>
      </c>
      <c r="F2375" t="str">
        <f t="shared" si="74"/>
        <v>novembro</v>
      </c>
      <c r="G2375">
        <f t="shared" si="75"/>
        <v>2023</v>
      </c>
    </row>
    <row r="2376" spans="1:7" x14ac:dyDescent="0.25">
      <c r="A2376">
        <v>8040011</v>
      </c>
      <c r="B2376" s="1">
        <v>45231</v>
      </c>
      <c r="C2376" t="s">
        <v>560</v>
      </c>
      <c r="D2376">
        <v>15</v>
      </c>
      <c r="E2376">
        <v>44.85</v>
      </c>
      <c r="F2376" t="str">
        <f t="shared" si="74"/>
        <v>novembro</v>
      </c>
      <c r="G2376">
        <f t="shared" si="75"/>
        <v>2023</v>
      </c>
    </row>
    <row r="2377" spans="1:7" x14ac:dyDescent="0.25">
      <c r="A2377">
        <v>8040012</v>
      </c>
      <c r="B2377" s="1">
        <v>45231</v>
      </c>
      <c r="C2377" t="s">
        <v>561</v>
      </c>
      <c r="D2377">
        <v>5.6</v>
      </c>
      <c r="E2377">
        <v>13.72</v>
      </c>
      <c r="F2377" t="str">
        <f t="shared" si="74"/>
        <v>novembro</v>
      </c>
      <c r="G2377">
        <f t="shared" si="75"/>
        <v>2023</v>
      </c>
    </row>
    <row r="2378" spans="1:7" x14ac:dyDescent="0.25">
      <c r="A2378">
        <v>8040040</v>
      </c>
      <c r="B2378" s="1">
        <v>45231</v>
      </c>
      <c r="C2378" t="s">
        <v>698</v>
      </c>
      <c r="D2378">
        <v>504</v>
      </c>
      <c r="E2378">
        <v>2597.35</v>
      </c>
      <c r="F2378" t="str">
        <f t="shared" si="74"/>
        <v>novembro</v>
      </c>
      <c r="G2378">
        <f t="shared" si="75"/>
        <v>2023</v>
      </c>
    </row>
    <row r="2379" spans="1:7" x14ac:dyDescent="0.25">
      <c r="A2379">
        <v>8040045</v>
      </c>
      <c r="B2379" s="1">
        <v>45231</v>
      </c>
      <c r="C2379" t="s">
        <v>574</v>
      </c>
      <c r="D2379">
        <v>518.4</v>
      </c>
      <c r="E2379">
        <v>7179.84</v>
      </c>
      <c r="F2379" t="str">
        <f t="shared" si="74"/>
        <v>novembro</v>
      </c>
      <c r="G2379">
        <f t="shared" si="75"/>
        <v>2023</v>
      </c>
    </row>
    <row r="2380" spans="1:7" x14ac:dyDescent="0.25">
      <c r="A2380">
        <v>8040048</v>
      </c>
      <c r="B2380" s="1">
        <v>45231</v>
      </c>
      <c r="C2380" t="s">
        <v>699</v>
      </c>
      <c r="D2380">
        <v>1683.6</v>
      </c>
      <c r="E2380">
        <v>4227.1400000000003</v>
      </c>
      <c r="F2380" t="str">
        <f t="shared" si="74"/>
        <v>novembro</v>
      </c>
      <c r="G2380">
        <f t="shared" si="75"/>
        <v>2023</v>
      </c>
    </row>
    <row r="2381" spans="1:7" x14ac:dyDescent="0.25">
      <c r="A2381">
        <v>8040050</v>
      </c>
      <c r="B2381" s="1">
        <v>45231</v>
      </c>
      <c r="C2381" t="s">
        <v>746</v>
      </c>
      <c r="D2381">
        <v>12.8</v>
      </c>
      <c r="E2381">
        <v>168.32</v>
      </c>
      <c r="F2381" t="str">
        <f t="shared" si="74"/>
        <v>novembro</v>
      </c>
      <c r="G2381">
        <f t="shared" si="75"/>
        <v>2023</v>
      </c>
    </row>
    <row r="2382" spans="1:7" x14ac:dyDescent="0.25">
      <c r="A2382">
        <v>8040051</v>
      </c>
      <c r="B2382" s="1">
        <v>45231</v>
      </c>
      <c r="C2382" t="s">
        <v>644</v>
      </c>
      <c r="D2382">
        <v>2880</v>
      </c>
      <c r="E2382">
        <v>30816</v>
      </c>
      <c r="F2382" t="str">
        <f t="shared" si="74"/>
        <v>novembro</v>
      </c>
      <c r="G2382">
        <f t="shared" si="75"/>
        <v>2023</v>
      </c>
    </row>
    <row r="2383" spans="1:7" x14ac:dyDescent="0.25">
      <c r="A2383">
        <v>8040053</v>
      </c>
      <c r="B2383" s="1">
        <v>45231</v>
      </c>
      <c r="C2383" t="s">
        <v>747</v>
      </c>
      <c r="D2383">
        <v>35.880000000000003</v>
      </c>
      <c r="E2383">
        <v>398.68</v>
      </c>
      <c r="F2383" t="str">
        <f t="shared" si="74"/>
        <v>novembro</v>
      </c>
      <c r="G2383">
        <f t="shared" si="75"/>
        <v>2023</v>
      </c>
    </row>
    <row r="2384" spans="1:7" x14ac:dyDescent="0.25">
      <c r="A2384">
        <v>8040054</v>
      </c>
      <c r="B2384" s="1">
        <v>45231</v>
      </c>
      <c r="C2384" t="s">
        <v>645</v>
      </c>
      <c r="D2384">
        <v>3010</v>
      </c>
      <c r="E2384">
        <v>26689.599999999999</v>
      </c>
      <c r="F2384" t="str">
        <f t="shared" si="74"/>
        <v>novembro</v>
      </c>
      <c r="G2384">
        <f t="shared" si="75"/>
        <v>2023</v>
      </c>
    </row>
    <row r="2385" spans="1:7" x14ac:dyDescent="0.25">
      <c r="A2385">
        <v>8040057</v>
      </c>
      <c r="B2385" s="1">
        <v>45231</v>
      </c>
      <c r="C2385" t="s">
        <v>734</v>
      </c>
      <c r="D2385">
        <v>11</v>
      </c>
      <c r="E2385">
        <v>52.8</v>
      </c>
      <c r="F2385" t="str">
        <f t="shared" si="74"/>
        <v>novembro</v>
      </c>
      <c r="G2385">
        <f t="shared" si="75"/>
        <v>2023</v>
      </c>
    </row>
    <row r="2386" spans="1:7" x14ac:dyDescent="0.25">
      <c r="A2386">
        <v>8060001</v>
      </c>
      <c r="B2386" s="1">
        <v>45231</v>
      </c>
      <c r="C2386" t="s">
        <v>325</v>
      </c>
      <c r="D2386">
        <v>50</v>
      </c>
      <c r="E2386">
        <v>58</v>
      </c>
      <c r="F2386" t="str">
        <f t="shared" si="74"/>
        <v>novembro</v>
      </c>
      <c r="G2386">
        <f t="shared" si="75"/>
        <v>2023</v>
      </c>
    </row>
    <row r="2387" spans="1:7" x14ac:dyDescent="0.25">
      <c r="A2387">
        <v>8070001</v>
      </c>
      <c r="B2387" s="1">
        <v>45231</v>
      </c>
      <c r="C2387" t="s">
        <v>326</v>
      </c>
      <c r="D2387">
        <v>1</v>
      </c>
      <c r="E2387">
        <v>2.4</v>
      </c>
      <c r="F2387" t="str">
        <f t="shared" si="74"/>
        <v>novembro</v>
      </c>
      <c r="G2387">
        <f t="shared" si="75"/>
        <v>2023</v>
      </c>
    </row>
    <row r="2388" spans="1:7" x14ac:dyDescent="0.25">
      <c r="A2388">
        <v>8070012</v>
      </c>
      <c r="B2388" s="1">
        <v>45231</v>
      </c>
      <c r="C2388" t="s">
        <v>372</v>
      </c>
      <c r="D2388">
        <v>32</v>
      </c>
      <c r="E2388">
        <v>80.959999999999994</v>
      </c>
      <c r="F2388" t="str">
        <f t="shared" si="74"/>
        <v>novembro</v>
      </c>
      <c r="G2388">
        <f t="shared" si="75"/>
        <v>2023</v>
      </c>
    </row>
    <row r="2389" spans="1:7" x14ac:dyDescent="0.25">
      <c r="A2389">
        <v>8070016</v>
      </c>
      <c r="B2389" s="1">
        <v>45231</v>
      </c>
      <c r="C2389" t="s">
        <v>395</v>
      </c>
      <c r="D2389">
        <v>1272</v>
      </c>
      <c r="E2389">
        <v>6938.4</v>
      </c>
      <c r="F2389" t="str">
        <f t="shared" si="74"/>
        <v>novembro</v>
      </c>
      <c r="G2389">
        <f t="shared" si="75"/>
        <v>2023</v>
      </c>
    </row>
    <row r="2390" spans="1:7" x14ac:dyDescent="0.25">
      <c r="A2390">
        <v>8070018</v>
      </c>
      <c r="B2390" s="1">
        <v>45231</v>
      </c>
      <c r="C2390" t="s">
        <v>397</v>
      </c>
      <c r="D2390">
        <v>7.96</v>
      </c>
      <c r="E2390">
        <v>27.38</v>
      </c>
      <c r="F2390" t="str">
        <f t="shared" si="74"/>
        <v>novembro</v>
      </c>
      <c r="G2390">
        <f t="shared" si="75"/>
        <v>2023</v>
      </c>
    </row>
    <row r="2391" spans="1:7" x14ac:dyDescent="0.25">
      <c r="A2391">
        <v>8070027</v>
      </c>
      <c r="B2391" s="1">
        <v>45231</v>
      </c>
      <c r="C2391" t="s">
        <v>772</v>
      </c>
      <c r="D2391">
        <v>7.4</v>
      </c>
      <c r="E2391">
        <v>26.86</v>
      </c>
      <c r="F2391" t="str">
        <f t="shared" si="74"/>
        <v>novembro</v>
      </c>
      <c r="G2391">
        <f t="shared" si="75"/>
        <v>2023</v>
      </c>
    </row>
    <row r="2392" spans="1:7" x14ac:dyDescent="0.25">
      <c r="A2392">
        <v>8070029</v>
      </c>
      <c r="B2392" s="1">
        <v>45231</v>
      </c>
      <c r="C2392" t="s">
        <v>491</v>
      </c>
      <c r="D2392">
        <v>5230</v>
      </c>
      <c r="E2392">
        <v>18043.5</v>
      </c>
      <c r="F2392" t="str">
        <f t="shared" si="74"/>
        <v>novembro</v>
      </c>
      <c r="G2392">
        <f t="shared" si="75"/>
        <v>2023</v>
      </c>
    </row>
    <row r="2393" spans="1:7" x14ac:dyDescent="0.25">
      <c r="A2393">
        <v>8070048</v>
      </c>
      <c r="B2393" s="1">
        <v>45231</v>
      </c>
      <c r="C2393" t="s">
        <v>588</v>
      </c>
      <c r="D2393">
        <v>5600</v>
      </c>
      <c r="E2393">
        <v>8960</v>
      </c>
      <c r="F2393" t="str">
        <f t="shared" si="74"/>
        <v>novembro</v>
      </c>
      <c r="G2393">
        <f t="shared" si="75"/>
        <v>2023</v>
      </c>
    </row>
    <row r="2394" spans="1:7" x14ac:dyDescent="0.25">
      <c r="A2394">
        <v>8070052</v>
      </c>
      <c r="B2394" s="1">
        <v>45231</v>
      </c>
      <c r="C2394" t="s">
        <v>751</v>
      </c>
      <c r="D2394">
        <v>161.30000000000001</v>
      </c>
      <c r="E2394">
        <v>624.97</v>
      </c>
      <c r="F2394" t="str">
        <f t="shared" si="74"/>
        <v>novembro</v>
      </c>
      <c r="G2394">
        <f t="shared" si="75"/>
        <v>2023</v>
      </c>
    </row>
    <row r="2395" spans="1:7" x14ac:dyDescent="0.25">
      <c r="A2395">
        <v>8070054</v>
      </c>
      <c r="B2395" s="1">
        <v>45231</v>
      </c>
      <c r="C2395" t="s">
        <v>662</v>
      </c>
      <c r="D2395">
        <v>0.9</v>
      </c>
      <c r="E2395">
        <v>6.76</v>
      </c>
      <c r="F2395" t="str">
        <f t="shared" si="74"/>
        <v>novembro</v>
      </c>
      <c r="G2395">
        <f t="shared" si="75"/>
        <v>2023</v>
      </c>
    </row>
    <row r="2396" spans="1:7" x14ac:dyDescent="0.25">
      <c r="A2396">
        <v>8070060</v>
      </c>
      <c r="B2396" s="1">
        <v>45231</v>
      </c>
      <c r="C2396" t="s">
        <v>701</v>
      </c>
      <c r="D2396">
        <v>560</v>
      </c>
      <c r="E2396">
        <v>1236</v>
      </c>
      <c r="F2396" t="str">
        <f t="shared" si="74"/>
        <v>novembro</v>
      </c>
      <c r="G2396">
        <f t="shared" si="75"/>
        <v>2023</v>
      </c>
    </row>
    <row r="2397" spans="1:7" x14ac:dyDescent="0.25">
      <c r="A2397">
        <v>8070061</v>
      </c>
      <c r="B2397" s="1">
        <v>45231</v>
      </c>
      <c r="C2397" t="s">
        <v>752</v>
      </c>
      <c r="D2397">
        <v>9</v>
      </c>
      <c r="E2397">
        <v>23.31</v>
      </c>
      <c r="F2397" t="str">
        <f t="shared" si="74"/>
        <v>novembro</v>
      </c>
      <c r="G2397">
        <f t="shared" si="75"/>
        <v>2023</v>
      </c>
    </row>
    <row r="2398" spans="1:7" x14ac:dyDescent="0.25">
      <c r="A2398">
        <v>8070069</v>
      </c>
      <c r="B2398" s="1">
        <v>45231</v>
      </c>
      <c r="C2398" t="s">
        <v>774</v>
      </c>
      <c r="D2398">
        <v>2520</v>
      </c>
      <c r="E2398">
        <v>3024</v>
      </c>
      <c r="F2398" t="str">
        <f t="shared" si="74"/>
        <v>novembro</v>
      </c>
      <c r="G2398">
        <f t="shared" si="75"/>
        <v>2023</v>
      </c>
    </row>
    <row r="2399" spans="1:7" x14ac:dyDescent="0.25">
      <c r="A2399">
        <v>8120003</v>
      </c>
      <c r="B2399" s="1">
        <v>45231</v>
      </c>
      <c r="C2399" t="s">
        <v>376</v>
      </c>
      <c r="D2399">
        <v>1071</v>
      </c>
      <c r="E2399">
        <v>2962.4</v>
      </c>
      <c r="F2399" t="str">
        <f t="shared" si="74"/>
        <v>novembro</v>
      </c>
      <c r="G2399">
        <f t="shared" si="75"/>
        <v>2023</v>
      </c>
    </row>
    <row r="2400" spans="1:7" x14ac:dyDescent="0.25">
      <c r="A2400">
        <v>8120006</v>
      </c>
      <c r="B2400" s="1">
        <v>45231</v>
      </c>
      <c r="C2400" t="s">
        <v>408</v>
      </c>
      <c r="D2400">
        <v>3.26</v>
      </c>
      <c r="E2400">
        <v>25.2</v>
      </c>
      <c r="F2400" t="str">
        <f t="shared" si="74"/>
        <v>novembro</v>
      </c>
      <c r="G2400">
        <f t="shared" si="75"/>
        <v>2023</v>
      </c>
    </row>
    <row r="2401" spans="1:7" x14ac:dyDescent="0.25">
      <c r="A2401">
        <v>8120007</v>
      </c>
      <c r="B2401" s="1">
        <v>45231</v>
      </c>
      <c r="C2401" t="s">
        <v>377</v>
      </c>
      <c r="D2401">
        <v>16.78</v>
      </c>
      <c r="E2401">
        <v>159.91</v>
      </c>
      <c r="F2401" t="str">
        <f t="shared" si="74"/>
        <v>novembro</v>
      </c>
      <c r="G2401">
        <f t="shared" si="75"/>
        <v>2023</v>
      </c>
    </row>
    <row r="2402" spans="1:7" x14ac:dyDescent="0.25">
      <c r="A2402">
        <v>8120008</v>
      </c>
      <c r="B2402" s="1">
        <v>45231</v>
      </c>
      <c r="C2402" t="s">
        <v>409</v>
      </c>
      <c r="D2402">
        <v>451.21</v>
      </c>
      <c r="E2402">
        <v>4196.3</v>
      </c>
      <c r="F2402" t="str">
        <f t="shared" si="74"/>
        <v>novembro</v>
      </c>
      <c r="G2402">
        <f t="shared" si="75"/>
        <v>2023</v>
      </c>
    </row>
    <row r="2403" spans="1:7" x14ac:dyDescent="0.25">
      <c r="A2403">
        <v>8120009</v>
      </c>
      <c r="B2403" s="1">
        <v>45231</v>
      </c>
      <c r="C2403" t="s">
        <v>506</v>
      </c>
      <c r="D2403">
        <v>352.85</v>
      </c>
      <c r="E2403">
        <v>3955</v>
      </c>
      <c r="F2403" t="str">
        <f t="shared" si="74"/>
        <v>novembro</v>
      </c>
      <c r="G2403">
        <f t="shared" si="75"/>
        <v>2023</v>
      </c>
    </row>
    <row r="2404" spans="1:7" x14ac:dyDescent="0.25">
      <c r="A2404">
        <v>8120031</v>
      </c>
      <c r="B2404" s="1">
        <v>45231</v>
      </c>
      <c r="C2404" t="s">
        <v>782</v>
      </c>
      <c r="D2404">
        <v>9180</v>
      </c>
      <c r="E2404">
        <v>44064</v>
      </c>
      <c r="F2404" t="str">
        <f t="shared" si="74"/>
        <v>novembro</v>
      </c>
      <c r="G2404">
        <f t="shared" si="75"/>
        <v>2023</v>
      </c>
    </row>
    <row r="2405" spans="1:7" x14ac:dyDescent="0.25">
      <c r="A2405">
        <v>8120052</v>
      </c>
      <c r="B2405" s="1">
        <v>45231</v>
      </c>
      <c r="C2405" t="s">
        <v>783</v>
      </c>
      <c r="D2405">
        <v>19.3</v>
      </c>
      <c r="E2405">
        <v>65.650000000000006</v>
      </c>
      <c r="F2405" t="str">
        <f t="shared" si="74"/>
        <v>novembro</v>
      </c>
      <c r="G2405">
        <f t="shared" si="75"/>
        <v>2023</v>
      </c>
    </row>
    <row r="2406" spans="1:7" x14ac:dyDescent="0.25">
      <c r="A2406">
        <v>8120053</v>
      </c>
      <c r="B2406" s="1">
        <v>45231</v>
      </c>
      <c r="C2406" t="s">
        <v>784</v>
      </c>
      <c r="D2406">
        <v>720</v>
      </c>
      <c r="E2406">
        <v>4536</v>
      </c>
      <c r="F2406" t="str">
        <f t="shared" si="74"/>
        <v>novembro</v>
      </c>
      <c r="G2406">
        <f t="shared" si="75"/>
        <v>2023</v>
      </c>
    </row>
    <row r="2407" spans="1:7" x14ac:dyDescent="0.25">
      <c r="A2407">
        <v>8130001</v>
      </c>
      <c r="B2407" s="1">
        <v>45231</v>
      </c>
      <c r="C2407" t="s">
        <v>380</v>
      </c>
      <c r="D2407">
        <v>3</v>
      </c>
      <c r="E2407">
        <v>6.78</v>
      </c>
      <c r="F2407" t="str">
        <f t="shared" si="74"/>
        <v>novembro</v>
      </c>
      <c r="G2407">
        <f t="shared" si="75"/>
        <v>2023</v>
      </c>
    </row>
    <row r="2408" spans="1:7" x14ac:dyDescent="0.25">
      <c r="A2408">
        <v>8130003</v>
      </c>
      <c r="B2408" s="1">
        <v>45231</v>
      </c>
      <c r="C2408" t="s">
        <v>516</v>
      </c>
      <c r="D2408">
        <v>2</v>
      </c>
      <c r="E2408">
        <v>6.8</v>
      </c>
      <c r="F2408" t="str">
        <f t="shared" si="74"/>
        <v>novembro</v>
      </c>
      <c r="G2408">
        <f t="shared" si="75"/>
        <v>2023</v>
      </c>
    </row>
    <row r="2409" spans="1:7" x14ac:dyDescent="0.25">
      <c r="A2409">
        <v>8130007</v>
      </c>
      <c r="B2409" s="1">
        <v>45231</v>
      </c>
      <c r="C2409" t="s">
        <v>737</v>
      </c>
      <c r="D2409">
        <v>680</v>
      </c>
      <c r="E2409">
        <v>1060.4000000000001</v>
      </c>
      <c r="F2409" t="str">
        <f t="shared" si="74"/>
        <v>novembro</v>
      </c>
      <c r="G2409">
        <f t="shared" si="75"/>
        <v>2023</v>
      </c>
    </row>
    <row r="2410" spans="1:7" x14ac:dyDescent="0.25">
      <c r="A2410">
        <v>8130009</v>
      </c>
      <c r="B2410" s="1">
        <v>45231</v>
      </c>
      <c r="C2410" t="s">
        <v>738</v>
      </c>
      <c r="D2410">
        <v>100</v>
      </c>
      <c r="E2410">
        <v>184</v>
      </c>
      <c r="F2410" t="str">
        <f t="shared" si="74"/>
        <v>novembro</v>
      </c>
      <c r="G2410">
        <f t="shared" si="75"/>
        <v>2023</v>
      </c>
    </row>
    <row r="2411" spans="1:7" x14ac:dyDescent="0.25">
      <c r="A2411">
        <v>8130010</v>
      </c>
      <c r="B2411" s="1">
        <v>45231</v>
      </c>
      <c r="C2411" t="s">
        <v>619</v>
      </c>
      <c r="D2411">
        <v>8751</v>
      </c>
      <c r="E2411">
        <v>11343.4</v>
      </c>
      <c r="F2411" t="str">
        <f t="shared" si="74"/>
        <v>novembro</v>
      </c>
      <c r="G2411">
        <f t="shared" si="75"/>
        <v>2023</v>
      </c>
    </row>
    <row r="2412" spans="1:7" x14ac:dyDescent="0.25">
      <c r="A2412">
        <v>8130013</v>
      </c>
      <c r="B2412" s="1">
        <v>45231</v>
      </c>
      <c r="C2412" t="s">
        <v>416</v>
      </c>
      <c r="D2412">
        <v>3</v>
      </c>
      <c r="E2412">
        <v>7.92</v>
      </c>
      <c r="F2412" t="str">
        <f t="shared" si="74"/>
        <v>novembro</v>
      </c>
      <c r="G2412">
        <f t="shared" si="75"/>
        <v>2023</v>
      </c>
    </row>
    <row r="2413" spans="1:7" x14ac:dyDescent="0.25">
      <c r="A2413">
        <v>8130014</v>
      </c>
      <c r="B2413" s="1">
        <v>45231</v>
      </c>
      <c r="C2413" t="s">
        <v>417</v>
      </c>
      <c r="D2413">
        <v>8</v>
      </c>
      <c r="E2413">
        <v>29.2</v>
      </c>
      <c r="F2413" t="str">
        <f t="shared" si="74"/>
        <v>novembro</v>
      </c>
      <c r="G2413">
        <f t="shared" si="75"/>
        <v>2023</v>
      </c>
    </row>
    <row r="2414" spans="1:7" x14ac:dyDescent="0.25">
      <c r="A2414">
        <v>8130015</v>
      </c>
      <c r="B2414" s="1">
        <v>45231</v>
      </c>
      <c r="C2414" t="s">
        <v>622</v>
      </c>
      <c r="D2414">
        <v>10</v>
      </c>
      <c r="E2414">
        <v>36.479999999999997</v>
      </c>
      <c r="F2414" t="str">
        <f t="shared" si="74"/>
        <v>novembro</v>
      </c>
      <c r="G2414">
        <f t="shared" si="75"/>
        <v>2023</v>
      </c>
    </row>
    <row r="2415" spans="1:7" x14ac:dyDescent="0.25">
      <c r="A2415">
        <v>8140001</v>
      </c>
      <c r="B2415" s="1">
        <v>45231</v>
      </c>
      <c r="C2415" t="s">
        <v>381</v>
      </c>
      <c r="D2415">
        <v>2085</v>
      </c>
      <c r="E2415">
        <v>8920</v>
      </c>
      <c r="F2415" t="str">
        <f t="shared" si="74"/>
        <v>novembro</v>
      </c>
      <c r="G2415">
        <f t="shared" si="75"/>
        <v>2023</v>
      </c>
    </row>
    <row r="2416" spans="1:7" x14ac:dyDescent="0.25">
      <c r="A2416">
        <v>8140006</v>
      </c>
      <c r="B2416" s="1">
        <v>45231</v>
      </c>
      <c r="C2416" t="s">
        <v>423</v>
      </c>
      <c r="D2416">
        <v>20</v>
      </c>
      <c r="E2416">
        <v>46.4</v>
      </c>
      <c r="F2416" t="str">
        <f t="shared" si="74"/>
        <v>novembro</v>
      </c>
      <c r="G2416">
        <f t="shared" si="75"/>
        <v>2023</v>
      </c>
    </row>
    <row r="2417" spans="1:7" x14ac:dyDescent="0.25">
      <c r="A2417">
        <v>8140013</v>
      </c>
      <c r="B2417" s="1">
        <v>45231</v>
      </c>
      <c r="C2417" t="s">
        <v>674</v>
      </c>
      <c r="D2417">
        <v>941</v>
      </c>
      <c r="E2417">
        <v>523.21</v>
      </c>
      <c r="F2417" t="str">
        <f t="shared" si="74"/>
        <v>novembro</v>
      </c>
      <c r="G2417">
        <f t="shared" si="75"/>
        <v>2023</v>
      </c>
    </row>
    <row r="2418" spans="1:7" x14ac:dyDescent="0.25">
      <c r="A2418">
        <v>8140014</v>
      </c>
      <c r="B2418" s="1">
        <v>45231</v>
      </c>
      <c r="C2418" t="s">
        <v>675</v>
      </c>
      <c r="D2418">
        <v>62</v>
      </c>
      <c r="E2418">
        <v>62.04</v>
      </c>
      <c r="F2418" t="str">
        <f t="shared" si="74"/>
        <v>novembro</v>
      </c>
      <c r="G2418">
        <f t="shared" si="75"/>
        <v>2023</v>
      </c>
    </row>
    <row r="2419" spans="1:7" x14ac:dyDescent="0.25">
      <c r="A2419">
        <v>8140015</v>
      </c>
      <c r="B2419" s="1">
        <v>45231</v>
      </c>
      <c r="C2419" t="s">
        <v>676</v>
      </c>
      <c r="D2419">
        <v>489</v>
      </c>
      <c r="E2419">
        <v>460.56</v>
      </c>
      <c r="F2419" t="str">
        <f t="shared" si="74"/>
        <v>novembro</v>
      </c>
      <c r="G2419">
        <f t="shared" si="75"/>
        <v>2023</v>
      </c>
    </row>
    <row r="2420" spans="1:7" x14ac:dyDescent="0.25">
      <c r="A2420">
        <v>8140016</v>
      </c>
      <c r="B2420" s="1">
        <v>45231</v>
      </c>
      <c r="C2420" t="s">
        <v>677</v>
      </c>
      <c r="D2420">
        <v>104</v>
      </c>
      <c r="E2420">
        <v>382.88</v>
      </c>
      <c r="F2420" t="str">
        <f t="shared" si="74"/>
        <v>novembro</v>
      </c>
      <c r="G2420">
        <f t="shared" si="75"/>
        <v>2023</v>
      </c>
    </row>
    <row r="2421" spans="1:7" x14ac:dyDescent="0.25">
      <c r="A2421">
        <v>8140023</v>
      </c>
      <c r="B2421" s="1">
        <v>45231</v>
      </c>
      <c r="C2421" t="s">
        <v>785</v>
      </c>
      <c r="D2421">
        <v>30</v>
      </c>
      <c r="E2421">
        <v>54</v>
      </c>
      <c r="F2421" t="str">
        <f t="shared" si="74"/>
        <v>novembro</v>
      </c>
      <c r="G2421">
        <f t="shared" si="75"/>
        <v>2023</v>
      </c>
    </row>
    <row r="2422" spans="1:7" x14ac:dyDescent="0.25">
      <c r="A2422">
        <v>8140024</v>
      </c>
      <c r="B2422" s="1">
        <v>45231</v>
      </c>
      <c r="C2422" t="s">
        <v>786</v>
      </c>
      <c r="D2422">
        <v>30</v>
      </c>
      <c r="E2422">
        <v>57</v>
      </c>
      <c r="F2422" t="str">
        <f t="shared" si="74"/>
        <v>novembro</v>
      </c>
      <c r="G2422">
        <f t="shared" si="75"/>
        <v>2023</v>
      </c>
    </row>
    <row r="2423" spans="1:7" x14ac:dyDescent="0.25">
      <c r="A2423">
        <v>8150001</v>
      </c>
      <c r="B2423" s="1">
        <v>45231</v>
      </c>
      <c r="C2423" t="s">
        <v>382</v>
      </c>
      <c r="D2423">
        <v>2</v>
      </c>
      <c r="E2423">
        <v>20.6</v>
      </c>
      <c r="F2423" t="str">
        <f t="shared" si="74"/>
        <v>novembro</v>
      </c>
      <c r="G2423">
        <f t="shared" si="75"/>
        <v>2023</v>
      </c>
    </row>
    <row r="2424" spans="1:7" x14ac:dyDescent="0.25">
      <c r="A2424">
        <v>8150002</v>
      </c>
      <c r="B2424" s="1">
        <v>45231</v>
      </c>
      <c r="C2424" t="s">
        <v>383</v>
      </c>
      <c r="D2424">
        <v>400</v>
      </c>
      <c r="E2424">
        <v>3340</v>
      </c>
      <c r="F2424" t="str">
        <f t="shared" si="74"/>
        <v>novembro</v>
      </c>
      <c r="G2424">
        <f t="shared" si="75"/>
        <v>2023</v>
      </c>
    </row>
    <row r="2425" spans="1:7" x14ac:dyDescent="0.25">
      <c r="A2425">
        <v>8150003</v>
      </c>
      <c r="B2425" s="1">
        <v>45231</v>
      </c>
      <c r="C2425" t="s">
        <v>384</v>
      </c>
      <c r="D2425">
        <v>109</v>
      </c>
      <c r="E2425">
        <v>808.4</v>
      </c>
      <c r="F2425" t="str">
        <f t="shared" si="74"/>
        <v>novembro</v>
      </c>
      <c r="G2425">
        <f t="shared" si="75"/>
        <v>2023</v>
      </c>
    </row>
    <row r="2426" spans="1:7" x14ac:dyDescent="0.25">
      <c r="A2426">
        <v>8150004</v>
      </c>
      <c r="B2426" s="1">
        <v>45231</v>
      </c>
      <c r="C2426" t="s">
        <v>625</v>
      </c>
      <c r="D2426">
        <v>7564</v>
      </c>
      <c r="E2426">
        <v>49161.47</v>
      </c>
      <c r="F2426" t="str">
        <f t="shared" si="74"/>
        <v>novembro</v>
      </c>
      <c r="G2426">
        <f t="shared" si="75"/>
        <v>2023</v>
      </c>
    </row>
    <row r="2427" spans="1:7" x14ac:dyDescent="0.25">
      <c r="A2427">
        <v>8150005</v>
      </c>
      <c r="B2427" s="1">
        <v>45231</v>
      </c>
      <c r="C2427" t="s">
        <v>386</v>
      </c>
      <c r="D2427">
        <v>2521</v>
      </c>
      <c r="E2427">
        <v>13734</v>
      </c>
      <c r="F2427" t="str">
        <f t="shared" si="74"/>
        <v>novembro</v>
      </c>
      <c r="G2427">
        <f t="shared" si="75"/>
        <v>2023</v>
      </c>
    </row>
    <row r="2428" spans="1:7" x14ac:dyDescent="0.25">
      <c r="A2428">
        <v>8150009</v>
      </c>
      <c r="B2428" s="1">
        <v>45231</v>
      </c>
      <c r="C2428" t="s">
        <v>678</v>
      </c>
      <c r="D2428">
        <v>1</v>
      </c>
      <c r="E2428">
        <v>0</v>
      </c>
      <c r="F2428" t="str">
        <f t="shared" si="74"/>
        <v>novembro</v>
      </c>
      <c r="G2428">
        <f t="shared" si="75"/>
        <v>2023</v>
      </c>
    </row>
    <row r="2429" spans="1:7" x14ac:dyDescent="0.25">
      <c r="A2429">
        <v>8150011</v>
      </c>
      <c r="B2429" s="1">
        <v>45231</v>
      </c>
      <c r="C2429" t="s">
        <v>532</v>
      </c>
      <c r="D2429">
        <v>1040</v>
      </c>
      <c r="E2429">
        <v>5619</v>
      </c>
      <c r="F2429" t="str">
        <f t="shared" si="74"/>
        <v>novembro</v>
      </c>
      <c r="G2429">
        <f t="shared" si="75"/>
        <v>2023</v>
      </c>
    </row>
    <row r="2430" spans="1:7" x14ac:dyDescent="0.25">
      <c r="A2430">
        <v>8150012</v>
      </c>
      <c r="B2430" s="1">
        <v>45231</v>
      </c>
      <c r="C2430" t="s">
        <v>626</v>
      </c>
      <c r="D2430">
        <v>4240</v>
      </c>
      <c r="E2430">
        <v>20691.2</v>
      </c>
      <c r="F2430" t="str">
        <f t="shared" si="74"/>
        <v>novembro</v>
      </c>
      <c r="G2430">
        <f t="shared" si="75"/>
        <v>2023</v>
      </c>
    </row>
    <row r="2431" spans="1:7" x14ac:dyDescent="0.25">
      <c r="A2431">
        <v>8150013</v>
      </c>
      <c r="B2431" s="1">
        <v>45231</v>
      </c>
      <c r="C2431" t="s">
        <v>536</v>
      </c>
      <c r="D2431">
        <v>1920</v>
      </c>
      <c r="E2431">
        <v>8832</v>
      </c>
      <c r="F2431" t="str">
        <f t="shared" si="74"/>
        <v>novembro</v>
      </c>
      <c r="G2431">
        <f t="shared" si="75"/>
        <v>2023</v>
      </c>
    </row>
    <row r="2432" spans="1:7" x14ac:dyDescent="0.25">
      <c r="A2432">
        <v>8150014</v>
      </c>
      <c r="B2432" s="1">
        <v>45231</v>
      </c>
      <c r="C2432" t="s">
        <v>538</v>
      </c>
      <c r="D2432">
        <v>7</v>
      </c>
      <c r="E2432">
        <v>28.35</v>
      </c>
      <c r="F2432" t="str">
        <f t="shared" si="74"/>
        <v>novembro</v>
      </c>
      <c r="G2432">
        <f t="shared" si="75"/>
        <v>2023</v>
      </c>
    </row>
    <row r="2433" spans="1:7" x14ac:dyDescent="0.25">
      <c r="A2433">
        <v>8150019</v>
      </c>
      <c r="B2433" s="1">
        <v>45231</v>
      </c>
      <c r="C2433" t="s">
        <v>680</v>
      </c>
      <c r="D2433">
        <v>10</v>
      </c>
      <c r="E2433">
        <v>50</v>
      </c>
      <c r="F2433" t="str">
        <f t="shared" si="74"/>
        <v>novembro</v>
      </c>
      <c r="G2433">
        <f t="shared" si="75"/>
        <v>2023</v>
      </c>
    </row>
    <row r="2434" spans="1:7" x14ac:dyDescent="0.25">
      <c r="A2434">
        <v>8150020</v>
      </c>
      <c r="B2434" s="1">
        <v>45231</v>
      </c>
      <c r="C2434" t="s">
        <v>706</v>
      </c>
      <c r="D2434">
        <v>5</v>
      </c>
      <c r="E2434">
        <v>44.3</v>
      </c>
      <c r="F2434" t="str">
        <f t="shared" si="74"/>
        <v>novembro</v>
      </c>
      <c r="G2434">
        <f t="shared" si="75"/>
        <v>2023</v>
      </c>
    </row>
    <row r="2435" spans="1:7" x14ac:dyDescent="0.25">
      <c r="A2435">
        <v>8150021</v>
      </c>
      <c r="B2435" s="1">
        <v>45231</v>
      </c>
      <c r="C2435" t="s">
        <v>739</v>
      </c>
      <c r="D2435">
        <v>1</v>
      </c>
      <c r="E2435">
        <v>0</v>
      </c>
      <c r="F2435" t="str">
        <f t="shared" ref="F2435:F2498" si="76">TEXT(B2435,"mmmm")</f>
        <v>novembro</v>
      </c>
      <c r="G2435">
        <f t="shared" ref="G2435:G2498" si="77">YEAR(B2435)</f>
        <v>2023</v>
      </c>
    </row>
    <row r="2436" spans="1:7" x14ac:dyDescent="0.25">
      <c r="A2436">
        <v>8150025</v>
      </c>
      <c r="B2436" s="1">
        <v>45231</v>
      </c>
      <c r="C2436" t="s">
        <v>679</v>
      </c>
      <c r="D2436">
        <v>648</v>
      </c>
      <c r="E2436">
        <v>5961.6</v>
      </c>
      <c r="F2436" t="str">
        <f t="shared" si="76"/>
        <v>novembro</v>
      </c>
      <c r="G2436">
        <f t="shared" si="77"/>
        <v>2023</v>
      </c>
    </row>
    <row r="2437" spans="1:7" x14ac:dyDescent="0.25">
      <c r="A2437">
        <v>8150028</v>
      </c>
      <c r="B2437" s="1">
        <v>45231</v>
      </c>
      <c r="C2437" t="s">
        <v>787</v>
      </c>
      <c r="D2437">
        <v>800</v>
      </c>
      <c r="E2437">
        <v>20400</v>
      </c>
      <c r="F2437" t="str">
        <f t="shared" si="76"/>
        <v>novembro</v>
      </c>
      <c r="G2437">
        <f t="shared" si="77"/>
        <v>2023</v>
      </c>
    </row>
    <row r="2438" spans="1:7" x14ac:dyDescent="0.25">
      <c r="A2438">
        <v>1010200</v>
      </c>
      <c r="B2438" s="1">
        <v>45261</v>
      </c>
      <c r="C2438" t="s">
        <v>331</v>
      </c>
      <c r="D2438" s="16">
        <v>735.7</v>
      </c>
      <c r="E2438" s="17">
        <v>220.71</v>
      </c>
      <c r="F2438" t="str">
        <f t="shared" si="76"/>
        <v>dezembro</v>
      </c>
      <c r="G2438">
        <f t="shared" si="77"/>
        <v>2023</v>
      </c>
    </row>
    <row r="2439" spans="1:7" x14ac:dyDescent="0.25">
      <c r="A2439">
        <v>1010300</v>
      </c>
      <c r="B2439" s="1">
        <v>45261</v>
      </c>
      <c r="C2439" t="s">
        <v>333</v>
      </c>
      <c r="D2439" s="16">
        <v>113.2</v>
      </c>
      <c r="E2439" s="17">
        <v>33.96</v>
      </c>
      <c r="F2439" t="str">
        <f t="shared" si="76"/>
        <v>dezembro</v>
      </c>
      <c r="G2439">
        <f t="shared" si="77"/>
        <v>2023</v>
      </c>
    </row>
    <row r="2440" spans="1:7" x14ac:dyDescent="0.25">
      <c r="A2440">
        <v>1010500</v>
      </c>
      <c r="B2440" s="1">
        <v>45261</v>
      </c>
      <c r="C2440" t="s">
        <v>6</v>
      </c>
      <c r="D2440" s="16">
        <v>1420</v>
      </c>
      <c r="E2440" s="17">
        <v>1111.04</v>
      </c>
      <c r="F2440" t="str">
        <f t="shared" si="76"/>
        <v>dezembro</v>
      </c>
      <c r="G2440">
        <f t="shared" si="77"/>
        <v>2023</v>
      </c>
    </row>
    <row r="2441" spans="1:7" x14ac:dyDescent="0.25">
      <c r="A2441">
        <v>1010600</v>
      </c>
      <c r="B2441" s="1">
        <v>45261</v>
      </c>
      <c r="C2441" t="s">
        <v>334</v>
      </c>
      <c r="D2441" s="16">
        <v>3325.7</v>
      </c>
      <c r="E2441" s="17">
        <v>2659.56</v>
      </c>
      <c r="F2441" t="str">
        <f t="shared" si="76"/>
        <v>dezembro</v>
      </c>
      <c r="G2441">
        <f t="shared" si="77"/>
        <v>2023</v>
      </c>
    </row>
    <row r="2442" spans="1:7" x14ac:dyDescent="0.25">
      <c r="A2442">
        <v>1010700</v>
      </c>
      <c r="B2442" s="1">
        <v>45261</v>
      </c>
      <c r="C2442" t="s">
        <v>335</v>
      </c>
      <c r="D2442" s="16">
        <v>683.45</v>
      </c>
      <c r="E2442" s="17">
        <v>1427.65</v>
      </c>
      <c r="F2442" t="str">
        <f t="shared" si="76"/>
        <v>dezembro</v>
      </c>
      <c r="G2442">
        <f t="shared" si="77"/>
        <v>2023</v>
      </c>
    </row>
    <row r="2443" spans="1:7" x14ac:dyDescent="0.25">
      <c r="A2443">
        <v>1010701</v>
      </c>
      <c r="B2443" s="1">
        <v>45261</v>
      </c>
      <c r="C2443" t="s">
        <v>12</v>
      </c>
      <c r="D2443" s="16">
        <v>208.74</v>
      </c>
      <c r="E2443" s="17">
        <v>1737.37</v>
      </c>
      <c r="F2443" t="str">
        <f t="shared" si="76"/>
        <v>dezembro</v>
      </c>
      <c r="G2443">
        <f t="shared" si="77"/>
        <v>2023</v>
      </c>
    </row>
    <row r="2444" spans="1:7" x14ac:dyDescent="0.25">
      <c r="A2444">
        <v>1010732</v>
      </c>
      <c r="B2444" s="1">
        <v>45261</v>
      </c>
      <c r="C2444" t="s">
        <v>14</v>
      </c>
      <c r="D2444" s="18">
        <v>50</v>
      </c>
      <c r="E2444" s="17">
        <v>410</v>
      </c>
      <c r="F2444" t="str">
        <f t="shared" si="76"/>
        <v>dezembro</v>
      </c>
      <c r="G2444">
        <f t="shared" si="77"/>
        <v>2023</v>
      </c>
    </row>
    <row r="2445" spans="1:7" x14ac:dyDescent="0.25">
      <c r="A2445">
        <v>1010902</v>
      </c>
      <c r="B2445" s="1">
        <v>45261</v>
      </c>
      <c r="C2445" t="s">
        <v>431</v>
      </c>
      <c r="D2445" s="16">
        <v>688.8</v>
      </c>
      <c r="E2445" s="17">
        <v>866.36</v>
      </c>
      <c r="F2445" t="str">
        <f t="shared" si="76"/>
        <v>dezembro</v>
      </c>
      <c r="G2445">
        <f t="shared" si="77"/>
        <v>2023</v>
      </c>
    </row>
    <row r="2446" spans="1:7" x14ac:dyDescent="0.25">
      <c r="A2446">
        <v>1010903</v>
      </c>
      <c r="B2446" s="1">
        <v>45261</v>
      </c>
      <c r="C2446" t="s">
        <v>629</v>
      </c>
      <c r="D2446" s="16">
        <v>255.5</v>
      </c>
      <c r="E2446" s="17">
        <v>217.48</v>
      </c>
      <c r="F2446" t="str">
        <f t="shared" si="76"/>
        <v>dezembro</v>
      </c>
      <c r="G2446">
        <f t="shared" si="77"/>
        <v>2023</v>
      </c>
    </row>
    <row r="2447" spans="1:7" x14ac:dyDescent="0.25">
      <c r="A2447">
        <v>1011000</v>
      </c>
      <c r="B2447" s="1">
        <v>45261</v>
      </c>
      <c r="C2447" t="s">
        <v>20</v>
      </c>
      <c r="D2447" s="17">
        <v>1021.32</v>
      </c>
      <c r="E2447" s="17">
        <v>708.67</v>
      </c>
      <c r="F2447" t="str">
        <f t="shared" si="76"/>
        <v>dezembro</v>
      </c>
      <c r="G2447">
        <f t="shared" si="77"/>
        <v>2023</v>
      </c>
    </row>
    <row r="2448" spans="1:7" x14ac:dyDescent="0.25">
      <c r="A2448">
        <v>1011200</v>
      </c>
      <c r="B2448" s="1">
        <v>45261</v>
      </c>
      <c r="C2448" t="s">
        <v>24</v>
      </c>
      <c r="D2448" s="16">
        <v>64.400000000000006</v>
      </c>
      <c r="E2448" s="17">
        <v>91.17</v>
      </c>
      <c r="F2448" t="str">
        <f t="shared" si="76"/>
        <v>dezembro</v>
      </c>
      <c r="G2448">
        <f t="shared" si="77"/>
        <v>2023</v>
      </c>
    </row>
    <row r="2449" spans="1:7" x14ac:dyDescent="0.25">
      <c r="A2449">
        <v>1011201</v>
      </c>
      <c r="B2449" s="1">
        <v>45261</v>
      </c>
      <c r="C2449" t="s">
        <v>338</v>
      </c>
      <c r="D2449" s="16">
        <v>94.3</v>
      </c>
      <c r="E2449" s="17">
        <v>254.61</v>
      </c>
      <c r="F2449" t="str">
        <f t="shared" si="76"/>
        <v>dezembro</v>
      </c>
      <c r="G2449">
        <f t="shared" si="77"/>
        <v>2023</v>
      </c>
    </row>
    <row r="2450" spans="1:7" x14ac:dyDescent="0.25">
      <c r="A2450">
        <v>1011202</v>
      </c>
      <c r="B2450" s="1">
        <v>45261</v>
      </c>
      <c r="C2450" t="s">
        <v>340</v>
      </c>
      <c r="D2450" s="16">
        <v>386.1</v>
      </c>
      <c r="E2450" s="17">
        <v>77.22</v>
      </c>
      <c r="F2450" t="str">
        <f t="shared" si="76"/>
        <v>dezembro</v>
      </c>
      <c r="G2450">
        <f t="shared" si="77"/>
        <v>2023</v>
      </c>
    </row>
    <row r="2451" spans="1:7" x14ac:dyDescent="0.25">
      <c r="A2451">
        <v>1011203</v>
      </c>
      <c r="B2451" s="1">
        <v>45261</v>
      </c>
      <c r="C2451" t="s">
        <v>342</v>
      </c>
      <c r="D2451" s="16">
        <v>95.5</v>
      </c>
      <c r="E2451" s="17">
        <v>57.3</v>
      </c>
      <c r="F2451" t="str">
        <f t="shared" si="76"/>
        <v>dezembro</v>
      </c>
      <c r="G2451">
        <f t="shared" si="77"/>
        <v>2023</v>
      </c>
    </row>
    <row r="2452" spans="1:7" x14ac:dyDescent="0.25">
      <c r="A2452">
        <v>1011204</v>
      </c>
      <c r="B2452" s="1">
        <v>45261</v>
      </c>
      <c r="C2452" t="s">
        <v>344</v>
      </c>
      <c r="D2452" s="16">
        <v>106.7</v>
      </c>
      <c r="E2452" s="17">
        <v>181.39</v>
      </c>
      <c r="F2452" t="str">
        <f t="shared" si="76"/>
        <v>dezembro</v>
      </c>
      <c r="G2452">
        <f t="shared" si="77"/>
        <v>2023</v>
      </c>
    </row>
    <row r="2453" spans="1:7" x14ac:dyDescent="0.25">
      <c r="A2453">
        <v>1011211</v>
      </c>
      <c r="B2453" s="1">
        <v>45261</v>
      </c>
      <c r="C2453" t="s">
        <v>685</v>
      </c>
      <c r="D2453" s="16">
        <v>213.4</v>
      </c>
      <c r="E2453" s="17">
        <v>74.7</v>
      </c>
      <c r="F2453" t="str">
        <f t="shared" si="76"/>
        <v>dezembro</v>
      </c>
      <c r="G2453">
        <f t="shared" si="77"/>
        <v>2023</v>
      </c>
    </row>
    <row r="2454" spans="1:7" x14ac:dyDescent="0.25">
      <c r="A2454">
        <v>1011300</v>
      </c>
      <c r="B2454" s="1">
        <v>45261</v>
      </c>
      <c r="C2454" t="s">
        <v>295</v>
      </c>
      <c r="D2454" s="17">
        <v>9793.2000000000007</v>
      </c>
      <c r="E2454" s="17">
        <v>2791.9</v>
      </c>
      <c r="F2454" t="str">
        <f t="shared" si="76"/>
        <v>dezembro</v>
      </c>
      <c r="G2454">
        <f t="shared" si="77"/>
        <v>2023</v>
      </c>
    </row>
    <row r="2455" spans="1:7" x14ac:dyDescent="0.25">
      <c r="A2455">
        <v>1011400</v>
      </c>
      <c r="B2455" s="1">
        <v>45261</v>
      </c>
      <c r="C2455" t="s">
        <v>25</v>
      </c>
      <c r="D2455" s="18">
        <v>6</v>
      </c>
      <c r="E2455" s="17">
        <v>15</v>
      </c>
      <c r="F2455" t="str">
        <f t="shared" si="76"/>
        <v>dezembro</v>
      </c>
      <c r="G2455">
        <f t="shared" si="77"/>
        <v>2023</v>
      </c>
    </row>
    <row r="2456" spans="1:7" x14ac:dyDescent="0.25">
      <c r="A2456">
        <v>1011500</v>
      </c>
      <c r="B2456" s="1">
        <v>45261</v>
      </c>
      <c r="C2456" t="s">
        <v>27</v>
      </c>
      <c r="D2456" s="16">
        <v>951.52</v>
      </c>
      <c r="E2456" s="17">
        <v>751.65</v>
      </c>
      <c r="F2456" t="str">
        <f t="shared" si="76"/>
        <v>dezembro</v>
      </c>
      <c r="G2456">
        <f t="shared" si="77"/>
        <v>2023</v>
      </c>
    </row>
    <row r="2457" spans="1:7" x14ac:dyDescent="0.25">
      <c r="A2457">
        <v>1011604</v>
      </c>
      <c r="B2457" s="1">
        <v>45261</v>
      </c>
      <c r="C2457" t="s">
        <v>29</v>
      </c>
      <c r="D2457" s="17">
        <v>20173</v>
      </c>
      <c r="E2457" s="17">
        <v>1613.84</v>
      </c>
      <c r="F2457" t="str">
        <f t="shared" si="76"/>
        <v>dezembro</v>
      </c>
      <c r="G2457">
        <f t="shared" si="77"/>
        <v>2023</v>
      </c>
    </row>
    <row r="2458" spans="1:7" x14ac:dyDescent="0.25">
      <c r="A2458">
        <v>1011700</v>
      </c>
      <c r="B2458" s="1">
        <v>45261</v>
      </c>
      <c r="C2458" t="s">
        <v>31</v>
      </c>
      <c r="D2458" s="16">
        <v>194.99</v>
      </c>
      <c r="E2458" s="17">
        <v>321.25</v>
      </c>
      <c r="F2458" t="str">
        <f t="shared" si="76"/>
        <v>dezembro</v>
      </c>
      <c r="G2458">
        <f t="shared" si="77"/>
        <v>2023</v>
      </c>
    </row>
    <row r="2459" spans="1:7" x14ac:dyDescent="0.25">
      <c r="A2459">
        <v>1011800</v>
      </c>
      <c r="B2459" s="1">
        <v>45261</v>
      </c>
      <c r="C2459" t="s">
        <v>33</v>
      </c>
      <c r="D2459" s="17">
        <v>2172.4499999999998</v>
      </c>
      <c r="E2459" s="17">
        <v>3649.37</v>
      </c>
      <c r="F2459" t="str">
        <f t="shared" si="76"/>
        <v>dezembro</v>
      </c>
      <c r="G2459">
        <f t="shared" si="77"/>
        <v>2023</v>
      </c>
    </row>
    <row r="2460" spans="1:7" x14ac:dyDescent="0.25">
      <c r="A2460">
        <v>1011901</v>
      </c>
      <c r="B2460" s="1">
        <v>45261</v>
      </c>
      <c r="C2460" t="s">
        <v>37</v>
      </c>
      <c r="D2460" s="16">
        <v>187.4</v>
      </c>
      <c r="E2460" s="17">
        <v>134.25</v>
      </c>
      <c r="F2460" t="str">
        <f t="shared" si="76"/>
        <v>dezembro</v>
      </c>
      <c r="G2460">
        <f t="shared" si="77"/>
        <v>2023</v>
      </c>
    </row>
    <row r="2461" spans="1:7" x14ac:dyDescent="0.25">
      <c r="A2461">
        <v>1012100</v>
      </c>
      <c r="B2461" s="1">
        <v>45261</v>
      </c>
      <c r="C2461" t="s">
        <v>302</v>
      </c>
      <c r="D2461" s="16">
        <v>476.2</v>
      </c>
      <c r="E2461" s="17">
        <v>1333.36</v>
      </c>
      <c r="F2461" t="str">
        <f t="shared" si="76"/>
        <v>dezembro</v>
      </c>
      <c r="G2461">
        <f t="shared" si="77"/>
        <v>2023</v>
      </c>
    </row>
    <row r="2462" spans="1:7" x14ac:dyDescent="0.25">
      <c r="A2462">
        <v>1012200</v>
      </c>
      <c r="B2462" s="1">
        <v>45261</v>
      </c>
      <c r="C2462" t="s">
        <v>39</v>
      </c>
      <c r="D2462" s="17">
        <v>1281.7</v>
      </c>
      <c r="E2462" s="17">
        <v>2127.54</v>
      </c>
      <c r="F2462" t="str">
        <f t="shared" si="76"/>
        <v>dezembro</v>
      </c>
      <c r="G2462">
        <f t="shared" si="77"/>
        <v>2023</v>
      </c>
    </row>
    <row r="2463" spans="1:7" x14ac:dyDescent="0.25">
      <c r="A2463">
        <v>1012201</v>
      </c>
      <c r="B2463" s="1">
        <v>45261</v>
      </c>
      <c r="C2463" t="s">
        <v>41</v>
      </c>
      <c r="D2463" s="16">
        <v>351.12</v>
      </c>
      <c r="E2463" s="17">
        <v>689.13</v>
      </c>
      <c r="F2463" t="str">
        <f t="shared" si="76"/>
        <v>dezembro</v>
      </c>
      <c r="G2463">
        <f t="shared" si="77"/>
        <v>2023</v>
      </c>
    </row>
    <row r="2464" spans="1:7" x14ac:dyDescent="0.25">
      <c r="A2464">
        <v>1012203</v>
      </c>
      <c r="B2464" s="1">
        <v>45261</v>
      </c>
      <c r="C2464" t="s">
        <v>43</v>
      </c>
      <c r="D2464" s="17">
        <v>1303.3</v>
      </c>
      <c r="E2464" s="17">
        <v>2327.5</v>
      </c>
      <c r="F2464" t="str">
        <f t="shared" si="76"/>
        <v>dezembro</v>
      </c>
      <c r="G2464">
        <f t="shared" si="77"/>
        <v>2023</v>
      </c>
    </row>
    <row r="2465" spans="1:7" x14ac:dyDescent="0.25">
      <c r="A2465">
        <v>1012300</v>
      </c>
      <c r="B2465" s="1">
        <v>45261</v>
      </c>
      <c r="C2465" t="s">
        <v>45</v>
      </c>
      <c r="D2465" s="16">
        <v>332.22</v>
      </c>
      <c r="E2465" s="17">
        <v>490.28</v>
      </c>
      <c r="F2465" t="str">
        <f t="shared" si="76"/>
        <v>dezembro</v>
      </c>
      <c r="G2465">
        <f t="shared" si="77"/>
        <v>2023</v>
      </c>
    </row>
    <row r="2466" spans="1:7" x14ac:dyDescent="0.25">
      <c r="A2466">
        <v>1012301</v>
      </c>
      <c r="B2466" s="1">
        <v>45261</v>
      </c>
      <c r="C2466" t="s">
        <v>47</v>
      </c>
      <c r="D2466" s="18">
        <v>100</v>
      </c>
      <c r="E2466" s="17">
        <v>87.5</v>
      </c>
      <c r="F2466" t="str">
        <f t="shared" si="76"/>
        <v>dezembro</v>
      </c>
      <c r="G2466">
        <f t="shared" si="77"/>
        <v>2023</v>
      </c>
    </row>
    <row r="2467" spans="1:7" x14ac:dyDescent="0.25">
      <c r="A2467">
        <v>1012400</v>
      </c>
      <c r="B2467" s="1">
        <v>45261</v>
      </c>
      <c r="C2467" t="s">
        <v>49</v>
      </c>
      <c r="D2467" s="17">
        <v>1007.61</v>
      </c>
      <c r="E2467" s="17">
        <v>1743.81</v>
      </c>
      <c r="F2467" t="str">
        <f t="shared" si="76"/>
        <v>dezembro</v>
      </c>
      <c r="G2467">
        <f t="shared" si="77"/>
        <v>2023</v>
      </c>
    </row>
    <row r="2468" spans="1:7" x14ac:dyDescent="0.25">
      <c r="A2468">
        <v>1012401</v>
      </c>
      <c r="B2468" s="1">
        <v>45261</v>
      </c>
      <c r="C2468" t="s">
        <v>51</v>
      </c>
      <c r="D2468" s="16">
        <v>56.95</v>
      </c>
      <c r="E2468" s="17">
        <v>92.59</v>
      </c>
      <c r="F2468" t="str">
        <f t="shared" si="76"/>
        <v>dezembro</v>
      </c>
      <c r="G2468">
        <f t="shared" si="77"/>
        <v>2023</v>
      </c>
    </row>
    <row r="2469" spans="1:7" x14ac:dyDescent="0.25">
      <c r="A2469">
        <v>1012500</v>
      </c>
      <c r="B2469" s="1">
        <v>45261</v>
      </c>
      <c r="C2469" t="s">
        <v>53</v>
      </c>
      <c r="D2469" s="17">
        <v>1185.8</v>
      </c>
      <c r="E2469" s="17">
        <v>299.8</v>
      </c>
      <c r="F2469" t="str">
        <f t="shared" si="76"/>
        <v>dezembro</v>
      </c>
      <c r="G2469">
        <f t="shared" si="77"/>
        <v>2023</v>
      </c>
    </row>
    <row r="2470" spans="1:7" x14ac:dyDescent="0.25">
      <c r="A2470">
        <v>1012601</v>
      </c>
      <c r="B2470" s="1">
        <v>45261</v>
      </c>
      <c r="C2470" t="s">
        <v>55</v>
      </c>
      <c r="D2470" s="16">
        <v>119.44</v>
      </c>
      <c r="E2470" s="17">
        <v>119.44</v>
      </c>
      <c r="F2470" t="str">
        <f t="shared" si="76"/>
        <v>dezembro</v>
      </c>
      <c r="G2470">
        <f t="shared" si="77"/>
        <v>2023</v>
      </c>
    </row>
    <row r="2471" spans="1:7" x14ac:dyDescent="0.25">
      <c r="A2471">
        <v>1012700</v>
      </c>
      <c r="B2471" s="1">
        <v>45261</v>
      </c>
      <c r="C2471" t="s">
        <v>630</v>
      </c>
      <c r="D2471" s="16">
        <v>137.19999999999999</v>
      </c>
      <c r="E2471" s="17">
        <v>178.36</v>
      </c>
      <c r="F2471" t="str">
        <f t="shared" si="76"/>
        <v>dezembro</v>
      </c>
      <c r="G2471">
        <f t="shared" si="77"/>
        <v>2023</v>
      </c>
    </row>
    <row r="2472" spans="1:7" x14ac:dyDescent="0.25">
      <c r="A2472">
        <v>1012800</v>
      </c>
      <c r="B2472" s="1">
        <v>45261</v>
      </c>
      <c r="C2472" t="s">
        <v>439</v>
      </c>
      <c r="D2472" s="19">
        <v>5.7</v>
      </c>
      <c r="E2472" s="17">
        <v>4.5599999999999996</v>
      </c>
      <c r="F2472" t="str">
        <f t="shared" si="76"/>
        <v>dezembro</v>
      </c>
      <c r="G2472">
        <f t="shared" si="77"/>
        <v>2023</v>
      </c>
    </row>
    <row r="2473" spans="1:7" x14ac:dyDescent="0.25">
      <c r="A2473">
        <v>1013100</v>
      </c>
      <c r="B2473" s="1">
        <v>45261</v>
      </c>
      <c r="C2473" t="s">
        <v>57</v>
      </c>
      <c r="D2473" s="19">
        <v>161.1</v>
      </c>
      <c r="E2473" s="17">
        <v>205.96</v>
      </c>
      <c r="F2473" t="str">
        <f t="shared" si="76"/>
        <v>dezembro</v>
      </c>
      <c r="G2473">
        <f t="shared" si="77"/>
        <v>2023</v>
      </c>
    </row>
    <row r="2474" spans="1:7" x14ac:dyDescent="0.25">
      <c r="A2474">
        <v>1013101</v>
      </c>
      <c r="B2474" s="1">
        <v>45261</v>
      </c>
      <c r="C2474" t="s">
        <v>346</v>
      </c>
      <c r="D2474">
        <v>4086</v>
      </c>
      <c r="E2474" s="17">
        <v>2451.6</v>
      </c>
      <c r="F2474" t="str">
        <f t="shared" si="76"/>
        <v>dezembro</v>
      </c>
      <c r="G2474">
        <f t="shared" si="77"/>
        <v>2023</v>
      </c>
    </row>
    <row r="2475" spans="1:7" x14ac:dyDescent="0.25">
      <c r="A2475">
        <v>1013200</v>
      </c>
      <c r="B2475" s="1">
        <v>45261</v>
      </c>
      <c r="C2475" t="s">
        <v>59</v>
      </c>
      <c r="D2475">
        <v>1884.8</v>
      </c>
      <c r="E2475" s="17">
        <v>2041.27</v>
      </c>
      <c r="F2475" t="str">
        <f t="shared" si="76"/>
        <v>dezembro</v>
      </c>
      <c r="G2475">
        <f t="shared" si="77"/>
        <v>2023</v>
      </c>
    </row>
    <row r="2476" spans="1:7" x14ac:dyDescent="0.25">
      <c r="A2476">
        <v>1013300</v>
      </c>
      <c r="B2476" s="1">
        <v>45261</v>
      </c>
      <c r="C2476" t="s">
        <v>348</v>
      </c>
      <c r="D2476" s="19">
        <v>747.6</v>
      </c>
      <c r="E2476" s="17">
        <v>224.28</v>
      </c>
      <c r="F2476" t="str">
        <f t="shared" si="76"/>
        <v>dezembro</v>
      </c>
      <c r="G2476">
        <f t="shared" si="77"/>
        <v>2023</v>
      </c>
    </row>
    <row r="2477" spans="1:7" x14ac:dyDescent="0.25">
      <c r="A2477">
        <v>1013400</v>
      </c>
      <c r="B2477" s="1">
        <v>45261</v>
      </c>
      <c r="C2477" t="s">
        <v>788</v>
      </c>
      <c r="D2477" s="19">
        <v>5.0999999999999996</v>
      </c>
      <c r="E2477" s="17">
        <v>4.08</v>
      </c>
      <c r="F2477" t="str">
        <f t="shared" si="76"/>
        <v>dezembro</v>
      </c>
      <c r="G2477">
        <f t="shared" si="77"/>
        <v>2023</v>
      </c>
    </row>
    <row r="2478" spans="1:7" x14ac:dyDescent="0.25">
      <c r="A2478">
        <v>1013500</v>
      </c>
      <c r="B2478" s="1">
        <v>45261</v>
      </c>
      <c r="C2478" t="s">
        <v>61</v>
      </c>
      <c r="D2478" s="19">
        <v>12.9</v>
      </c>
      <c r="E2478" s="17">
        <v>6.45</v>
      </c>
      <c r="F2478" t="str">
        <f t="shared" si="76"/>
        <v>dezembro</v>
      </c>
      <c r="G2478">
        <f t="shared" si="77"/>
        <v>2023</v>
      </c>
    </row>
    <row r="2479" spans="1:7" x14ac:dyDescent="0.25">
      <c r="A2479">
        <v>1100100</v>
      </c>
      <c r="B2479" s="1">
        <v>45261</v>
      </c>
      <c r="C2479" t="s">
        <v>63</v>
      </c>
      <c r="D2479">
        <v>69852.740000000005</v>
      </c>
      <c r="E2479">
        <v>173931.85</v>
      </c>
      <c r="F2479" t="str">
        <f t="shared" si="76"/>
        <v>dezembro</v>
      </c>
      <c r="G2479">
        <f t="shared" si="77"/>
        <v>2023</v>
      </c>
    </row>
    <row r="2480" spans="1:7" x14ac:dyDescent="0.25">
      <c r="A2480">
        <v>1100101</v>
      </c>
      <c r="B2480" s="1">
        <v>45261</v>
      </c>
      <c r="C2480" t="s">
        <v>65</v>
      </c>
      <c r="D2480" s="19">
        <v>265.60000000000002</v>
      </c>
      <c r="E2480" s="17">
        <v>666.6</v>
      </c>
      <c r="F2480" t="str">
        <f t="shared" si="76"/>
        <v>dezembro</v>
      </c>
      <c r="G2480">
        <f t="shared" si="77"/>
        <v>2023</v>
      </c>
    </row>
    <row r="2481" spans="1:7" x14ac:dyDescent="0.25">
      <c r="A2481">
        <v>1100102</v>
      </c>
      <c r="B2481" s="1">
        <v>45261</v>
      </c>
      <c r="C2481" t="s">
        <v>789</v>
      </c>
      <c r="D2481" s="19">
        <v>852.7</v>
      </c>
      <c r="E2481" s="17">
        <v>2153.83</v>
      </c>
      <c r="F2481" t="str">
        <f t="shared" si="76"/>
        <v>dezembro</v>
      </c>
      <c r="G2481">
        <f t="shared" si="77"/>
        <v>2023</v>
      </c>
    </row>
    <row r="2482" spans="1:7" x14ac:dyDescent="0.25">
      <c r="A2482">
        <v>1100200</v>
      </c>
      <c r="B2482" s="1">
        <v>45261</v>
      </c>
      <c r="C2482" t="s">
        <v>67</v>
      </c>
      <c r="D2482" s="17">
        <v>20339.71</v>
      </c>
      <c r="E2482" s="17">
        <v>57622.55</v>
      </c>
      <c r="F2482" t="str">
        <f t="shared" si="76"/>
        <v>dezembro</v>
      </c>
      <c r="G2482">
        <f t="shared" si="77"/>
        <v>2023</v>
      </c>
    </row>
    <row r="2483" spans="1:7" x14ac:dyDescent="0.25">
      <c r="A2483">
        <v>1100300</v>
      </c>
      <c r="B2483" s="1">
        <v>45261</v>
      </c>
      <c r="C2483" t="s">
        <v>69</v>
      </c>
      <c r="D2483" s="17">
        <v>4278.75</v>
      </c>
      <c r="E2483" s="17">
        <v>11971.06</v>
      </c>
      <c r="F2483" t="str">
        <f t="shared" si="76"/>
        <v>dezembro</v>
      </c>
      <c r="G2483">
        <f t="shared" si="77"/>
        <v>2023</v>
      </c>
    </row>
    <row r="2484" spans="1:7" x14ac:dyDescent="0.25">
      <c r="A2484">
        <v>1100301</v>
      </c>
      <c r="B2484" s="1">
        <v>45261</v>
      </c>
      <c r="C2484" t="s">
        <v>71</v>
      </c>
      <c r="D2484" s="19">
        <v>105.5</v>
      </c>
      <c r="E2484" s="17">
        <v>332.33</v>
      </c>
      <c r="F2484" t="str">
        <f t="shared" si="76"/>
        <v>dezembro</v>
      </c>
      <c r="G2484">
        <f t="shared" si="77"/>
        <v>2023</v>
      </c>
    </row>
    <row r="2485" spans="1:7" x14ac:dyDescent="0.25">
      <c r="A2485">
        <v>1100400</v>
      </c>
      <c r="B2485" s="1">
        <v>45261</v>
      </c>
      <c r="C2485" t="s">
        <v>73</v>
      </c>
      <c r="D2485" s="17">
        <v>15560.39</v>
      </c>
      <c r="E2485" s="17">
        <v>38003.050000000003</v>
      </c>
      <c r="F2485" t="str">
        <f t="shared" si="76"/>
        <v>dezembro</v>
      </c>
      <c r="G2485">
        <f t="shared" si="77"/>
        <v>2023</v>
      </c>
    </row>
    <row r="2486" spans="1:7" x14ac:dyDescent="0.25">
      <c r="A2486">
        <v>1100500</v>
      </c>
      <c r="B2486" s="1">
        <v>45261</v>
      </c>
      <c r="C2486" t="s">
        <v>75</v>
      </c>
      <c r="D2486" s="19">
        <v>191.7</v>
      </c>
      <c r="E2486" s="17">
        <v>526.88</v>
      </c>
      <c r="F2486" t="str">
        <f t="shared" si="76"/>
        <v>dezembro</v>
      </c>
      <c r="G2486">
        <f t="shared" si="77"/>
        <v>2023</v>
      </c>
    </row>
    <row r="2487" spans="1:7" x14ac:dyDescent="0.25">
      <c r="A2487">
        <v>1100600</v>
      </c>
      <c r="B2487" s="1">
        <v>45261</v>
      </c>
      <c r="C2487" t="s">
        <v>77</v>
      </c>
      <c r="D2487" s="17">
        <v>10142.280000000001</v>
      </c>
      <c r="E2487" s="17">
        <v>32596.57</v>
      </c>
      <c r="F2487" t="str">
        <f t="shared" si="76"/>
        <v>dezembro</v>
      </c>
      <c r="G2487">
        <f t="shared" si="77"/>
        <v>2023</v>
      </c>
    </row>
    <row r="2488" spans="1:7" x14ac:dyDescent="0.25">
      <c r="A2488">
        <v>1100602</v>
      </c>
      <c r="B2488" s="1">
        <v>45261</v>
      </c>
      <c r="C2488" t="s">
        <v>79</v>
      </c>
      <c r="D2488" s="19">
        <v>623.62</v>
      </c>
      <c r="E2488" s="17">
        <v>3305.21</v>
      </c>
      <c r="F2488" t="str">
        <f t="shared" si="76"/>
        <v>dezembro</v>
      </c>
      <c r="G2488">
        <f t="shared" si="77"/>
        <v>2023</v>
      </c>
    </row>
    <row r="2489" spans="1:7" x14ac:dyDescent="0.25">
      <c r="A2489">
        <v>1100603</v>
      </c>
      <c r="B2489" s="1">
        <v>45261</v>
      </c>
      <c r="C2489" t="s">
        <v>304</v>
      </c>
      <c r="D2489" s="18">
        <v>240</v>
      </c>
      <c r="E2489" s="17">
        <v>1301.5999999999999</v>
      </c>
      <c r="F2489" t="str">
        <f t="shared" si="76"/>
        <v>dezembro</v>
      </c>
      <c r="G2489">
        <f t="shared" si="77"/>
        <v>2023</v>
      </c>
    </row>
    <row r="2490" spans="1:7" x14ac:dyDescent="0.25">
      <c r="A2490">
        <v>1100608</v>
      </c>
      <c r="B2490" s="1">
        <v>45261</v>
      </c>
      <c r="C2490" t="s">
        <v>349</v>
      </c>
      <c r="D2490" s="17">
        <v>3018.5</v>
      </c>
      <c r="E2490" s="17">
        <v>9297.6</v>
      </c>
      <c r="F2490" t="str">
        <f t="shared" si="76"/>
        <v>dezembro</v>
      </c>
      <c r="G2490">
        <f t="shared" si="77"/>
        <v>2023</v>
      </c>
    </row>
    <row r="2491" spans="1:7" x14ac:dyDescent="0.25">
      <c r="A2491">
        <v>1100700</v>
      </c>
      <c r="B2491" s="1">
        <v>45261</v>
      </c>
      <c r="C2491" t="s">
        <v>83</v>
      </c>
      <c r="D2491" s="17">
        <v>21899.85</v>
      </c>
      <c r="E2491" s="17">
        <v>70368.52</v>
      </c>
      <c r="F2491" t="str">
        <f t="shared" si="76"/>
        <v>dezembro</v>
      </c>
      <c r="G2491">
        <f t="shared" si="77"/>
        <v>2023</v>
      </c>
    </row>
    <row r="2492" spans="1:7" x14ac:dyDescent="0.25">
      <c r="A2492">
        <v>1100701</v>
      </c>
      <c r="B2492" s="1">
        <v>45261</v>
      </c>
      <c r="C2492" t="s">
        <v>84</v>
      </c>
      <c r="D2492" s="19">
        <v>434.8</v>
      </c>
      <c r="E2492" s="17">
        <v>1652.76</v>
      </c>
      <c r="F2492" t="str">
        <f t="shared" si="76"/>
        <v>dezembro</v>
      </c>
      <c r="G2492">
        <f t="shared" si="77"/>
        <v>2023</v>
      </c>
    </row>
    <row r="2493" spans="1:7" x14ac:dyDescent="0.25">
      <c r="A2493">
        <v>1100703</v>
      </c>
      <c r="B2493" s="1">
        <v>45261</v>
      </c>
      <c r="C2493" t="s">
        <v>86</v>
      </c>
      <c r="D2493" s="17">
        <v>1848.3</v>
      </c>
      <c r="E2493" s="17">
        <v>6672.76</v>
      </c>
      <c r="F2493" t="str">
        <f t="shared" si="76"/>
        <v>dezembro</v>
      </c>
      <c r="G2493">
        <f t="shared" si="77"/>
        <v>2023</v>
      </c>
    </row>
    <row r="2494" spans="1:7" x14ac:dyDescent="0.25">
      <c r="A2494">
        <v>1100704</v>
      </c>
      <c r="B2494" s="1">
        <v>45261</v>
      </c>
      <c r="C2494" t="s">
        <v>718</v>
      </c>
      <c r="D2494" s="19">
        <v>10.199999999999999</v>
      </c>
      <c r="E2494" s="17">
        <v>54.06</v>
      </c>
      <c r="F2494" t="str">
        <f t="shared" si="76"/>
        <v>dezembro</v>
      </c>
      <c r="G2494">
        <f t="shared" si="77"/>
        <v>2023</v>
      </c>
    </row>
    <row r="2495" spans="1:7" x14ac:dyDescent="0.25">
      <c r="A2495">
        <v>1100705</v>
      </c>
      <c r="B2495" s="1">
        <v>45261</v>
      </c>
      <c r="C2495" t="s">
        <v>88</v>
      </c>
      <c r="D2495" s="19">
        <v>172.48</v>
      </c>
      <c r="E2495" s="17">
        <v>299.58999999999997</v>
      </c>
      <c r="F2495" t="str">
        <f t="shared" si="76"/>
        <v>dezembro</v>
      </c>
      <c r="G2495">
        <f t="shared" si="77"/>
        <v>2023</v>
      </c>
    </row>
    <row r="2496" spans="1:7" x14ac:dyDescent="0.25">
      <c r="A2496">
        <v>1100707</v>
      </c>
      <c r="B2496" s="1">
        <v>45261</v>
      </c>
      <c r="C2496" t="s">
        <v>686</v>
      </c>
      <c r="D2496" s="19">
        <v>483.45</v>
      </c>
      <c r="E2496" s="17">
        <v>1837.11</v>
      </c>
      <c r="F2496" t="str">
        <f t="shared" si="76"/>
        <v>dezembro</v>
      </c>
      <c r="G2496">
        <f t="shared" si="77"/>
        <v>2023</v>
      </c>
    </row>
    <row r="2497" spans="1:7" x14ac:dyDescent="0.25">
      <c r="A2497">
        <v>1100708</v>
      </c>
      <c r="B2497" s="1">
        <v>45261</v>
      </c>
      <c r="C2497" t="s">
        <v>790</v>
      </c>
      <c r="D2497" s="19">
        <v>568.61</v>
      </c>
      <c r="E2497" s="17">
        <v>2391.1</v>
      </c>
      <c r="F2497" t="str">
        <f t="shared" si="76"/>
        <v>dezembro</v>
      </c>
      <c r="G2497">
        <f t="shared" si="77"/>
        <v>2023</v>
      </c>
    </row>
    <row r="2498" spans="1:7" x14ac:dyDescent="0.25">
      <c r="A2498">
        <v>1100709</v>
      </c>
      <c r="B2498" s="1">
        <v>45261</v>
      </c>
      <c r="C2498" t="s">
        <v>764</v>
      </c>
      <c r="D2498" s="19">
        <v>711.69</v>
      </c>
      <c r="E2498" s="17">
        <v>2740.02</v>
      </c>
      <c r="F2498" t="str">
        <f t="shared" si="76"/>
        <v>dezembro</v>
      </c>
      <c r="G2498">
        <f t="shared" si="77"/>
        <v>2023</v>
      </c>
    </row>
    <row r="2499" spans="1:7" x14ac:dyDescent="0.25">
      <c r="A2499">
        <v>1100800</v>
      </c>
      <c r="B2499" s="1">
        <v>45261</v>
      </c>
      <c r="C2499" t="s">
        <v>90</v>
      </c>
      <c r="D2499" s="17">
        <v>17223.900000000001</v>
      </c>
      <c r="E2499" s="17">
        <v>50336.78</v>
      </c>
      <c r="F2499" t="str">
        <f t="shared" ref="F2499:F2562" si="78">TEXT(B2499,"mmmm")</f>
        <v>dezembro</v>
      </c>
      <c r="G2499">
        <f t="shared" ref="G2499:G2562" si="79">YEAR(B2499)</f>
        <v>2023</v>
      </c>
    </row>
    <row r="2500" spans="1:7" x14ac:dyDescent="0.25">
      <c r="A2500">
        <v>1100801</v>
      </c>
      <c r="B2500" s="1">
        <v>45261</v>
      </c>
      <c r="C2500" t="s">
        <v>92</v>
      </c>
      <c r="D2500" s="17">
        <v>1457</v>
      </c>
      <c r="E2500" s="17">
        <v>4079.6</v>
      </c>
      <c r="F2500" t="str">
        <f t="shared" si="78"/>
        <v>dezembro</v>
      </c>
      <c r="G2500">
        <f t="shared" si="79"/>
        <v>2023</v>
      </c>
    </row>
    <row r="2501" spans="1:7" x14ac:dyDescent="0.25">
      <c r="A2501">
        <v>1100802</v>
      </c>
      <c r="B2501" s="1">
        <v>45261</v>
      </c>
      <c r="C2501" t="s">
        <v>306</v>
      </c>
      <c r="D2501" s="19">
        <v>169.1</v>
      </c>
      <c r="E2501" s="17">
        <v>495.46</v>
      </c>
      <c r="F2501" t="str">
        <f t="shared" si="78"/>
        <v>dezembro</v>
      </c>
      <c r="G2501">
        <f t="shared" si="79"/>
        <v>2023</v>
      </c>
    </row>
    <row r="2502" spans="1:7" x14ac:dyDescent="0.25">
      <c r="A2502">
        <v>1100900</v>
      </c>
      <c r="B2502" s="1">
        <v>45261</v>
      </c>
      <c r="C2502" t="s">
        <v>94</v>
      </c>
      <c r="D2502" s="17">
        <v>1094.51</v>
      </c>
      <c r="E2502" s="17">
        <v>5523.03</v>
      </c>
      <c r="F2502" t="str">
        <f t="shared" si="78"/>
        <v>dezembro</v>
      </c>
      <c r="G2502">
        <f t="shared" si="79"/>
        <v>2023</v>
      </c>
    </row>
    <row r="2503" spans="1:7" x14ac:dyDescent="0.25">
      <c r="A2503">
        <v>1100901</v>
      </c>
      <c r="B2503" s="1">
        <v>45261</v>
      </c>
      <c r="C2503" t="s">
        <v>791</v>
      </c>
      <c r="D2503" s="19">
        <v>316.81</v>
      </c>
      <c r="E2503" s="17">
        <v>1252.06</v>
      </c>
      <c r="F2503" t="str">
        <f t="shared" si="78"/>
        <v>dezembro</v>
      </c>
      <c r="G2503">
        <f t="shared" si="79"/>
        <v>2023</v>
      </c>
    </row>
    <row r="2504" spans="1:7" x14ac:dyDescent="0.25">
      <c r="A2504">
        <v>1101000</v>
      </c>
      <c r="B2504" s="1">
        <v>45261</v>
      </c>
      <c r="C2504" t="s">
        <v>96</v>
      </c>
      <c r="D2504" s="17">
        <v>12045.88</v>
      </c>
      <c r="E2504" s="17">
        <v>41574.730000000003</v>
      </c>
      <c r="F2504" t="str">
        <f t="shared" si="78"/>
        <v>dezembro</v>
      </c>
      <c r="G2504">
        <f t="shared" si="79"/>
        <v>2023</v>
      </c>
    </row>
    <row r="2505" spans="1:7" x14ac:dyDescent="0.25">
      <c r="A2505">
        <v>1101001</v>
      </c>
      <c r="B2505" s="1">
        <v>45261</v>
      </c>
      <c r="C2505" t="s">
        <v>98</v>
      </c>
      <c r="D2505" s="19">
        <v>177.2</v>
      </c>
      <c r="E2505" s="17">
        <v>747.49</v>
      </c>
      <c r="F2505" t="str">
        <f t="shared" si="78"/>
        <v>dezembro</v>
      </c>
      <c r="G2505">
        <f t="shared" si="79"/>
        <v>2023</v>
      </c>
    </row>
    <row r="2506" spans="1:7" x14ac:dyDescent="0.25">
      <c r="A2506">
        <v>1101002</v>
      </c>
      <c r="B2506" s="1">
        <v>45261</v>
      </c>
      <c r="C2506" t="s">
        <v>687</v>
      </c>
      <c r="D2506" s="19">
        <v>1.94</v>
      </c>
      <c r="E2506" s="17">
        <v>7.66</v>
      </c>
      <c r="F2506" t="str">
        <f t="shared" si="78"/>
        <v>dezembro</v>
      </c>
      <c r="G2506">
        <f t="shared" si="79"/>
        <v>2023</v>
      </c>
    </row>
    <row r="2507" spans="1:7" x14ac:dyDescent="0.25">
      <c r="A2507">
        <v>1101100</v>
      </c>
      <c r="B2507" s="1">
        <v>45261</v>
      </c>
      <c r="C2507" t="s">
        <v>100</v>
      </c>
      <c r="D2507" s="17">
        <v>30379.9</v>
      </c>
      <c r="E2507" s="17">
        <v>93860.61</v>
      </c>
      <c r="F2507" t="str">
        <f t="shared" si="78"/>
        <v>dezembro</v>
      </c>
      <c r="G2507">
        <f t="shared" si="79"/>
        <v>2023</v>
      </c>
    </row>
    <row r="2508" spans="1:7" x14ac:dyDescent="0.25">
      <c r="A2508">
        <v>1101102</v>
      </c>
      <c r="B2508" s="1">
        <v>45261</v>
      </c>
      <c r="C2508" t="s">
        <v>742</v>
      </c>
      <c r="D2508" s="17">
        <v>1398.7</v>
      </c>
      <c r="E2508" s="17">
        <v>4885.12</v>
      </c>
      <c r="F2508" t="str">
        <f t="shared" si="78"/>
        <v>dezembro</v>
      </c>
      <c r="G2508">
        <f t="shared" si="79"/>
        <v>2023</v>
      </c>
    </row>
    <row r="2509" spans="1:7" x14ac:dyDescent="0.25">
      <c r="A2509">
        <v>1101103</v>
      </c>
      <c r="B2509" s="1">
        <v>45261</v>
      </c>
      <c r="C2509" t="s">
        <v>350</v>
      </c>
      <c r="D2509" s="17">
        <v>1638.1</v>
      </c>
      <c r="E2509" s="17">
        <v>4930.03</v>
      </c>
      <c r="F2509" t="str">
        <f t="shared" si="78"/>
        <v>dezembro</v>
      </c>
      <c r="G2509">
        <f t="shared" si="79"/>
        <v>2023</v>
      </c>
    </row>
    <row r="2510" spans="1:7" x14ac:dyDescent="0.25">
      <c r="A2510">
        <v>1101108</v>
      </c>
      <c r="B2510" s="1">
        <v>45261</v>
      </c>
      <c r="C2510" t="s">
        <v>743</v>
      </c>
      <c r="D2510" s="19">
        <v>503.4</v>
      </c>
      <c r="E2510" s="17">
        <v>1849.34</v>
      </c>
      <c r="F2510" t="str">
        <f t="shared" si="78"/>
        <v>dezembro</v>
      </c>
      <c r="G2510">
        <f t="shared" si="79"/>
        <v>2023</v>
      </c>
    </row>
    <row r="2511" spans="1:7" x14ac:dyDescent="0.25">
      <c r="A2511">
        <v>1101300</v>
      </c>
      <c r="B2511" s="1">
        <v>45261</v>
      </c>
      <c r="C2511" t="s">
        <v>102</v>
      </c>
      <c r="D2511" s="19">
        <v>297.7</v>
      </c>
      <c r="E2511" s="17">
        <v>1078.18</v>
      </c>
      <c r="F2511" t="str">
        <f t="shared" si="78"/>
        <v>dezembro</v>
      </c>
      <c r="G2511">
        <f t="shared" si="79"/>
        <v>2023</v>
      </c>
    </row>
    <row r="2512" spans="1:7" x14ac:dyDescent="0.25">
      <c r="A2512">
        <v>1101400</v>
      </c>
      <c r="B2512" s="1">
        <v>45261</v>
      </c>
      <c r="C2512" t="s">
        <v>104</v>
      </c>
      <c r="D2512" s="17">
        <v>25267.64</v>
      </c>
      <c r="E2512" s="17">
        <v>63137.73</v>
      </c>
      <c r="F2512" t="str">
        <f t="shared" si="78"/>
        <v>dezembro</v>
      </c>
      <c r="G2512">
        <f t="shared" si="79"/>
        <v>2023</v>
      </c>
    </row>
    <row r="2513" spans="1:7" x14ac:dyDescent="0.25">
      <c r="A2513">
        <v>1101500</v>
      </c>
      <c r="B2513" s="1">
        <v>45261</v>
      </c>
      <c r="C2513" t="s">
        <v>106</v>
      </c>
      <c r="D2513" s="17">
        <v>1111.4000000000001</v>
      </c>
      <c r="E2513" s="17">
        <v>2931.94</v>
      </c>
      <c r="F2513" t="str">
        <f t="shared" si="78"/>
        <v>dezembro</v>
      </c>
      <c r="G2513">
        <f t="shared" si="79"/>
        <v>2023</v>
      </c>
    </row>
    <row r="2514" spans="1:7" x14ac:dyDescent="0.25">
      <c r="A2514">
        <v>1101600</v>
      </c>
      <c r="B2514" s="1">
        <v>45261</v>
      </c>
      <c r="C2514" t="s">
        <v>108</v>
      </c>
      <c r="D2514" s="19">
        <v>64.2</v>
      </c>
      <c r="E2514" s="17">
        <v>175.36</v>
      </c>
      <c r="F2514" t="str">
        <f t="shared" si="78"/>
        <v>dezembro</v>
      </c>
      <c r="G2514">
        <f t="shared" si="79"/>
        <v>2023</v>
      </c>
    </row>
    <row r="2515" spans="1:7" x14ac:dyDescent="0.25">
      <c r="A2515">
        <v>1101700</v>
      </c>
      <c r="B2515" s="1">
        <v>45261</v>
      </c>
      <c r="C2515" t="s">
        <v>110</v>
      </c>
      <c r="D2515" s="17">
        <v>1712.15</v>
      </c>
      <c r="E2515" s="17">
        <v>4281.4799999999996</v>
      </c>
      <c r="F2515" t="str">
        <f t="shared" si="78"/>
        <v>dezembro</v>
      </c>
      <c r="G2515">
        <f t="shared" si="79"/>
        <v>2023</v>
      </c>
    </row>
    <row r="2516" spans="1:7" x14ac:dyDescent="0.25">
      <c r="A2516">
        <v>1101801</v>
      </c>
      <c r="B2516" s="1">
        <v>45261</v>
      </c>
      <c r="C2516" t="s">
        <v>112</v>
      </c>
      <c r="D2516" s="17">
        <v>1274.05</v>
      </c>
      <c r="E2516" s="17">
        <v>3086.21</v>
      </c>
      <c r="F2516" t="str">
        <f t="shared" si="78"/>
        <v>dezembro</v>
      </c>
      <c r="G2516">
        <f t="shared" si="79"/>
        <v>2023</v>
      </c>
    </row>
    <row r="2517" spans="1:7" x14ac:dyDescent="0.25">
      <c r="A2517">
        <v>1101900</v>
      </c>
      <c r="B2517" s="1">
        <v>45261</v>
      </c>
      <c r="C2517" t="s">
        <v>114</v>
      </c>
      <c r="D2517" s="17">
        <v>3008.95</v>
      </c>
      <c r="E2517" s="17">
        <v>9728.19</v>
      </c>
      <c r="F2517" t="str">
        <f t="shared" si="78"/>
        <v>dezembro</v>
      </c>
      <c r="G2517">
        <f t="shared" si="79"/>
        <v>2023</v>
      </c>
    </row>
    <row r="2518" spans="1:7" x14ac:dyDescent="0.25">
      <c r="A2518">
        <v>1101901</v>
      </c>
      <c r="B2518" s="1">
        <v>45261</v>
      </c>
      <c r="C2518" t="s">
        <v>448</v>
      </c>
      <c r="D2518" s="17">
        <v>1281.0999999999999</v>
      </c>
      <c r="E2518" s="17">
        <v>4726.8599999999997</v>
      </c>
      <c r="F2518" t="str">
        <f t="shared" si="78"/>
        <v>dezembro</v>
      </c>
      <c r="G2518">
        <f t="shared" si="79"/>
        <v>2023</v>
      </c>
    </row>
    <row r="2519" spans="1:7" x14ac:dyDescent="0.25">
      <c r="A2519">
        <v>1101902</v>
      </c>
      <c r="B2519" s="1">
        <v>45261</v>
      </c>
      <c r="C2519" t="s">
        <v>351</v>
      </c>
      <c r="D2519" s="19">
        <v>922.13</v>
      </c>
      <c r="E2519" s="17">
        <v>3747.9</v>
      </c>
      <c r="F2519" t="str">
        <f t="shared" si="78"/>
        <v>dezembro</v>
      </c>
      <c r="G2519">
        <f t="shared" si="79"/>
        <v>2023</v>
      </c>
    </row>
    <row r="2520" spans="1:7" x14ac:dyDescent="0.25">
      <c r="A2520">
        <v>1101904</v>
      </c>
      <c r="B2520" s="1">
        <v>45261</v>
      </c>
      <c r="C2520" t="s">
        <v>765</v>
      </c>
      <c r="D2520" s="19">
        <v>643.48</v>
      </c>
      <c r="E2520" s="17">
        <v>2702.61</v>
      </c>
      <c r="F2520" t="str">
        <f t="shared" si="78"/>
        <v>dezembro</v>
      </c>
      <c r="G2520">
        <f t="shared" si="79"/>
        <v>2023</v>
      </c>
    </row>
    <row r="2521" spans="1:7" x14ac:dyDescent="0.25">
      <c r="A2521">
        <v>1102000</v>
      </c>
      <c r="B2521" s="1">
        <v>45261</v>
      </c>
      <c r="C2521" t="s">
        <v>115</v>
      </c>
      <c r="D2521" s="19">
        <v>126.7</v>
      </c>
      <c r="E2521" s="17">
        <v>532.14</v>
      </c>
      <c r="F2521" t="str">
        <f t="shared" si="78"/>
        <v>dezembro</v>
      </c>
      <c r="G2521">
        <f t="shared" si="79"/>
        <v>2023</v>
      </c>
    </row>
    <row r="2522" spans="1:7" x14ac:dyDescent="0.25">
      <c r="A2522">
        <v>1102100</v>
      </c>
      <c r="B2522" s="1">
        <v>45261</v>
      </c>
      <c r="C2522" t="s">
        <v>688</v>
      </c>
      <c r="D2522" s="19">
        <v>44.6</v>
      </c>
      <c r="E2522" s="17">
        <v>137.37</v>
      </c>
      <c r="F2522" t="str">
        <f t="shared" si="78"/>
        <v>dezembro</v>
      </c>
      <c r="G2522">
        <f t="shared" si="79"/>
        <v>2023</v>
      </c>
    </row>
    <row r="2523" spans="1:7" x14ac:dyDescent="0.25">
      <c r="A2523">
        <v>1102300</v>
      </c>
      <c r="B2523" s="1">
        <v>45261</v>
      </c>
      <c r="C2523" t="s">
        <v>119</v>
      </c>
      <c r="D2523" s="17">
        <v>3530.6</v>
      </c>
      <c r="E2523" s="17">
        <v>9908.99</v>
      </c>
      <c r="F2523" t="str">
        <f t="shared" si="78"/>
        <v>dezembro</v>
      </c>
      <c r="G2523">
        <f t="shared" si="79"/>
        <v>2023</v>
      </c>
    </row>
    <row r="2524" spans="1:7" x14ac:dyDescent="0.25">
      <c r="A2524">
        <v>1102301</v>
      </c>
      <c r="B2524" s="1">
        <v>45261</v>
      </c>
      <c r="C2524" t="s">
        <v>792</v>
      </c>
      <c r="D2524" s="19">
        <v>89.2</v>
      </c>
      <c r="E2524" s="17">
        <v>243.52</v>
      </c>
      <c r="F2524" t="str">
        <f t="shared" si="78"/>
        <v>dezembro</v>
      </c>
      <c r="G2524">
        <f t="shared" si="79"/>
        <v>2023</v>
      </c>
    </row>
    <row r="2525" spans="1:7" x14ac:dyDescent="0.25">
      <c r="A2525">
        <v>1103000</v>
      </c>
      <c r="B2525" s="1">
        <v>45261</v>
      </c>
      <c r="C2525" t="s">
        <v>121</v>
      </c>
      <c r="D2525" s="19">
        <v>312.56</v>
      </c>
      <c r="E2525" s="17">
        <v>634.63</v>
      </c>
      <c r="F2525" t="str">
        <f t="shared" si="78"/>
        <v>dezembro</v>
      </c>
      <c r="G2525">
        <f t="shared" si="79"/>
        <v>2023</v>
      </c>
    </row>
    <row r="2526" spans="1:7" x14ac:dyDescent="0.25">
      <c r="A2526">
        <v>2010904</v>
      </c>
      <c r="B2526" s="1">
        <v>45261</v>
      </c>
      <c r="C2526" t="s">
        <v>633</v>
      </c>
      <c r="D2526" s="17">
        <v>1431.65</v>
      </c>
      <c r="E2526" s="17">
        <v>1408.49</v>
      </c>
      <c r="F2526" t="str">
        <f t="shared" si="78"/>
        <v>dezembro</v>
      </c>
      <c r="G2526">
        <f t="shared" si="79"/>
        <v>2023</v>
      </c>
    </row>
    <row r="2527" spans="1:7" x14ac:dyDescent="0.25">
      <c r="A2527">
        <v>2010905</v>
      </c>
      <c r="B2527" s="1">
        <v>45261</v>
      </c>
      <c r="C2527" t="s">
        <v>544</v>
      </c>
      <c r="D2527" s="18">
        <v>120</v>
      </c>
      <c r="E2527" s="17">
        <v>98</v>
      </c>
      <c r="F2527" t="str">
        <f t="shared" si="78"/>
        <v>dezembro</v>
      </c>
      <c r="G2527">
        <f t="shared" si="79"/>
        <v>2023</v>
      </c>
    </row>
    <row r="2528" spans="1:7" x14ac:dyDescent="0.25">
      <c r="A2528">
        <v>2011700</v>
      </c>
      <c r="B2528" s="1">
        <v>45261</v>
      </c>
      <c r="C2528" t="s">
        <v>129</v>
      </c>
      <c r="D2528" s="19">
        <v>173.2</v>
      </c>
      <c r="E2528" s="17">
        <v>470</v>
      </c>
      <c r="F2528" t="str">
        <f t="shared" si="78"/>
        <v>dezembro</v>
      </c>
      <c r="G2528">
        <f t="shared" si="79"/>
        <v>2023</v>
      </c>
    </row>
    <row r="2529" spans="1:7" x14ac:dyDescent="0.25">
      <c r="A2529">
        <v>2090002</v>
      </c>
      <c r="B2529" s="1">
        <v>45261</v>
      </c>
      <c r="C2529" t="s">
        <v>451</v>
      </c>
      <c r="D2529" s="19">
        <v>47.99</v>
      </c>
      <c r="E2529" s="17">
        <v>247.01</v>
      </c>
      <c r="F2529" t="str">
        <f t="shared" si="78"/>
        <v>dezembro</v>
      </c>
      <c r="G2529">
        <f t="shared" si="79"/>
        <v>2023</v>
      </c>
    </row>
    <row r="2530" spans="1:7" x14ac:dyDescent="0.25">
      <c r="A2530">
        <v>3020103</v>
      </c>
      <c r="B2530" s="1">
        <v>45261</v>
      </c>
      <c r="C2530" t="s">
        <v>131</v>
      </c>
      <c r="D2530" s="17">
        <v>6918.17</v>
      </c>
      <c r="E2530" s="17">
        <v>22462.02</v>
      </c>
      <c r="F2530" t="str">
        <f t="shared" si="78"/>
        <v>dezembro</v>
      </c>
      <c r="G2530">
        <f t="shared" si="79"/>
        <v>2023</v>
      </c>
    </row>
    <row r="2531" spans="1:7" x14ac:dyDescent="0.25">
      <c r="A2531">
        <v>3020212</v>
      </c>
      <c r="B2531" s="1">
        <v>45261</v>
      </c>
      <c r="C2531" t="s">
        <v>133</v>
      </c>
      <c r="D2531" s="17">
        <v>1187.06</v>
      </c>
      <c r="E2531" s="17">
        <v>4377.6099999999997</v>
      </c>
      <c r="F2531" t="str">
        <f t="shared" si="78"/>
        <v>dezembro</v>
      </c>
      <c r="G2531">
        <f t="shared" si="79"/>
        <v>2023</v>
      </c>
    </row>
    <row r="2532" spans="1:7" x14ac:dyDescent="0.25">
      <c r="A2532">
        <v>3020214</v>
      </c>
      <c r="B2532" s="1">
        <v>45261</v>
      </c>
      <c r="C2532" t="s">
        <v>135</v>
      </c>
      <c r="D2532" s="19">
        <v>436.6</v>
      </c>
      <c r="E2532" s="17">
        <v>1536.61</v>
      </c>
      <c r="F2532" t="str">
        <f t="shared" si="78"/>
        <v>dezembro</v>
      </c>
      <c r="G2532">
        <f t="shared" si="79"/>
        <v>2023</v>
      </c>
    </row>
    <row r="2533" spans="1:7" x14ac:dyDescent="0.25">
      <c r="A2533">
        <v>3020315</v>
      </c>
      <c r="B2533" s="1">
        <v>45261</v>
      </c>
      <c r="C2533" t="s">
        <v>137</v>
      </c>
      <c r="D2533" s="17">
        <v>2057.91</v>
      </c>
      <c r="E2533" s="17">
        <v>7322.22</v>
      </c>
      <c r="F2533" t="str">
        <f t="shared" si="78"/>
        <v>dezembro</v>
      </c>
      <c r="G2533">
        <f t="shared" si="79"/>
        <v>2023</v>
      </c>
    </row>
    <row r="2534" spans="1:7" x14ac:dyDescent="0.25">
      <c r="A2534">
        <v>3020316</v>
      </c>
      <c r="B2534" s="1">
        <v>45261</v>
      </c>
      <c r="C2534" t="s">
        <v>139</v>
      </c>
      <c r="D2534" s="19">
        <v>214.08</v>
      </c>
      <c r="E2534" s="17">
        <v>680.78</v>
      </c>
      <c r="F2534" t="str">
        <f t="shared" si="78"/>
        <v>dezembro</v>
      </c>
      <c r="G2534">
        <f t="shared" si="79"/>
        <v>2023</v>
      </c>
    </row>
    <row r="2535" spans="1:7" x14ac:dyDescent="0.25">
      <c r="A2535">
        <v>3020402</v>
      </c>
      <c r="B2535" s="1">
        <v>45261</v>
      </c>
      <c r="C2535" t="s">
        <v>141</v>
      </c>
      <c r="D2535" s="17">
        <v>2401.85</v>
      </c>
      <c r="E2535" s="17">
        <v>8393.99</v>
      </c>
      <c r="F2535" t="str">
        <f t="shared" si="78"/>
        <v>dezembro</v>
      </c>
      <c r="G2535">
        <f t="shared" si="79"/>
        <v>2023</v>
      </c>
    </row>
    <row r="2536" spans="1:7" x14ac:dyDescent="0.25">
      <c r="A2536">
        <v>3020504</v>
      </c>
      <c r="B2536" s="1">
        <v>45261</v>
      </c>
      <c r="C2536" t="s">
        <v>143</v>
      </c>
      <c r="D2536" s="19">
        <v>487.24</v>
      </c>
      <c r="E2536" s="17">
        <v>1837.22</v>
      </c>
      <c r="F2536" t="str">
        <f t="shared" si="78"/>
        <v>dezembro</v>
      </c>
      <c r="G2536">
        <f t="shared" si="79"/>
        <v>2023</v>
      </c>
    </row>
    <row r="2537" spans="1:7" x14ac:dyDescent="0.25">
      <c r="A2537">
        <v>3020622</v>
      </c>
      <c r="B2537" s="1">
        <v>45261</v>
      </c>
      <c r="C2537" t="s">
        <v>145</v>
      </c>
      <c r="D2537" s="17">
        <v>4422.5</v>
      </c>
      <c r="E2537" s="17">
        <v>16413.95</v>
      </c>
      <c r="F2537" t="str">
        <f t="shared" si="78"/>
        <v>dezembro</v>
      </c>
      <c r="G2537">
        <f t="shared" si="79"/>
        <v>2023</v>
      </c>
    </row>
    <row r="2538" spans="1:7" x14ac:dyDescent="0.25">
      <c r="A2538">
        <v>3020623</v>
      </c>
      <c r="B2538" s="1">
        <v>45261</v>
      </c>
      <c r="C2538" t="s">
        <v>147</v>
      </c>
      <c r="D2538" s="19">
        <v>654.25</v>
      </c>
      <c r="E2538" s="17">
        <v>2521.65</v>
      </c>
      <c r="F2538" t="str">
        <f t="shared" si="78"/>
        <v>dezembro</v>
      </c>
      <c r="G2538">
        <f t="shared" si="79"/>
        <v>2023</v>
      </c>
    </row>
    <row r="2539" spans="1:7" x14ac:dyDescent="0.25">
      <c r="A2539">
        <v>3020725</v>
      </c>
      <c r="B2539" s="1">
        <v>45261</v>
      </c>
      <c r="C2539" t="s">
        <v>149</v>
      </c>
      <c r="D2539" s="19">
        <v>290.82</v>
      </c>
      <c r="E2539" s="17">
        <v>1102.9000000000001</v>
      </c>
      <c r="F2539" t="str">
        <f t="shared" si="78"/>
        <v>dezembro</v>
      </c>
      <c r="G2539">
        <f t="shared" si="79"/>
        <v>2023</v>
      </c>
    </row>
    <row r="2540" spans="1:7" x14ac:dyDescent="0.25">
      <c r="A2540">
        <v>3020823</v>
      </c>
      <c r="B2540" s="1">
        <v>45261</v>
      </c>
      <c r="C2540" t="s">
        <v>151</v>
      </c>
      <c r="D2540" s="17">
        <v>1784.15</v>
      </c>
      <c r="E2540" s="17">
        <v>6614.18</v>
      </c>
      <c r="F2540" t="str">
        <f t="shared" si="78"/>
        <v>dezembro</v>
      </c>
      <c r="G2540">
        <f t="shared" si="79"/>
        <v>2023</v>
      </c>
    </row>
    <row r="2541" spans="1:7" x14ac:dyDescent="0.25">
      <c r="A2541">
        <v>3020824</v>
      </c>
      <c r="B2541" s="1">
        <v>45261</v>
      </c>
      <c r="C2541" t="s">
        <v>153</v>
      </c>
      <c r="D2541" s="17">
        <v>1299.25</v>
      </c>
      <c r="E2541" s="17">
        <v>4841.62</v>
      </c>
      <c r="F2541" t="str">
        <f t="shared" si="78"/>
        <v>dezembro</v>
      </c>
      <c r="G2541">
        <f t="shared" si="79"/>
        <v>2023</v>
      </c>
    </row>
    <row r="2542" spans="1:7" x14ac:dyDescent="0.25">
      <c r="A2542">
        <v>3020825</v>
      </c>
      <c r="B2542" s="1">
        <v>45261</v>
      </c>
      <c r="C2542" t="s">
        <v>455</v>
      </c>
      <c r="D2542" s="19">
        <v>257.70999999999998</v>
      </c>
      <c r="E2542" s="17">
        <v>1056.6199999999999</v>
      </c>
      <c r="F2542" t="str">
        <f t="shared" si="78"/>
        <v>dezembro</v>
      </c>
      <c r="G2542">
        <f t="shared" si="79"/>
        <v>2023</v>
      </c>
    </row>
    <row r="2543" spans="1:7" x14ac:dyDescent="0.25">
      <c r="A2543">
        <v>3020924</v>
      </c>
      <c r="B2543" s="1">
        <v>45261</v>
      </c>
      <c r="C2543" t="s">
        <v>155</v>
      </c>
      <c r="D2543" s="17">
        <v>1059.47</v>
      </c>
      <c r="E2543" s="17">
        <v>4040.32</v>
      </c>
      <c r="F2543" t="str">
        <f t="shared" si="78"/>
        <v>dezembro</v>
      </c>
      <c r="G2543">
        <f t="shared" si="79"/>
        <v>2023</v>
      </c>
    </row>
    <row r="2544" spans="1:7" x14ac:dyDescent="0.25">
      <c r="A2544">
        <v>3020925</v>
      </c>
      <c r="B2544" s="1">
        <v>45261</v>
      </c>
      <c r="C2544" t="s">
        <v>157</v>
      </c>
      <c r="D2544" s="17">
        <v>1801.34</v>
      </c>
      <c r="E2544" s="17">
        <v>6907.86</v>
      </c>
      <c r="F2544" t="str">
        <f t="shared" si="78"/>
        <v>dezembro</v>
      </c>
      <c r="G2544">
        <f t="shared" si="79"/>
        <v>2023</v>
      </c>
    </row>
    <row r="2545" spans="1:7" x14ac:dyDescent="0.25">
      <c r="A2545">
        <v>3021436</v>
      </c>
      <c r="B2545" s="1">
        <v>45261</v>
      </c>
      <c r="C2545" t="s">
        <v>546</v>
      </c>
      <c r="D2545" s="19">
        <v>416.51</v>
      </c>
      <c r="E2545" s="17">
        <v>1350.85</v>
      </c>
      <c r="F2545" t="str">
        <f t="shared" si="78"/>
        <v>dezembro</v>
      </c>
      <c r="G2545">
        <f t="shared" si="79"/>
        <v>2023</v>
      </c>
    </row>
    <row r="2546" spans="1:7" x14ac:dyDescent="0.25">
      <c r="A2546">
        <v>3021538</v>
      </c>
      <c r="B2546" s="1">
        <v>45261</v>
      </c>
      <c r="C2546" t="s">
        <v>548</v>
      </c>
      <c r="D2546" s="19">
        <v>66.36</v>
      </c>
      <c r="E2546" s="17">
        <v>207.31</v>
      </c>
      <c r="F2546" t="str">
        <f t="shared" si="78"/>
        <v>dezembro</v>
      </c>
      <c r="G2546">
        <f t="shared" si="79"/>
        <v>2023</v>
      </c>
    </row>
    <row r="2547" spans="1:7" x14ac:dyDescent="0.25">
      <c r="A2547">
        <v>3021639</v>
      </c>
      <c r="B2547" s="1">
        <v>45261</v>
      </c>
      <c r="C2547" t="s">
        <v>457</v>
      </c>
      <c r="D2547" s="19">
        <v>19.600000000000001</v>
      </c>
      <c r="E2547" s="17">
        <v>60.76</v>
      </c>
      <c r="F2547" t="str">
        <f t="shared" si="78"/>
        <v>dezembro</v>
      </c>
      <c r="G2547">
        <f t="shared" si="79"/>
        <v>2023</v>
      </c>
    </row>
    <row r="2548" spans="1:7" x14ac:dyDescent="0.25">
      <c r="A2548">
        <v>3021739</v>
      </c>
      <c r="B2548" s="1">
        <v>45261</v>
      </c>
      <c r="C2548" t="s">
        <v>165</v>
      </c>
      <c r="D2548" s="19">
        <v>459.67</v>
      </c>
      <c r="E2548" s="17">
        <v>1287.07</v>
      </c>
      <c r="F2548" t="str">
        <f t="shared" si="78"/>
        <v>dezembro</v>
      </c>
      <c r="G2548">
        <f t="shared" si="79"/>
        <v>2023</v>
      </c>
    </row>
    <row r="2549" spans="1:7" x14ac:dyDescent="0.25">
      <c r="A2549">
        <v>3021740</v>
      </c>
      <c r="B2549" s="1">
        <v>45261</v>
      </c>
      <c r="C2549" t="s">
        <v>459</v>
      </c>
      <c r="D2549" s="19">
        <v>139.94</v>
      </c>
      <c r="E2549" s="17">
        <v>433.48</v>
      </c>
      <c r="F2549" t="str">
        <f t="shared" si="78"/>
        <v>dezembro</v>
      </c>
      <c r="G2549">
        <f t="shared" si="79"/>
        <v>2023</v>
      </c>
    </row>
    <row r="2550" spans="1:7" x14ac:dyDescent="0.25">
      <c r="A2550">
        <v>3021760</v>
      </c>
      <c r="B2550" s="1">
        <v>45261</v>
      </c>
      <c r="C2550" t="s">
        <v>167</v>
      </c>
      <c r="D2550" s="19">
        <v>871.33</v>
      </c>
      <c r="E2550" s="17">
        <v>1744.52</v>
      </c>
      <c r="F2550" t="str">
        <f t="shared" si="78"/>
        <v>dezembro</v>
      </c>
      <c r="G2550">
        <f t="shared" si="79"/>
        <v>2023</v>
      </c>
    </row>
    <row r="2551" spans="1:7" x14ac:dyDescent="0.25">
      <c r="A2551">
        <v>3021811</v>
      </c>
      <c r="B2551" s="1">
        <v>45261</v>
      </c>
      <c r="C2551" t="s">
        <v>169</v>
      </c>
      <c r="D2551" s="19">
        <v>583.46</v>
      </c>
      <c r="E2551" s="17">
        <v>1279.55</v>
      </c>
      <c r="F2551" t="str">
        <f t="shared" si="78"/>
        <v>dezembro</v>
      </c>
      <c r="G2551">
        <f t="shared" si="79"/>
        <v>2023</v>
      </c>
    </row>
    <row r="2552" spans="1:7" x14ac:dyDescent="0.25">
      <c r="A2552">
        <v>3021812</v>
      </c>
      <c r="B2552" s="1">
        <v>45261</v>
      </c>
      <c r="C2552" t="s">
        <v>171</v>
      </c>
      <c r="D2552" s="17">
        <v>2161.2600000000002</v>
      </c>
      <c r="E2552" s="17">
        <v>4188.5</v>
      </c>
      <c r="F2552" t="str">
        <f t="shared" si="78"/>
        <v>dezembro</v>
      </c>
      <c r="G2552">
        <f t="shared" si="79"/>
        <v>2023</v>
      </c>
    </row>
    <row r="2553" spans="1:7" x14ac:dyDescent="0.25">
      <c r="A2553">
        <v>3022100</v>
      </c>
      <c r="B2553" s="1">
        <v>45261</v>
      </c>
      <c r="C2553" t="s">
        <v>173</v>
      </c>
      <c r="D2553" s="19">
        <v>35.049999999999997</v>
      </c>
      <c r="E2553" s="17">
        <v>138.96</v>
      </c>
      <c r="F2553" t="str">
        <f t="shared" si="78"/>
        <v>dezembro</v>
      </c>
      <c r="G2553">
        <f t="shared" si="79"/>
        <v>2023</v>
      </c>
    </row>
    <row r="2554" spans="1:7" x14ac:dyDescent="0.25">
      <c r="A2554">
        <v>3022208</v>
      </c>
      <c r="B2554" s="1">
        <v>45261</v>
      </c>
      <c r="C2554" t="s">
        <v>307</v>
      </c>
      <c r="D2554" s="19">
        <v>139.38</v>
      </c>
      <c r="E2554" s="17">
        <v>500.25</v>
      </c>
      <c r="F2554" t="str">
        <f t="shared" si="78"/>
        <v>dezembro</v>
      </c>
      <c r="G2554">
        <f t="shared" si="79"/>
        <v>2023</v>
      </c>
    </row>
    <row r="2555" spans="1:7" x14ac:dyDescent="0.25">
      <c r="A2555">
        <v>3022311</v>
      </c>
      <c r="B2555" s="1">
        <v>45261</v>
      </c>
      <c r="C2555" t="s">
        <v>176</v>
      </c>
      <c r="D2555" s="17">
        <v>2057.0300000000002</v>
      </c>
      <c r="E2555" s="17">
        <v>4910.58</v>
      </c>
      <c r="F2555" t="str">
        <f t="shared" si="78"/>
        <v>dezembro</v>
      </c>
      <c r="G2555">
        <f t="shared" si="79"/>
        <v>2023</v>
      </c>
    </row>
    <row r="2556" spans="1:7" x14ac:dyDescent="0.25">
      <c r="A2556">
        <v>3022411</v>
      </c>
      <c r="B2556" s="1">
        <v>45261</v>
      </c>
      <c r="C2556" t="s">
        <v>178</v>
      </c>
      <c r="D2556" s="19">
        <v>43.94</v>
      </c>
      <c r="E2556" s="17">
        <v>123.8</v>
      </c>
      <c r="F2556" t="str">
        <f t="shared" si="78"/>
        <v>dezembro</v>
      </c>
      <c r="G2556">
        <f t="shared" si="79"/>
        <v>2023</v>
      </c>
    </row>
    <row r="2557" spans="1:7" x14ac:dyDescent="0.25">
      <c r="A2557">
        <v>3022511</v>
      </c>
      <c r="B2557" s="1">
        <v>45261</v>
      </c>
      <c r="C2557" t="s">
        <v>180</v>
      </c>
      <c r="D2557" s="19">
        <v>5.3</v>
      </c>
      <c r="E2557" s="17">
        <v>14.51</v>
      </c>
      <c r="F2557" t="str">
        <f t="shared" si="78"/>
        <v>dezembro</v>
      </c>
      <c r="G2557">
        <f t="shared" si="79"/>
        <v>2023</v>
      </c>
    </row>
    <row r="2558" spans="1:7" x14ac:dyDescent="0.25">
      <c r="A2558">
        <v>3022601</v>
      </c>
      <c r="B2558" s="1">
        <v>45261</v>
      </c>
      <c r="C2558" t="s">
        <v>182</v>
      </c>
      <c r="D2558" s="19">
        <v>304.25</v>
      </c>
      <c r="E2558" s="17">
        <v>1214.7</v>
      </c>
      <c r="F2558" t="str">
        <f t="shared" si="78"/>
        <v>dezembro</v>
      </c>
      <c r="G2558">
        <f t="shared" si="79"/>
        <v>2023</v>
      </c>
    </row>
    <row r="2559" spans="1:7" x14ac:dyDescent="0.25">
      <c r="A2559">
        <v>3022703</v>
      </c>
      <c r="B2559" s="1">
        <v>45261</v>
      </c>
      <c r="C2559" t="s">
        <v>309</v>
      </c>
      <c r="D2559" s="18">
        <v>706</v>
      </c>
      <c r="E2559" s="17">
        <v>1948.6</v>
      </c>
      <c r="F2559" t="str">
        <f t="shared" si="78"/>
        <v>dezembro</v>
      </c>
      <c r="G2559">
        <f t="shared" si="79"/>
        <v>2023</v>
      </c>
    </row>
    <row r="2560" spans="1:7" x14ac:dyDescent="0.25">
      <c r="A2560">
        <v>3022805</v>
      </c>
      <c r="B2560" s="1">
        <v>45261</v>
      </c>
      <c r="C2560" t="s">
        <v>186</v>
      </c>
      <c r="D2560" s="17">
        <v>1465</v>
      </c>
      <c r="E2560" s="17">
        <v>3068.2</v>
      </c>
      <c r="F2560" t="str">
        <f t="shared" si="78"/>
        <v>dezembro</v>
      </c>
      <c r="G2560">
        <f t="shared" si="79"/>
        <v>2023</v>
      </c>
    </row>
    <row r="2561" spans="1:7" x14ac:dyDescent="0.25">
      <c r="A2561">
        <v>3022906</v>
      </c>
      <c r="B2561" s="1">
        <v>45261</v>
      </c>
      <c r="C2561" t="s">
        <v>188</v>
      </c>
      <c r="D2561" s="17">
        <v>3840</v>
      </c>
      <c r="E2561" s="17">
        <v>7850.07</v>
      </c>
      <c r="F2561" t="str">
        <f t="shared" si="78"/>
        <v>dezembro</v>
      </c>
      <c r="G2561">
        <f t="shared" si="79"/>
        <v>2023</v>
      </c>
    </row>
    <row r="2562" spans="1:7" x14ac:dyDescent="0.25">
      <c r="A2562">
        <v>3023007</v>
      </c>
      <c r="B2562" s="1">
        <v>45261</v>
      </c>
      <c r="C2562" t="s">
        <v>190</v>
      </c>
      <c r="D2562" s="17">
        <v>1520</v>
      </c>
      <c r="E2562" s="17">
        <v>3097.4</v>
      </c>
      <c r="F2562" t="str">
        <f t="shared" si="78"/>
        <v>dezembro</v>
      </c>
      <c r="G2562">
        <f t="shared" si="79"/>
        <v>2023</v>
      </c>
    </row>
    <row r="2563" spans="1:7" x14ac:dyDescent="0.25">
      <c r="A2563">
        <v>3024001</v>
      </c>
      <c r="B2563" s="1">
        <v>45261</v>
      </c>
      <c r="C2563" t="s">
        <v>192</v>
      </c>
      <c r="D2563" s="17">
        <v>1362.94</v>
      </c>
      <c r="E2563" s="17">
        <v>5188.66</v>
      </c>
      <c r="F2563" t="str">
        <f t="shared" ref="F2563:F2626" si="80">TEXT(B2563,"mmmm")</f>
        <v>dezembro</v>
      </c>
      <c r="G2563">
        <f t="shared" ref="G2563:G2626" si="81">YEAR(B2563)</f>
        <v>2023</v>
      </c>
    </row>
    <row r="2564" spans="1:7" x14ac:dyDescent="0.25">
      <c r="A2564">
        <v>3024003</v>
      </c>
      <c r="B2564" s="1">
        <v>45261</v>
      </c>
      <c r="C2564" t="s">
        <v>196</v>
      </c>
      <c r="D2564" s="19">
        <v>366.4</v>
      </c>
      <c r="E2564" s="17">
        <v>1035.5999999999999</v>
      </c>
      <c r="F2564" t="str">
        <f t="shared" si="80"/>
        <v>dezembro</v>
      </c>
      <c r="G2564">
        <f t="shared" si="81"/>
        <v>2023</v>
      </c>
    </row>
    <row r="2565" spans="1:7" x14ac:dyDescent="0.25">
      <c r="A2565">
        <v>3024004</v>
      </c>
      <c r="B2565" s="1">
        <v>45261</v>
      </c>
      <c r="C2565" t="s">
        <v>198</v>
      </c>
      <c r="D2565" s="17">
        <v>1459.24</v>
      </c>
      <c r="E2565" s="17">
        <v>1507.36</v>
      </c>
      <c r="F2565" t="str">
        <f t="shared" si="80"/>
        <v>dezembro</v>
      </c>
      <c r="G2565">
        <f t="shared" si="81"/>
        <v>2023</v>
      </c>
    </row>
    <row r="2566" spans="1:7" x14ac:dyDescent="0.25">
      <c r="A2566">
        <v>4030100</v>
      </c>
      <c r="B2566" s="1">
        <v>45261</v>
      </c>
      <c r="C2566" t="s">
        <v>200</v>
      </c>
      <c r="D2566" s="19">
        <v>301.8</v>
      </c>
      <c r="E2566" s="17">
        <v>1892.08</v>
      </c>
      <c r="F2566" t="str">
        <f t="shared" si="80"/>
        <v>dezembro</v>
      </c>
      <c r="G2566">
        <f t="shared" si="81"/>
        <v>2023</v>
      </c>
    </row>
    <row r="2567" spans="1:7" x14ac:dyDescent="0.25">
      <c r="A2567">
        <v>4030211</v>
      </c>
      <c r="B2567" s="1">
        <v>45261</v>
      </c>
      <c r="C2567" t="s">
        <v>202</v>
      </c>
      <c r="D2567" s="17">
        <v>1576.9</v>
      </c>
      <c r="E2567" s="17">
        <v>8811.34</v>
      </c>
      <c r="F2567" t="str">
        <f t="shared" si="80"/>
        <v>dezembro</v>
      </c>
      <c r="G2567">
        <f t="shared" si="81"/>
        <v>2023</v>
      </c>
    </row>
    <row r="2568" spans="1:7" x14ac:dyDescent="0.25">
      <c r="A2568">
        <v>4030311</v>
      </c>
      <c r="B2568" s="1">
        <v>45261</v>
      </c>
      <c r="C2568" t="s">
        <v>311</v>
      </c>
      <c r="D2568" s="19">
        <v>308.56</v>
      </c>
      <c r="E2568" s="17">
        <v>2006.42</v>
      </c>
      <c r="F2568" t="str">
        <f t="shared" si="80"/>
        <v>dezembro</v>
      </c>
      <c r="G2568">
        <f t="shared" si="81"/>
        <v>2023</v>
      </c>
    </row>
    <row r="2569" spans="1:7" x14ac:dyDescent="0.25">
      <c r="A2569">
        <v>4030401</v>
      </c>
      <c r="B2569" s="1">
        <v>45261</v>
      </c>
      <c r="C2569" t="s">
        <v>461</v>
      </c>
      <c r="D2569" s="19">
        <v>328.25</v>
      </c>
      <c r="E2569" s="17">
        <v>1623.75</v>
      </c>
      <c r="F2569" t="str">
        <f t="shared" si="80"/>
        <v>dezembro</v>
      </c>
      <c r="G2569">
        <f t="shared" si="81"/>
        <v>2023</v>
      </c>
    </row>
    <row r="2570" spans="1:7" x14ac:dyDescent="0.25">
      <c r="A2570">
        <v>4030532</v>
      </c>
      <c r="B2570" s="1">
        <v>45261</v>
      </c>
      <c r="C2570" t="s">
        <v>210</v>
      </c>
      <c r="D2570" s="19">
        <v>394.28</v>
      </c>
      <c r="E2570" s="17">
        <v>1998.94</v>
      </c>
      <c r="F2570" t="str">
        <f t="shared" si="80"/>
        <v>dezembro</v>
      </c>
      <c r="G2570">
        <f t="shared" si="81"/>
        <v>2023</v>
      </c>
    </row>
    <row r="2571" spans="1:7" x14ac:dyDescent="0.25">
      <c r="A2571">
        <v>4030600</v>
      </c>
      <c r="B2571" s="1">
        <v>45261</v>
      </c>
      <c r="C2571" t="s">
        <v>212</v>
      </c>
      <c r="D2571" s="19">
        <v>963.84</v>
      </c>
      <c r="E2571" s="17">
        <v>2931.22</v>
      </c>
      <c r="F2571" t="str">
        <f t="shared" si="80"/>
        <v>dezembro</v>
      </c>
      <c r="G2571">
        <f t="shared" si="81"/>
        <v>2023</v>
      </c>
    </row>
    <row r="2572" spans="1:7" x14ac:dyDescent="0.25">
      <c r="A2572">
        <v>4030711</v>
      </c>
      <c r="B2572" s="1">
        <v>45261</v>
      </c>
      <c r="C2572" t="s">
        <v>214</v>
      </c>
      <c r="D2572" s="17">
        <v>1386.74</v>
      </c>
      <c r="E2572" s="17">
        <v>4545.25</v>
      </c>
      <c r="F2572" t="str">
        <f t="shared" si="80"/>
        <v>dezembro</v>
      </c>
      <c r="G2572">
        <f t="shared" si="81"/>
        <v>2023</v>
      </c>
    </row>
    <row r="2573" spans="1:7" x14ac:dyDescent="0.25">
      <c r="A2573">
        <v>4030811</v>
      </c>
      <c r="B2573" s="1">
        <v>45261</v>
      </c>
      <c r="C2573" t="s">
        <v>216</v>
      </c>
      <c r="D2573" s="17">
        <v>1303.98</v>
      </c>
      <c r="E2573" s="17">
        <v>4108.29</v>
      </c>
      <c r="F2573" t="str">
        <f t="shared" si="80"/>
        <v>dezembro</v>
      </c>
      <c r="G2573">
        <f t="shared" si="81"/>
        <v>2023</v>
      </c>
    </row>
    <row r="2574" spans="1:7" x14ac:dyDescent="0.25">
      <c r="A2574">
        <v>4030813</v>
      </c>
      <c r="B2574" s="1">
        <v>45261</v>
      </c>
      <c r="C2574" t="s">
        <v>218</v>
      </c>
      <c r="D2574" s="19">
        <v>357.75</v>
      </c>
      <c r="E2574" s="17">
        <v>1019.59</v>
      </c>
      <c r="F2574" t="str">
        <f t="shared" si="80"/>
        <v>dezembro</v>
      </c>
      <c r="G2574">
        <f t="shared" si="81"/>
        <v>2023</v>
      </c>
    </row>
    <row r="2575" spans="1:7" x14ac:dyDescent="0.25">
      <c r="A2575">
        <v>4030900</v>
      </c>
      <c r="B2575" s="1">
        <v>45261</v>
      </c>
      <c r="C2575" t="s">
        <v>220</v>
      </c>
      <c r="D2575" s="17">
        <v>5482.3</v>
      </c>
      <c r="E2575" s="17">
        <v>16358.55</v>
      </c>
      <c r="F2575" t="str">
        <f t="shared" si="80"/>
        <v>dezembro</v>
      </c>
      <c r="G2575">
        <f t="shared" si="81"/>
        <v>2023</v>
      </c>
    </row>
    <row r="2576" spans="1:7" x14ac:dyDescent="0.25">
      <c r="A2576">
        <v>4030910</v>
      </c>
      <c r="B2576" s="1">
        <v>45261</v>
      </c>
      <c r="C2576" t="s">
        <v>222</v>
      </c>
      <c r="D2576" s="19">
        <v>246.82</v>
      </c>
      <c r="E2576" s="17">
        <v>801.43</v>
      </c>
      <c r="F2576" t="str">
        <f t="shared" si="80"/>
        <v>dezembro</v>
      </c>
      <c r="G2576">
        <f t="shared" si="81"/>
        <v>2023</v>
      </c>
    </row>
    <row r="2577" spans="1:7" x14ac:dyDescent="0.25">
      <c r="A2577">
        <v>4031012</v>
      </c>
      <c r="B2577" s="1">
        <v>45261</v>
      </c>
      <c r="C2577" t="s">
        <v>224</v>
      </c>
      <c r="D2577" s="17">
        <v>1168.53</v>
      </c>
      <c r="E2577" s="17">
        <v>3613.56</v>
      </c>
      <c r="F2577" t="str">
        <f t="shared" si="80"/>
        <v>dezembro</v>
      </c>
      <c r="G2577">
        <f t="shared" si="81"/>
        <v>2023</v>
      </c>
    </row>
    <row r="2578" spans="1:7" x14ac:dyDescent="0.25">
      <c r="A2578">
        <v>4031017</v>
      </c>
      <c r="B2578" s="1">
        <v>45261</v>
      </c>
      <c r="C2578" t="s">
        <v>226</v>
      </c>
      <c r="D2578" s="17">
        <v>2408</v>
      </c>
      <c r="E2578" s="17">
        <v>1548.33</v>
      </c>
      <c r="F2578" t="str">
        <f t="shared" si="80"/>
        <v>dezembro</v>
      </c>
      <c r="G2578">
        <f t="shared" si="81"/>
        <v>2023</v>
      </c>
    </row>
    <row r="2579" spans="1:7" x14ac:dyDescent="0.25">
      <c r="A2579">
        <v>4031102</v>
      </c>
      <c r="B2579" s="1">
        <v>45261</v>
      </c>
      <c r="C2579" t="s">
        <v>228</v>
      </c>
      <c r="D2579" s="17">
        <v>9132.7800000000007</v>
      </c>
      <c r="E2579" s="17">
        <v>26321.82</v>
      </c>
      <c r="F2579" t="str">
        <f t="shared" si="80"/>
        <v>dezembro</v>
      </c>
      <c r="G2579">
        <f t="shared" si="81"/>
        <v>2023</v>
      </c>
    </row>
    <row r="2580" spans="1:7" x14ac:dyDescent="0.25">
      <c r="A2580">
        <v>4031200</v>
      </c>
      <c r="B2580" s="1">
        <v>45261</v>
      </c>
      <c r="C2580" t="s">
        <v>230</v>
      </c>
      <c r="D2580" s="17">
        <v>1030.4000000000001</v>
      </c>
      <c r="E2580" s="17">
        <v>3101.6</v>
      </c>
      <c r="F2580" t="str">
        <f t="shared" si="80"/>
        <v>dezembro</v>
      </c>
      <c r="G2580">
        <f t="shared" si="81"/>
        <v>2023</v>
      </c>
    </row>
    <row r="2581" spans="1:7" x14ac:dyDescent="0.25">
      <c r="A2581">
        <v>4031304</v>
      </c>
      <c r="B2581" s="1">
        <v>45261</v>
      </c>
      <c r="C2581" t="s">
        <v>232</v>
      </c>
      <c r="D2581" s="17">
        <v>1020.95</v>
      </c>
      <c r="E2581" s="17">
        <v>3013.84</v>
      </c>
      <c r="F2581" t="str">
        <f t="shared" si="80"/>
        <v>dezembro</v>
      </c>
      <c r="G2581">
        <f t="shared" si="81"/>
        <v>2023</v>
      </c>
    </row>
    <row r="2582" spans="1:7" x14ac:dyDescent="0.25">
      <c r="A2582">
        <v>4031411</v>
      </c>
      <c r="B2582" s="1">
        <v>45261</v>
      </c>
      <c r="C2582" t="s">
        <v>234</v>
      </c>
      <c r="D2582" s="19">
        <v>126.41</v>
      </c>
      <c r="E2582" s="17">
        <v>373.97</v>
      </c>
      <c r="F2582" t="str">
        <f t="shared" si="80"/>
        <v>dezembro</v>
      </c>
      <c r="G2582">
        <f t="shared" si="81"/>
        <v>2023</v>
      </c>
    </row>
    <row r="2583" spans="1:7" x14ac:dyDescent="0.25">
      <c r="A2583">
        <v>4031500</v>
      </c>
      <c r="B2583" s="1">
        <v>45261</v>
      </c>
      <c r="C2583" t="s">
        <v>236</v>
      </c>
      <c r="D2583" s="17">
        <v>5689.6</v>
      </c>
      <c r="E2583" s="17">
        <v>15910.97</v>
      </c>
      <c r="F2583" t="str">
        <f t="shared" si="80"/>
        <v>dezembro</v>
      </c>
      <c r="G2583">
        <f t="shared" si="81"/>
        <v>2023</v>
      </c>
    </row>
    <row r="2584" spans="1:7" x14ac:dyDescent="0.25">
      <c r="A2584">
        <v>4031604</v>
      </c>
      <c r="B2584" s="1">
        <v>45261</v>
      </c>
      <c r="C2584" t="s">
        <v>238</v>
      </c>
      <c r="D2584" s="17">
        <v>6259.86</v>
      </c>
      <c r="E2584" s="17">
        <v>16866.3</v>
      </c>
      <c r="F2584" t="str">
        <f t="shared" si="80"/>
        <v>dezembro</v>
      </c>
      <c r="G2584">
        <f t="shared" si="81"/>
        <v>2023</v>
      </c>
    </row>
    <row r="2585" spans="1:7" x14ac:dyDescent="0.25">
      <c r="A2585">
        <v>4031605</v>
      </c>
      <c r="B2585" s="1">
        <v>45261</v>
      </c>
      <c r="C2585" t="s">
        <v>240</v>
      </c>
      <c r="D2585" s="19">
        <v>4.3</v>
      </c>
      <c r="E2585" s="17">
        <v>14.62</v>
      </c>
      <c r="F2585" t="str">
        <f t="shared" si="80"/>
        <v>dezembro</v>
      </c>
      <c r="G2585">
        <f t="shared" si="81"/>
        <v>2023</v>
      </c>
    </row>
    <row r="2586" spans="1:7" x14ac:dyDescent="0.25">
      <c r="A2586">
        <v>4031700</v>
      </c>
      <c r="B2586" s="1">
        <v>45261</v>
      </c>
      <c r="C2586" t="s">
        <v>242</v>
      </c>
      <c r="D2586" s="19">
        <v>564.4</v>
      </c>
      <c r="E2586" s="17">
        <v>1662.53</v>
      </c>
      <c r="F2586" t="str">
        <f t="shared" si="80"/>
        <v>dezembro</v>
      </c>
      <c r="G2586">
        <f t="shared" si="81"/>
        <v>2023</v>
      </c>
    </row>
    <row r="2587" spans="1:7" x14ac:dyDescent="0.25">
      <c r="A2587">
        <v>4031812</v>
      </c>
      <c r="B2587" s="1">
        <v>45261</v>
      </c>
      <c r="C2587" t="s">
        <v>244</v>
      </c>
      <c r="D2587" s="19">
        <v>367.95</v>
      </c>
      <c r="E2587" s="17">
        <v>1109.53</v>
      </c>
      <c r="F2587" t="str">
        <f t="shared" si="80"/>
        <v>dezembro</v>
      </c>
      <c r="G2587">
        <f t="shared" si="81"/>
        <v>2023</v>
      </c>
    </row>
    <row r="2588" spans="1:7" x14ac:dyDescent="0.25">
      <c r="A2588">
        <v>4031813</v>
      </c>
      <c r="B2588" s="1">
        <v>45261</v>
      </c>
      <c r="C2588" t="s">
        <v>464</v>
      </c>
      <c r="D2588" s="18">
        <v>455</v>
      </c>
      <c r="E2588" s="17">
        <v>300.64999999999998</v>
      </c>
      <c r="F2588" t="str">
        <f t="shared" si="80"/>
        <v>dezembro</v>
      </c>
      <c r="G2588">
        <f t="shared" si="81"/>
        <v>2023</v>
      </c>
    </row>
    <row r="2589" spans="1:7" x14ac:dyDescent="0.25">
      <c r="A2589">
        <v>4031904</v>
      </c>
      <c r="B2589" s="1">
        <v>45261</v>
      </c>
      <c r="C2589" t="s">
        <v>246</v>
      </c>
      <c r="D2589" s="17">
        <v>1058.32</v>
      </c>
      <c r="E2589" s="17">
        <v>3107.83</v>
      </c>
      <c r="F2589" t="str">
        <f t="shared" si="80"/>
        <v>dezembro</v>
      </c>
      <c r="G2589">
        <f t="shared" si="81"/>
        <v>2023</v>
      </c>
    </row>
    <row r="2590" spans="1:7" x14ac:dyDescent="0.25">
      <c r="A2590">
        <v>4032002</v>
      </c>
      <c r="B2590" s="1">
        <v>45261</v>
      </c>
      <c r="C2590" t="s">
        <v>793</v>
      </c>
      <c r="D2590" s="18">
        <v>5</v>
      </c>
      <c r="E2590" s="17">
        <v>30</v>
      </c>
      <c r="F2590" t="str">
        <f t="shared" si="80"/>
        <v>dezembro</v>
      </c>
      <c r="G2590">
        <f t="shared" si="81"/>
        <v>2023</v>
      </c>
    </row>
    <row r="2591" spans="1:7" x14ac:dyDescent="0.25">
      <c r="A2591">
        <v>4032205</v>
      </c>
      <c r="B2591" s="1">
        <v>45261</v>
      </c>
      <c r="C2591" t="s">
        <v>553</v>
      </c>
      <c r="D2591" s="19">
        <v>122.92</v>
      </c>
      <c r="E2591" s="17">
        <v>636.55999999999995</v>
      </c>
      <c r="F2591" t="str">
        <f t="shared" si="80"/>
        <v>dezembro</v>
      </c>
      <c r="G2591">
        <f t="shared" si="81"/>
        <v>2023</v>
      </c>
    </row>
    <row r="2592" spans="1:7" x14ac:dyDescent="0.25">
      <c r="A2592">
        <v>4032206</v>
      </c>
      <c r="B2592" s="1">
        <v>45261</v>
      </c>
      <c r="C2592" t="s">
        <v>555</v>
      </c>
      <c r="D2592" s="19">
        <v>49.45</v>
      </c>
      <c r="E2592" s="17">
        <v>261</v>
      </c>
      <c r="F2592" t="str">
        <f t="shared" si="80"/>
        <v>dezembro</v>
      </c>
      <c r="G2592">
        <f t="shared" si="81"/>
        <v>2023</v>
      </c>
    </row>
    <row r="2593" spans="1:7" x14ac:dyDescent="0.25">
      <c r="A2593">
        <v>4032312</v>
      </c>
      <c r="B2593" s="1">
        <v>45261</v>
      </c>
      <c r="C2593" t="s">
        <v>252</v>
      </c>
      <c r="D2593" s="19">
        <v>379.26</v>
      </c>
      <c r="E2593" s="17">
        <v>1607.16</v>
      </c>
      <c r="F2593" t="str">
        <f t="shared" si="80"/>
        <v>dezembro</v>
      </c>
      <c r="G2593">
        <f t="shared" si="81"/>
        <v>2023</v>
      </c>
    </row>
    <row r="2594" spans="1:7" x14ac:dyDescent="0.25">
      <c r="A2594">
        <v>4032404</v>
      </c>
      <c r="B2594" s="1">
        <v>45261</v>
      </c>
      <c r="C2594" t="s">
        <v>254</v>
      </c>
      <c r="D2594" s="19">
        <v>296.68</v>
      </c>
      <c r="E2594" s="17">
        <v>1235.22</v>
      </c>
      <c r="F2594" t="str">
        <f t="shared" si="80"/>
        <v>dezembro</v>
      </c>
      <c r="G2594">
        <f t="shared" si="81"/>
        <v>2023</v>
      </c>
    </row>
    <row r="2595" spans="1:7" x14ac:dyDescent="0.25">
      <c r="A2595">
        <v>4032500</v>
      </c>
      <c r="B2595" s="1">
        <v>45261</v>
      </c>
      <c r="C2595" t="s">
        <v>256</v>
      </c>
      <c r="D2595" s="19">
        <v>279.5</v>
      </c>
      <c r="E2595" s="17">
        <v>772.66</v>
      </c>
      <c r="F2595" t="str">
        <f t="shared" si="80"/>
        <v>dezembro</v>
      </c>
      <c r="G2595">
        <f t="shared" si="81"/>
        <v>2023</v>
      </c>
    </row>
    <row r="2596" spans="1:7" x14ac:dyDescent="0.25">
      <c r="A2596">
        <v>4032611</v>
      </c>
      <c r="B2596" s="1">
        <v>45261</v>
      </c>
      <c r="C2596" t="s">
        <v>258</v>
      </c>
      <c r="D2596" s="19">
        <v>34.53</v>
      </c>
      <c r="E2596" s="17">
        <v>111.01</v>
      </c>
      <c r="F2596" t="str">
        <f t="shared" si="80"/>
        <v>dezembro</v>
      </c>
      <c r="G2596">
        <f t="shared" si="81"/>
        <v>2023</v>
      </c>
    </row>
    <row r="2597" spans="1:7" x14ac:dyDescent="0.25">
      <c r="A2597">
        <v>4032704</v>
      </c>
      <c r="B2597" s="1">
        <v>45261</v>
      </c>
      <c r="C2597" t="s">
        <v>260</v>
      </c>
      <c r="D2597" s="19">
        <v>303.56</v>
      </c>
      <c r="E2597" s="17">
        <v>887.76</v>
      </c>
      <c r="F2597" t="str">
        <f t="shared" si="80"/>
        <v>dezembro</v>
      </c>
      <c r="G2597">
        <f t="shared" si="81"/>
        <v>2023</v>
      </c>
    </row>
    <row r="2598" spans="1:7" x14ac:dyDescent="0.25">
      <c r="A2598">
        <v>4032800</v>
      </c>
      <c r="B2598" s="1">
        <v>45261</v>
      </c>
      <c r="C2598" t="s">
        <v>262</v>
      </c>
      <c r="D2598" s="19">
        <v>102</v>
      </c>
      <c r="E2598" s="17">
        <v>583.80999999999995</v>
      </c>
      <c r="F2598" t="str">
        <f t="shared" si="80"/>
        <v>dezembro</v>
      </c>
      <c r="G2598">
        <f t="shared" si="81"/>
        <v>2023</v>
      </c>
    </row>
    <row r="2599" spans="1:7" x14ac:dyDescent="0.25">
      <c r="A2599">
        <v>4032902</v>
      </c>
      <c r="B2599" s="1">
        <v>45261</v>
      </c>
      <c r="C2599" t="s">
        <v>264</v>
      </c>
      <c r="D2599" s="19">
        <v>167.53</v>
      </c>
      <c r="E2599" s="17">
        <v>897.35</v>
      </c>
      <c r="F2599" t="str">
        <f t="shared" si="80"/>
        <v>dezembro</v>
      </c>
      <c r="G2599">
        <f t="shared" si="81"/>
        <v>2023</v>
      </c>
    </row>
    <row r="2600" spans="1:7" x14ac:dyDescent="0.25">
      <c r="A2600">
        <v>4033011</v>
      </c>
      <c r="B2600" s="1">
        <v>45261</v>
      </c>
      <c r="C2600" t="s">
        <v>266</v>
      </c>
      <c r="D2600" s="19">
        <v>83.02</v>
      </c>
      <c r="E2600" s="17">
        <v>396.34</v>
      </c>
      <c r="F2600" t="str">
        <f t="shared" si="80"/>
        <v>dezembro</v>
      </c>
      <c r="G2600">
        <f t="shared" si="81"/>
        <v>2023</v>
      </c>
    </row>
    <row r="2601" spans="1:7" x14ac:dyDescent="0.25">
      <c r="A2601">
        <v>4033111</v>
      </c>
      <c r="B2601" s="1">
        <v>45261</v>
      </c>
      <c r="C2601" t="s">
        <v>268</v>
      </c>
      <c r="D2601" s="19">
        <v>349.7</v>
      </c>
      <c r="E2601" s="17">
        <v>1496.75</v>
      </c>
      <c r="F2601" t="str">
        <f t="shared" si="80"/>
        <v>dezembro</v>
      </c>
      <c r="G2601">
        <f t="shared" si="81"/>
        <v>2023</v>
      </c>
    </row>
    <row r="2602" spans="1:7" x14ac:dyDescent="0.25">
      <c r="A2602">
        <v>4033211</v>
      </c>
      <c r="B2602" s="1">
        <v>45261</v>
      </c>
      <c r="C2602" t="s">
        <v>270</v>
      </c>
      <c r="D2602" s="19">
        <v>103.8</v>
      </c>
      <c r="E2602" s="17">
        <v>443.27</v>
      </c>
      <c r="F2602" t="str">
        <f t="shared" si="80"/>
        <v>dezembro</v>
      </c>
      <c r="G2602">
        <f t="shared" si="81"/>
        <v>2023</v>
      </c>
    </row>
    <row r="2603" spans="1:7" x14ac:dyDescent="0.25">
      <c r="A2603">
        <v>4033311</v>
      </c>
      <c r="B2603" s="1">
        <v>45261</v>
      </c>
      <c r="C2603" t="s">
        <v>272</v>
      </c>
      <c r="D2603" s="18">
        <v>23</v>
      </c>
      <c r="E2603" s="17">
        <v>141.99</v>
      </c>
      <c r="F2603" t="str">
        <f t="shared" si="80"/>
        <v>dezembro</v>
      </c>
      <c r="G2603">
        <f t="shared" si="81"/>
        <v>2023</v>
      </c>
    </row>
    <row r="2604" spans="1:7" x14ac:dyDescent="0.25">
      <c r="A2604">
        <v>4033400</v>
      </c>
      <c r="B2604" s="1">
        <v>45261</v>
      </c>
      <c r="C2604" t="s">
        <v>274</v>
      </c>
      <c r="D2604" s="17">
        <v>1182.4000000000001</v>
      </c>
      <c r="E2604" s="17">
        <v>3416.81</v>
      </c>
      <c r="F2604" t="str">
        <f t="shared" si="80"/>
        <v>dezembro</v>
      </c>
      <c r="G2604">
        <f t="shared" si="81"/>
        <v>2023</v>
      </c>
    </row>
    <row r="2605" spans="1:7" x14ac:dyDescent="0.25">
      <c r="A2605">
        <v>4033511</v>
      </c>
      <c r="B2605" s="1">
        <v>45261</v>
      </c>
      <c r="C2605" t="s">
        <v>276</v>
      </c>
      <c r="D2605" s="17">
        <v>1857.5</v>
      </c>
      <c r="E2605" s="17">
        <v>5852.76</v>
      </c>
      <c r="F2605" t="str">
        <f t="shared" si="80"/>
        <v>dezembro</v>
      </c>
      <c r="G2605">
        <f t="shared" si="81"/>
        <v>2023</v>
      </c>
    </row>
    <row r="2606" spans="1:7" x14ac:dyDescent="0.25">
      <c r="A2606">
        <v>4033900</v>
      </c>
      <c r="B2606" s="1">
        <v>45261</v>
      </c>
      <c r="C2606" t="s">
        <v>278</v>
      </c>
      <c r="D2606" s="19">
        <v>89.49</v>
      </c>
      <c r="E2606" s="17">
        <v>460.88</v>
      </c>
      <c r="F2606" t="str">
        <f t="shared" si="80"/>
        <v>dezembro</v>
      </c>
      <c r="G2606">
        <f t="shared" si="81"/>
        <v>2023</v>
      </c>
    </row>
    <row r="2607" spans="1:7" x14ac:dyDescent="0.25">
      <c r="A2607">
        <v>4034011</v>
      </c>
      <c r="B2607" s="1">
        <v>45261</v>
      </c>
      <c r="C2607" t="s">
        <v>280</v>
      </c>
      <c r="D2607" s="19">
        <v>867.9</v>
      </c>
      <c r="E2607" s="17">
        <v>4509.17</v>
      </c>
      <c r="F2607" t="str">
        <f t="shared" si="80"/>
        <v>dezembro</v>
      </c>
      <c r="G2607">
        <f t="shared" si="81"/>
        <v>2023</v>
      </c>
    </row>
    <row r="2608" spans="1:7" x14ac:dyDescent="0.25">
      <c r="A2608">
        <v>4034211</v>
      </c>
      <c r="B2608" s="1">
        <v>45261</v>
      </c>
      <c r="C2608" t="s">
        <v>282</v>
      </c>
      <c r="D2608" s="19">
        <v>194.46</v>
      </c>
      <c r="E2608" s="17">
        <v>834.37</v>
      </c>
      <c r="F2608" t="str">
        <f t="shared" si="80"/>
        <v>dezembro</v>
      </c>
      <c r="G2608">
        <f t="shared" si="81"/>
        <v>2023</v>
      </c>
    </row>
    <row r="2609" spans="1:7" x14ac:dyDescent="0.25">
      <c r="A2609">
        <v>4034400</v>
      </c>
      <c r="B2609" s="1">
        <v>45261</v>
      </c>
      <c r="C2609" t="s">
        <v>284</v>
      </c>
      <c r="D2609" s="19">
        <v>177.45</v>
      </c>
      <c r="E2609" s="17">
        <v>464.19</v>
      </c>
      <c r="F2609" t="str">
        <f t="shared" si="80"/>
        <v>dezembro</v>
      </c>
      <c r="G2609">
        <f t="shared" si="81"/>
        <v>2023</v>
      </c>
    </row>
    <row r="2610" spans="1:7" x14ac:dyDescent="0.25">
      <c r="A2610">
        <v>4034502</v>
      </c>
      <c r="B2610" s="1">
        <v>45261</v>
      </c>
      <c r="C2610" t="s">
        <v>286</v>
      </c>
      <c r="D2610" s="18">
        <v>39</v>
      </c>
      <c r="E2610" s="17">
        <v>112.11</v>
      </c>
      <c r="F2610" t="str">
        <f t="shared" si="80"/>
        <v>dezembro</v>
      </c>
      <c r="G2610">
        <f t="shared" si="81"/>
        <v>2023</v>
      </c>
    </row>
    <row r="2611" spans="1:7" x14ac:dyDescent="0.25">
      <c r="A2611">
        <v>8030004</v>
      </c>
      <c r="B2611" s="1">
        <v>45261</v>
      </c>
      <c r="C2611" t="s">
        <v>697</v>
      </c>
      <c r="D2611" s="18">
        <v>2</v>
      </c>
      <c r="E2611" s="17">
        <v>20</v>
      </c>
      <c r="F2611" t="str">
        <f t="shared" si="80"/>
        <v>dezembro</v>
      </c>
      <c r="G2611">
        <f t="shared" si="81"/>
        <v>2023</v>
      </c>
    </row>
    <row r="2612" spans="1:7" x14ac:dyDescent="0.25">
      <c r="A2612">
        <v>8040008</v>
      </c>
      <c r="B2612" s="1">
        <v>45261</v>
      </c>
      <c r="C2612" t="s">
        <v>318</v>
      </c>
      <c r="D2612" s="19">
        <v>28.74</v>
      </c>
      <c r="E2612" s="17">
        <v>385.09</v>
      </c>
      <c r="F2612" t="str">
        <f t="shared" si="80"/>
        <v>dezembro</v>
      </c>
      <c r="G2612">
        <f t="shared" si="81"/>
        <v>2023</v>
      </c>
    </row>
    <row r="2613" spans="1:7" x14ac:dyDescent="0.25">
      <c r="A2613">
        <v>8040011</v>
      </c>
      <c r="B2613" s="1">
        <v>45261</v>
      </c>
      <c r="C2613" t="s">
        <v>560</v>
      </c>
      <c r="D2613" s="18">
        <v>6</v>
      </c>
      <c r="E2613" s="17">
        <v>17.940000000000001</v>
      </c>
      <c r="F2613" t="str">
        <f t="shared" si="80"/>
        <v>dezembro</v>
      </c>
      <c r="G2613">
        <f t="shared" si="81"/>
        <v>2023</v>
      </c>
    </row>
    <row r="2614" spans="1:7" x14ac:dyDescent="0.25">
      <c r="A2614">
        <v>8040037</v>
      </c>
      <c r="B2614" s="1">
        <v>45261</v>
      </c>
      <c r="C2614" t="s">
        <v>794</v>
      </c>
      <c r="D2614" s="19">
        <v>30.34</v>
      </c>
      <c r="E2614" s="17">
        <v>399.91</v>
      </c>
      <c r="F2614" t="str">
        <f t="shared" si="80"/>
        <v>dezembro</v>
      </c>
      <c r="G2614">
        <f t="shared" si="81"/>
        <v>2023</v>
      </c>
    </row>
    <row r="2615" spans="1:7" x14ac:dyDescent="0.25">
      <c r="A2615">
        <v>8040048</v>
      </c>
      <c r="B2615" s="1">
        <v>45261</v>
      </c>
      <c r="C2615" t="s">
        <v>699</v>
      </c>
      <c r="D2615" s="18">
        <v>17</v>
      </c>
      <c r="E2615" s="17">
        <v>-18.829999999999998</v>
      </c>
      <c r="F2615" t="str">
        <f t="shared" si="80"/>
        <v>dezembro</v>
      </c>
      <c r="G2615">
        <f t="shared" si="81"/>
        <v>2023</v>
      </c>
    </row>
    <row r="2616" spans="1:7" x14ac:dyDescent="0.25">
      <c r="A2616">
        <v>8040050</v>
      </c>
      <c r="B2616" s="1">
        <v>45261</v>
      </c>
      <c r="C2616" t="s">
        <v>746</v>
      </c>
      <c r="D2616" s="19">
        <v>12.8</v>
      </c>
      <c r="E2616" s="17">
        <v>167.68</v>
      </c>
      <c r="F2616" t="str">
        <f t="shared" si="80"/>
        <v>dezembro</v>
      </c>
      <c r="G2616">
        <f t="shared" si="81"/>
        <v>2023</v>
      </c>
    </row>
    <row r="2617" spans="1:7" x14ac:dyDescent="0.25">
      <c r="A2617">
        <v>8040053</v>
      </c>
      <c r="B2617" s="1">
        <v>45261</v>
      </c>
      <c r="C2617" t="s">
        <v>747</v>
      </c>
      <c r="D2617" s="18">
        <v>17</v>
      </c>
      <c r="E2617" s="17">
        <v>196.99</v>
      </c>
      <c r="F2617" t="str">
        <f t="shared" si="80"/>
        <v>dezembro</v>
      </c>
      <c r="G2617">
        <f t="shared" si="81"/>
        <v>2023</v>
      </c>
    </row>
    <row r="2618" spans="1:7" x14ac:dyDescent="0.25">
      <c r="A2618">
        <v>8070009</v>
      </c>
      <c r="B2618" s="1">
        <v>45261</v>
      </c>
      <c r="C2618" t="s">
        <v>581</v>
      </c>
      <c r="D2618" s="18">
        <v>336</v>
      </c>
      <c r="E2618" s="17">
        <v>1092</v>
      </c>
      <c r="F2618" t="str">
        <f t="shared" si="80"/>
        <v>dezembro</v>
      </c>
      <c r="G2618">
        <f t="shared" si="81"/>
        <v>2023</v>
      </c>
    </row>
    <row r="2619" spans="1:7" x14ac:dyDescent="0.25">
      <c r="A2619">
        <v>8070018</v>
      </c>
      <c r="B2619" s="1">
        <v>45261</v>
      </c>
      <c r="C2619" t="s">
        <v>397</v>
      </c>
      <c r="D2619" s="19">
        <v>2.8</v>
      </c>
      <c r="E2619" s="17">
        <v>9.6300000000000008</v>
      </c>
      <c r="F2619" t="str">
        <f t="shared" si="80"/>
        <v>dezembro</v>
      </c>
      <c r="G2619">
        <f t="shared" si="81"/>
        <v>2023</v>
      </c>
    </row>
    <row r="2620" spans="1:7" x14ac:dyDescent="0.25">
      <c r="A2620">
        <v>8070026</v>
      </c>
      <c r="B2620" s="1">
        <v>45261</v>
      </c>
      <c r="C2620" t="s">
        <v>584</v>
      </c>
      <c r="D2620" s="18">
        <v>510</v>
      </c>
      <c r="E2620" s="17">
        <v>1689</v>
      </c>
      <c r="F2620" t="str">
        <f t="shared" si="80"/>
        <v>dezembro</v>
      </c>
      <c r="G2620">
        <f t="shared" si="81"/>
        <v>2023</v>
      </c>
    </row>
    <row r="2621" spans="1:7" x14ac:dyDescent="0.25">
      <c r="A2621">
        <v>8070027</v>
      </c>
      <c r="B2621" s="1">
        <v>45261</v>
      </c>
      <c r="C2621" t="s">
        <v>772</v>
      </c>
      <c r="D2621" s="19">
        <v>370.6</v>
      </c>
      <c r="E2621" s="17">
        <v>1334.48</v>
      </c>
      <c r="F2621" t="str">
        <f t="shared" si="80"/>
        <v>dezembro</v>
      </c>
      <c r="G2621">
        <f t="shared" si="81"/>
        <v>2023</v>
      </c>
    </row>
    <row r="2622" spans="1:7" x14ac:dyDescent="0.25">
      <c r="A2622">
        <v>8070028</v>
      </c>
      <c r="B2622" s="1">
        <v>45261</v>
      </c>
      <c r="C2622" t="s">
        <v>748</v>
      </c>
      <c r="D2622" s="17">
        <v>1560</v>
      </c>
      <c r="E2622" s="17">
        <v>5148</v>
      </c>
      <c r="F2622" t="str">
        <f t="shared" si="80"/>
        <v>dezembro</v>
      </c>
      <c r="G2622">
        <f t="shared" si="81"/>
        <v>2023</v>
      </c>
    </row>
    <row r="2623" spans="1:7" x14ac:dyDescent="0.25">
      <c r="A2623">
        <v>8070051</v>
      </c>
      <c r="B2623" s="1">
        <v>45261</v>
      </c>
      <c r="C2623" t="s">
        <v>750</v>
      </c>
      <c r="D2623" s="17">
        <v>0.9</v>
      </c>
      <c r="E2623" s="17">
        <v>5.01</v>
      </c>
      <c r="F2623" t="str">
        <f t="shared" si="80"/>
        <v>dezembro</v>
      </c>
      <c r="G2623">
        <f t="shared" si="81"/>
        <v>2023</v>
      </c>
    </row>
    <row r="2624" spans="1:7" x14ac:dyDescent="0.25">
      <c r="A2624">
        <v>8070060</v>
      </c>
      <c r="B2624" s="1">
        <v>45261</v>
      </c>
      <c r="C2624" t="s">
        <v>701</v>
      </c>
      <c r="D2624" s="18">
        <v>2</v>
      </c>
      <c r="E2624" s="17">
        <v>4.38</v>
      </c>
      <c r="F2624" t="str">
        <f t="shared" si="80"/>
        <v>dezembro</v>
      </c>
      <c r="G2624">
        <f t="shared" si="81"/>
        <v>2023</v>
      </c>
    </row>
    <row r="2625" spans="1:7" x14ac:dyDescent="0.25">
      <c r="A2625">
        <v>8070061</v>
      </c>
      <c r="B2625" s="1">
        <v>45261</v>
      </c>
      <c r="C2625" t="s">
        <v>752</v>
      </c>
      <c r="D2625" s="18">
        <v>2</v>
      </c>
      <c r="E2625" s="17">
        <v>5.18</v>
      </c>
      <c r="F2625" t="str">
        <f t="shared" si="80"/>
        <v>dezembro</v>
      </c>
      <c r="G2625">
        <f t="shared" si="81"/>
        <v>2023</v>
      </c>
    </row>
    <row r="2626" spans="1:7" x14ac:dyDescent="0.25">
      <c r="A2626">
        <v>8070069</v>
      </c>
      <c r="B2626" s="1">
        <v>45261</v>
      </c>
      <c r="C2626" t="s">
        <v>774</v>
      </c>
      <c r="D2626" s="18">
        <v>504</v>
      </c>
      <c r="E2626" s="17">
        <v>604.79999999999995</v>
      </c>
      <c r="F2626" t="str">
        <f t="shared" si="80"/>
        <v>dezembro</v>
      </c>
      <c r="G2626">
        <f t="shared" si="81"/>
        <v>2023</v>
      </c>
    </row>
    <row r="2627" spans="1:7" x14ac:dyDescent="0.25">
      <c r="A2627">
        <v>8120003</v>
      </c>
      <c r="B2627" s="1">
        <v>45261</v>
      </c>
      <c r="C2627" t="s">
        <v>376</v>
      </c>
      <c r="D2627" s="19">
        <v>16.100000000000001</v>
      </c>
      <c r="E2627" s="17">
        <v>53.2</v>
      </c>
      <c r="F2627" t="str">
        <f t="shared" ref="F2627:F2690" si="82">TEXT(B2627,"mmmm")</f>
        <v>dezembro</v>
      </c>
      <c r="G2627">
        <f t="shared" ref="G2627:G2690" si="83">YEAR(B2627)</f>
        <v>2023</v>
      </c>
    </row>
    <row r="2628" spans="1:7" x14ac:dyDescent="0.25">
      <c r="A2628">
        <v>8120004</v>
      </c>
      <c r="B2628" s="1">
        <v>45261</v>
      </c>
      <c r="C2628" t="s">
        <v>406</v>
      </c>
      <c r="D2628" s="18">
        <v>4</v>
      </c>
      <c r="E2628" s="17">
        <v>24.52</v>
      </c>
      <c r="F2628" t="str">
        <f t="shared" si="82"/>
        <v>dezembro</v>
      </c>
      <c r="G2628">
        <f t="shared" si="83"/>
        <v>2023</v>
      </c>
    </row>
    <row r="2629" spans="1:7" x14ac:dyDescent="0.25">
      <c r="A2629">
        <v>8120007</v>
      </c>
      <c r="B2629" s="1">
        <v>45261</v>
      </c>
      <c r="C2629" t="s">
        <v>377</v>
      </c>
      <c r="D2629" s="19">
        <v>30.15</v>
      </c>
      <c r="E2629" s="17">
        <v>287.33</v>
      </c>
      <c r="F2629" t="str">
        <f t="shared" si="82"/>
        <v>dezembro</v>
      </c>
      <c r="G2629">
        <f t="shared" si="83"/>
        <v>2023</v>
      </c>
    </row>
    <row r="2630" spans="1:7" x14ac:dyDescent="0.25">
      <c r="A2630">
        <v>8120008</v>
      </c>
      <c r="B2630" s="1">
        <v>45261</v>
      </c>
      <c r="C2630" t="s">
        <v>409</v>
      </c>
      <c r="D2630" s="19">
        <v>65.819999999999993</v>
      </c>
      <c r="E2630" s="17">
        <v>748.58</v>
      </c>
      <c r="F2630" t="str">
        <f t="shared" si="82"/>
        <v>dezembro</v>
      </c>
      <c r="G2630">
        <f t="shared" si="83"/>
        <v>2023</v>
      </c>
    </row>
    <row r="2631" spans="1:7" x14ac:dyDescent="0.25">
      <c r="A2631">
        <v>8120052</v>
      </c>
      <c r="B2631" s="1">
        <v>45261</v>
      </c>
      <c r="C2631" t="s">
        <v>783</v>
      </c>
      <c r="D2631" s="19">
        <v>13.82</v>
      </c>
      <c r="E2631" s="17">
        <v>41.55</v>
      </c>
      <c r="F2631" t="str">
        <f t="shared" si="82"/>
        <v>dezembro</v>
      </c>
      <c r="G2631">
        <f t="shared" si="83"/>
        <v>2023</v>
      </c>
    </row>
    <row r="2632" spans="1:7" x14ac:dyDescent="0.25">
      <c r="A2632">
        <v>8130001</v>
      </c>
      <c r="B2632" s="1">
        <v>45261</v>
      </c>
      <c r="C2632" t="s">
        <v>380</v>
      </c>
      <c r="D2632" s="18">
        <v>3</v>
      </c>
      <c r="E2632" s="17">
        <v>6.78</v>
      </c>
      <c r="F2632" t="str">
        <f t="shared" si="82"/>
        <v>dezembro</v>
      </c>
      <c r="G2632">
        <f t="shared" si="83"/>
        <v>2023</v>
      </c>
    </row>
    <row r="2633" spans="1:7" x14ac:dyDescent="0.25">
      <c r="A2633">
        <v>8130007</v>
      </c>
      <c r="B2633" s="1">
        <v>45261</v>
      </c>
      <c r="C2633" t="s">
        <v>737</v>
      </c>
      <c r="D2633" s="18">
        <v>200</v>
      </c>
      <c r="E2633" s="17">
        <v>312</v>
      </c>
      <c r="F2633" t="str">
        <f t="shared" si="82"/>
        <v>dezembro</v>
      </c>
      <c r="G2633">
        <f t="shared" si="83"/>
        <v>2023</v>
      </c>
    </row>
    <row r="2634" spans="1:7" x14ac:dyDescent="0.25">
      <c r="A2634">
        <v>8130009</v>
      </c>
      <c r="B2634" s="1">
        <v>45261</v>
      </c>
      <c r="C2634" t="s">
        <v>738</v>
      </c>
      <c r="D2634" s="18">
        <v>300</v>
      </c>
      <c r="E2634" s="17">
        <v>552</v>
      </c>
      <c r="F2634" t="str">
        <f t="shared" si="82"/>
        <v>dezembro</v>
      </c>
      <c r="G2634">
        <f t="shared" si="83"/>
        <v>2023</v>
      </c>
    </row>
    <row r="2635" spans="1:7" x14ac:dyDescent="0.25">
      <c r="A2635">
        <v>8130010</v>
      </c>
      <c r="B2635" s="1">
        <v>45261</v>
      </c>
      <c r="C2635" t="s">
        <v>619</v>
      </c>
      <c r="D2635" s="18">
        <v>360</v>
      </c>
      <c r="E2635" s="17">
        <v>488.45</v>
      </c>
      <c r="F2635" t="str">
        <f t="shared" si="82"/>
        <v>dezembro</v>
      </c>
      <c r="G2635">
        <f t="shared" si="83"/>
        <v>2023</v>
      </c>
    </row>
    <row r="2636" spans="1:7" x14ac:dyDescent="0.25">
      <c r="A2636">
        <v>8130013</v>
      </c>
      <c r="B2636" s="1">
        <v>45261</v>
      </c>
      <c r="C2636" t="s">
        <v>416</v>
      </c>
      <c r="D2636" s="18">
        <v>800</v>
      </c>
      <c r="E2636" s="17">
        <v>1760</v>
      </c>
      <c r="F2636" t="str">
        <f t="shared" si="82"/>
        <v>dezembro</v>
      </c>
      <c r="G2636">
        <f t="shared" si="83"/>
        <v>2023</v>
      </c>
    </row>
    <row r="2637" spans="1:7" x14ac:dyDescent="0.25">
      <c r="A2637">
        <v>8130015</v>
      </c>
      <c r="B2637" s="1">
        <v>45261</v>
      </c>
      <c r="C2637" t="s">
        <v>622</v>
      </c>
      <c r="D2637" s="18">
        <v>14</v>
      </c>
      <c r="E2637" s="17">
        <v>51.95</v>
      </c>
      <c r="F2637" t="str">
        <f t="shared" si="82"/>
        <v>dezembro</v>
      </c>
      <c r="G2637">
        <f t="shared" si="83"/>
        <v>2023</v>
      </c>
    </row>
    <row r="2638" spans="1:7" x14ac:dyDescent="0.25">
      <c r="A2638">
        <v>8130016</v>
      </c>
      <c r="B2638" s="1">
        <v>45261</v>
      </c>
      <c r="C2638" t="s">
        <v>776</v>
      </c>
      <c r="D2638" s="18">
        <v>530</v>
      </c>
      <c r="E2638" s="17">
        <v>2014</v>
      </c>
      <c r="F2638" t="str">
        <f t="shared" si="82"/>
        <v>dezembro</v>
      </c>
      <c r="G2638">
        <f t="shared" si="83"/>
        <v>2023</v>
      </c>
    </row>
    <row r="2639" spans="1:7" x14ac:dyDescent="0.25">
      <c r="A2639">
        <v>8130017</v>
      </c>
      <c r="B2639" s="1">
        <v>45261</v>
      </c>
      <c r="C2639" t="s">
        <v>795</v>
      </c>
      <c r="D2639" s="18">
        <v>972</v>
      </c>
      <c r="E2639" s="17">
        <v>2896.56</v>
      </c>
      <c r="F2639" t="str">
        <f t="shared" si="82"/>
        <v>dezembro</v>
      </c>
      <c r="G2639">
        <f t="shared" si="83"/>
        <v>2023</v>
      </c>
    </row>
    <row r="2640" spans="1:7" x14ac:dyDescent="0.25">
      <c r="A2640">
        <v>8140006</v>
      </c>
      <c r="B2640" s="1">
        <v>45261</v>
      </c>
      <c r="C2640" t="s">
        <v>423</v>
      </c>
      <c r="D2640" s="18">
        <v>11</v>
      </c>
      <c r="E2640" s="17">
        <v>25.52</v>
      </c>
      <c r="F2640" t="str">
        <f t="shared" si="82"/>
        <v>dezembro</v>
      </c>
      <c r="G2640">
        <f t="shared" si="83"/>
        <v>2023</v>
      </c>
    </row>
    <row r="2641" spans="1:7" x14ac:dyDescent="0.25">
      <c r="A2641">
        <v>8140014</v>
      </c>
      <c r="B2641" s="1">
        <v>45261</v>
      </c>
      <c r="C2641" t="s">
        <v>675</v>
      </c>
      <c r="D2641" s="18">
        <v>4</v>
      </c>
      <c r="E2641" s="17">
        <v>4.1500000000000004</v>
      </c>
      <c r="F2641" t="str">
        <f t="shared" si="82"/>
        <v>dezembro</v>
      </c>
      <c r="G2641">
        <f t="shared" si="83"/>
        <v>2023</v>
      </c>
    </row>
    <row r="2642" spans="1:7" x14ac:dyDescent="0.25">
      <c r="A2642">
        <v>8140015</v>
      </c>
      <c r="B2642" s="1">
        <v>45261</v>
      </c>
      <c r="C2642" t="s">
        <v>676</v>
      </c>
      <c r="D2642" s="18">
        <v>6</v>
      </c>
      <c r="E2642" s="17">
        <v>6.24</v>
      </c>
      <c r="F2642" t="str">
        <f t="shared" si="82"/>
        <v>dezembro</v>
      </c>
      <c r="G2642">
        <f t="shared" si="83"/>
        <v>2023</v>
      </c>
    </row>
    <row r="2643" spans="1:7" x14ac:dyDescent="0.25">
      <c r="A2643">
        <v>8140016</v>
      </c>
      <c r="B2643" s="1">
        <v>45261</v>
      </c>
      <c r="C2643" t="s">
        <v>677</v>
      </c>
      <c r="D2643" s="18">
        <v>150</v>
      </c>
      <c r="E2643" s="17">
        <v>578.76</v>
      </c>
      <c r="F2643" t="str">
        <f t="shared" si="82"/>
        <v>dezembro</v>
      </c>
      <c r="G2643">
        <f t="shared" si="83"/>
        <v>2023</v>
      </c>
    </row>
    <row r="2644" spans="1:7" x14ac:dyDescent="0.25">
      <c r="A2644">
        <v>8150001</v>
      </c>
      <c r="B2644" s="1">
        <v>45261</v>
      </c>
      <c r="C2644" t="s">
        <v>382</v>
      </c>
      <c r="D2644" s="17">
        <v>1091</v>
      </c>
      <c r="E2644" s="17">
        <v>14116.3</v>
      </c>
      <c r="F2644" t="str">
        <f t="shared" si="82"/>
        <v>dezembro</v>
      </c>
      <c r="G2644">
        <f t="shared" si="83"/>
        <v>2023</v>
      </c>
    </row>
    <row r="2645" spans="1:7" x14ac:dyDescent="0.25">
      <c r="A2645">
        <v>8150003</v>
      </c>
      <c r="B2645" s="1">
        <v>45261</v>
      </c>
      <c r="C2645" t="s">
        <v>384</v>
      </c>
      <c r="D2645" s="17">
        <v>3150</v>
      </c>
      <c r="E2645" s="17">
        <v>22680</v>
      </c>
      <c r="F2645" t="str">
        <f t="shared" si="82"/>
        <v>dezembro</v>
      </c>
      <c r="G2645">
        <f t="shared" si="83"/>
        <v>2023</v>
      </c>
    </row>
    <row r="2646" spans="1:7" x14ac:dyDescent="0.25">
      <c r="A2646">
        <v>8150004</v>
      </c>
      <c r="B2646" s="1">
        <v>45261</v>
      </c>
      <c r="C2646" t="s">
        <v>625</v>
      </c>
      <c r="D2646" s="17">
        <v>4519</v>
      </c>
      <c r="E2646" s="17">
        <v>27372.2</v>
      </c>
      <c r="F2646" t="str">
        <f t="shared" si="82"/>
        <v>dezembro</v>
      </c>
      <c r="G2646">
        <f t="shared" si="83"/>
        <v>2023</v>
      </c>
    </row>
    <row r="2647" spans="1:7" x14ac:dyDescent="0.25">
      <c r="A2647">
        <v>8150005</v>
      </c>
      <c r="B2647" s="1">
        <v>45261</v>
      </c>
      <c r="C2647" t="s">
        <v>386</v>
      </c>
      <c r="D2647" s="18">
        <v>90</v>
      </c>
      <c r="E2647" s="17">
        <v>495</v>
      </c>
      <c r="F2647" t="str">
        <f t="shared" si="82"/>
        <v>dezembro</v>
      </c>
      <c r="G2647">
        <f t="shared" si="83"/>
        <v>2023</v>
      </c>
    </row>
    <row r="2648" spans="1:7" x14ac:dyDescent="0.25">
      <c r="A2648">
        <v>8150006</v>
      </c>
      <c r="B2648" s="1">
        <v>45261</v>
      </c>
      <c r="C2648" t="s">
        <v>387</v>
      </c>
      <c r="D2648" s="18">
        <v>560</v>
      </c>
      <c r="E2648" s="17">
        <v>2688</v>
      </c>
      <c r="F2648" t="str">
        <f t="shared" si="82"/>
        <v>dezembro</v>
      </c>
      <c r="G2648">
        <f t="shared" si="83"/>
        <v>2023</v>
      </c>
    </row>
    <row r="2649" spans="1:7" x14ac:dyDescent="0.25">
      <c r="A2649">
        <v>8150009</v>
      </c>
      <c r="B2649" s="1">
        <v>45261</v>
      </c>
      <c r="C2649" t="s">
        <v>678</v>
      </c>
      <c r="D2649" s="18">
        <v>500</v>
      </c>
      <c r="E2649" s="17">
        <v>9400</v>
      </c>
      <c r="F2649" t="str">
        <f t="shared" si="82"/>
        <v>dezembro</v>
      </c>
      <c r="G2649">
        <f t="shared" si="83"/>
        <v>2023</v>
      </c>
    </row>
    <row r="2650" spans="1:7" x14ac:dyDescent="0.25">
      <c r="A2650">
        <v>8150014</v>
      </c>
      <c r="B2650" s="1">
        <v>45261</v>
      </c>
      <c r="C2650" t="s">
        <v>538</v>
      </c>
      <c r="D2650" s="18">
        <v>7</v>
      </c>
      <c r="E2650" s="17">
        <v>28.35</v>
      </c>
      <c r="F2650" t="str">
        <f t="shared" si="82"/>
        <v>dezembro</v>
      </c>
      <c r="G2650">
        <f t="shared" si="83"/>
        <v>2023</v>
      </c>
    </row>
    <row r="2651" spans="1:7" x14ac:dyDescent="0.25">
      <c r="A2651">
        <v>8150019</v>
      </c>
      <c r="B2651" s="1">
        <v>45261</v>
      </c>
      <c r="C2651" t="s">
        <v>680</v>
      </c>
      <c r="D2651" s="18">
        <v>10</v>
      </c>
      <c r="E2651" s="17">
        <v>50</v>
      </c>
      <c r="F2651" t="str">
        <f t="shared" si="82"/>
        <v>dezembro</v>
      </c>
      <c r="G2651">
        <f t="shared" si="83"/>
        <v>2023</v>
      </c>
    </row>
    <row r="2652" spans="1:7" x14ac:dyDescent="0.25">
      <c r="A2652">
        <v>8150020</v>
      </c>
      <c r="B2652" s="1">
        <v>45261</v>
      </c>
      <c r="C2652" t="s">
        <v>706</v>
      </c>
      <c r="D2652" s="18">
        <v>4</v>
      </c>
      <c r="E2652" s="17">
        <v>35.71</v>
      </c>
      <c r="F2652" t="str">
        <f t="shared" si="82"/>
        <v>dezembro</v>
      </c>
      <c r="G2652">
        <f t="shared" si="83"/>
        <v>2023</v>
      </c>
    </row>
    <row r="2653" spans="1:7" x14ac:dyDescent="0.25">
      <c r="A2653" t="s">
        <v>426</v>
      </c>
      <c r="B2653" s="1">
        <v>45292</v>
      </c>
      <c r="C2653" t="s">
        <v>331</v>
      </c>
      <c r="D2653">
        <v>862.5</v>
      </c>
      <c r="E2653" s="6">
        <v>258.75</v>
      </c>
      <c r="F2653" t="str">
        <f t="shared" si="82"/>
        <v>janeiro</v>
      </c>
      <c r="G2653">
        <f t="shared" si="83"/>
        <v>2024</v>
      </c>
    </row>
    <row r="2654" spans="1:7" x14ac:dyDescent="0.25">
      <c r="A2654" t="s">
        <v>427</v>
      </c>
      <c r="B2654" s="1">
        <v>45292</v>
      </c>
      <c r="C2654" t="s">
        <v>333</v>
      </c>
      <c r="D2654">
        <v>177.1</v>
      </c>
      <c r="E2654" s="6">
        <v>53.13</v>
      </c>
      <c r="F2654" t="str">
        <f t="shared" si="82"/>
        <v>janeiro</v>
      </c>
      <c r="G2654">
        <f t="shared" si="83"/>
        <v>2024</v>
      </c>
    </row>
    <row r="2655" spans="1:7" x14ac:dyDescent="0.25">
      <c r="A2655" t="s">
        <v>539</v>
      </c>
      <c r="B2655" s="1">
        <v>45292</v>
      </c>
      <c r="C2655" t="s">
        <v>540</v>
      </c>
      <c r="D2655">
        <v>4.8</v>
      </c>
      <c r="E2655" s="6">
        <v>9.6</v>
      </c>
      <c r="F2655" t="str">
        <f t="shared" si="82"/>
        <v>janeiro</v>
      </c>
      <c r="G2655">
        <f t="shared" si="83"/>
        <v>2024</v>
      </c>
    </row>
    <row r="2656" spans="1:7" x14ac:dyDescent="0.25">
      <c r="A2656" t="s">
        <v>5</v>
      </c>
      <c r="B2656" s="1">
        <v>45292</v>
      </c>
      <c r="C2656" t="s">
        <v>796</v>
      </c>
      <c r="D2656">
        <v>1288.2</v>
      </c>
      <c r="E2656" s="6">
        <v>1052.29</v>
      </c>
      <c r="F2656" t="str">
        <f t="shared" si="82"/>
        <v>janeiro</v>
      </c>
      <c r="G2656">
        <f t="shared" si="83"/>
        <v>2024</v>
      </c>
    </row>
    <row r="2657" spans="1:7" x14ac:dyDescent="0.25">
      <c r="A2657" t="s">
        <v>7</v>
      </c>
      <c r="B2657" s="1">
        <v>45292</v>
      </c>
      <c r="C2657" t="s">
        <v>8</v>
      </c>
      <c r="D2657">
        <v>4754</v>
      </c>
      <c r="E2657" s="6">
        <v>4576.95</v>
      </c>
      <c r="F2657" t="str">
        <f t="shared" si="82"/>
        <v>janeiro</v>
      </c>
      <c r="G2657">
        <f t="shared" si="83"/>
        <v>2024</v>
      </c>
    </row>
    <row r="2658" spans="1:7" x14ac:dyDescent="0.25">
      <c r="A2658" t="s">
        <v>9</v>
      </c>
      <c r="B2658" s="1">
        <v>45292</v>
      </c>
      <c r="C2658" t="s">
        <v>10</v>
      </c>
      <c r="D2658">
        <v>3951.28</v>
      </c>
      <c r="E2658" s="6">
        <v>8096.23</v>
      </c>
      <c r="F2658" t="str">
        <f t="shared" si="82"/>
        <v>janeiro</v>
      </c>
      <c r="G2658">
        <f t="shared" si="83"/>
        <v>2024</v>
      </c>
    </row>
    <row r="2659" spans="1:7" x14ac:dyDescent="0.25">
      <c r="A2659" t="s">
        <v>11</v>
      </c>
      <c r="B2659" s="1">
        <v>45292</v>
      </c>
      <c r="C2659" t="s">
        <v>12</v>
      </c>
      <c r="D2659">
        <v>129.28</v>
      </c>
      <c r="E2659" s="6">
        <v>1079.52</v>
      </c>
      <c r="F2659" t="str">
        <f t="shared" si="82"/>
        <v>janeiro</v>
      </c>
      <c r="G2659">
        <f t="shared" si="83"/>
        <v>2024</v>
      </c>
    </row>
    <row r="2660" spans="1:7" x14ac:dyDescent="0.25">
      <c r="A2660" t="s">
        <v>797</v>
      </c>
      <c r="B2660" s="1">
        <v>45292</v>
      </c>
      <c r="C2660" t="s">
        <v>798</v>
      </c>
      <c r="D2660">
        <v>102.3</v>
      </c>
      <c r="E2660" s="6">
        <v>208.61</v>
      </c>
      <c r="F2660" t="str">
        <f t="shared" si="82"/>
        <v>janeiro</v>
      </c>
      <c r="G2660">
        <f t="shared" si="83"/>
        <v>2024</v>
      </c>
    </row>
    <row r="2661" spans="1:7" x14ac:dyDescent="0.25">
      <c r="A2661" t="s">
        <v>13</v>
      </c>
      <c r="B2661" s="1">
        <v>45292</v>
      </c>
      <c r="C2661" t="s">
        <v>14</v>
      </c>
      <c r="D2661">
        <v>10.029999999999999</v>
      </c>
      <c r="E2661" s="6">
        <v>82.45</v>
      </c>
      <c r="F2661" t="str">
        <f t="shared" si="82"/>
        <v>janeiro</v>
      </c>
      <c r="G2661">
        <f t="shared" si="83"/>
        <v>2024</v>
      </c>
    </row>
    <row r="2662" spans="1:7" x14ac:dyDescent="0.25">
      <c r="A2662" t="s">
        <v>799</v>
      </c>
      <c r="B2662" s="1">
        <v>45292</v>
      </c>
      <c r="C2662" t="s">
        <v>800</v>
      </c>
      <c r="D2662">
        <v>282.98</v>
      </c>
      <c r="E2662" s="6">
        <v>1805.41</v>
      </c>
      <c r="F2662" t="str">
        <f t="shared" si="82"/>
        <v>janeiro</v>
      </c>
      <c r="G2662">
        <f t="shared" si="83"/>
        <v>2024</v>
      </c>
    </row>
    <row r="2663" spans="1:7" x14ac:dyDescent="0.25">
      <c r="A2663" t="s">
        <v>801</v>
      </c>
      <c r="B2663" s="1">
        <v>45292</v>
      </c>
      <c r="C2663" t="s">
        <v>802</v>
      </c>
      <c r="D2663">
        <v>4.32</v>
      </c>
      <c r="E2663" s="6">
        <v>56.16</v>
      </c>
      <c r="F2663" t="str">
        <f t="shared" si="82"/>
        <v>janeiro</v>
      </c>
      <c r="G2663">
        <f t="shared" si="83"/>
        <v>2024</v>
      </c>
    </row>
    <row r="2664" spans="1:7" x14ac:dyDescent="0.25">
      <c r="A2664" t="s">
        <v>15</v>
      </c>
      <c r="B2664" s="1">
        <v>45292</v>
      </c>
      <c r="C2664" t="s">
        <v>336</v>
      </c>
      <c r="D2664">
        <v>17.600000000000001</v>
      </c>
      <c r="E2664" s="6">
        <v>25.05</v>
      </c>
      <c r="F2664" t="str">
        <f t="shared" si="82"/>
        <v>janeiro</v>
      </c>
      <c r="G2664">
        <f t="shared" si="83"/>
        <v>2024</v>
      </c>
    </row>
    <row r="2665" spans="1:7" x14ac:dyDescent="0.25">
      <c r="A2665" t="s">
        <v>430</v>
      </c>
      <c r="B2665" s="1">
        <v>45292</v>
      </c>
      <c r="C2665" t="s">
        <v>431</v>
      </c>
      <c r="D2665">
        <v>1052.76</v>
      </c>
      <c r="E2665" s="6">
        <v>1290.3499999999999</v>
      </c>
      <c r="F2665" t="str">
        <f t="shared" si="82"/>
        <v>janeiro</v>
      </c>
      <c r="G2665">
        <f t="shared" si="83"/>
        <v>2024</v>
      </c>
    </row>
    <row r="2666" spans="1:7" x14ac:dyDescent="0.25">
      <c r="A2666" t="s">
        <v>803</v>
      </c>
      <c r="B2666" s="1">
        <v>45292</v>
      </c>
      <c r="C2666" t="s">
        <v>629</v>
      </c>
      <c r="D2666">
        <v>581</v>
      </c>
      <c r="E2666" s="6">
        <v>499.96</v>
      </c>
      <c r="F2666" t="str">
        <f t="shared" si="82"/>
        <v>janeiro</v>
      </c>
      <c r="G2666">
        <f t="shared" si="83"/>
        <v>2024</v>
      </c>
    </row>
    <row r="2667" spans="1:7" x14ac:dyDescent="0.25">
      <c r="A2667" t="s">
        <v>19</v>
      </c>
      <c r="B2667" s="1">
        <v>45292</v>
      </c>
      <c r="C2667" t="s">
        <v>804</v>
      </c>
      <c r="D2667">
        <v>1563.4</v>
      </c>
      <c r="E2667" s="6">
        <v>1129.83</v>
      </c>
      <c r="F2667" t="str">
        <f t="shared" si="82"/>
        <v>janeiro</v>
      </c>
      <c r="G2667">
        <f t="shared" si="83"/>
        <v>2024</v>
      </c>
    </row>
    <row r="2668" spans="1:7" x14ac:dyDescent="0.25">
      <c r="A2668" t="s">
        <v>21</v>
      </c>
      <c r="B2668" s="1">
        <v>45292</v>
      </c>
      <c r="C2668" t="s">
        <v>22</v>
      </c>
      <c r="D2668">
        <v>42.3</v>
      </c>
      <c r="E2668" s="6">
        <v>21.67</v>
      </c>
      <c r="F2668" t="str">
        <f t="shared" si="82"/>
        <v>janeiro</v>
      </c>
      <c r="G2668">
        <f t="shared" si="83"/>
        <v>2024</v>
      </c>
    </row>
    <row r="2669" spans="1:7" x14ac:dyDescent="0.25">
      <c r="A2669" t="s">
        <v>23</v>
      </c>
      <c r="B2669" s="1">
        <v>45292</v>
      </c>
      <c r="C2669" t="s">
        <v>24</v>
      </c>
      <c r="D2669">
        <v>102.7</v>
      </c>
      <c r="E2669" s="6">
        <v>145.34</v>
      </c>
      <c r="F2669" t="str">
        <f t="shared" si="82"/>
        <v>janeiro</v>
      </c>
      <c r="G2669">
        <f t="shared" si="83"/>
        <v>2024</v>
      </c>
    </row>
    <row r="2670" spans="1:7" x14ac:dyDescent="0.25">
      <c r="A2670" t="s">
        <v>432</v>
      </c>
      <c r="B2670" s="1">
        <v>45292</v>
      </c>
      <c r="C2670" t="s">
        <v>338</v>
      </c>
      <c r="D2670">
        <v>128.30000000000001</v>
      </c>
      <c r="E2670" s="6">
        <v>346.41</v>
      </c>
      <c r="F2670" t="str">
        <f t="shared" si="82"/>
        <v>janeiro</v>
      </c>
      <c r="G2670">
        <f t="shared" si="83"/>
        <v>2024</v>
      </c>
    </row>
    <row r="2671" spans="1:7" x14ac:dyDescent="0.25">
      <c r="A2671" t="s">
        <v>433</v>
      </c>
      <c r="B2671" s="1">
        <v>45292</v>
      </c>
      <c r="C2671" t="s">
        <v>340</v>
      </c>
      <c r="D2671">
        <v>429.8</v>
      </c>
      <c r="E2671" s="6">
        <v>85.96</v>
      </c>
      <c r="F2671" t="str">
        <f t="shared" si="82"/>
        <v>janeiro</v>
      </c>
      <c r="G2671">
        <f t="shared" si="83"/>
        <v>2024</v>
      </c>
    </row>
    <row r="2672" spans="1:7" x14ac:dyDescent="0.25">
      <c r="A2672" t="s">
        <v>434</v>
      </c>
      <c r="B2672" s="1">
        <v>45292</v>
      </c>
      <c r="C2672" t="s">
        <v>342</v>
      </c>
      <c r="D2672">
        <v>104</v>
      </c>
      <c r="E2672" s="6">
        <v>62.4</v>
      </c>
      <c r="F2672" t="str">
        <f t="shared" si="82"/>
        <v>janeiro</v>
      </c>
      <c r="G2672">
        <f t="shared" si="83"/>
        <v>2024</v>
      </c>
    </row>
    <row r="2673" spans="1:7" x14ac:dyDescent="0.25">
      <c r="A2673" t="s">
        <v>435</v>
      </c>
      <c r="B2673" s="1">
        <v>45292</v>
      </c>
      <c r="C2673" t="s">
        <v>344</v>
      </c>
      <c r="D2673">
        <v>130.69999999999999</v>
      </c>
      <c r="E2673" s="6">
        <v>222.19</v>
      </c>
      <c r="F2673" t="str">
        <f t="shared" si="82"/>
        <v>janeiro</v>
      </c>
      <c r="G2673">
        <f t="shared" si="83"/>
        <v>2024</v>
      </c>
    </row>
    <row r="2674" spans="1:7" x14ac:dyDescent="0.25">
      <c r="A2674" t="s">
        <v>805</v>
      </c>
      <c r="B2674" s="1">
        <v>45292</v>
      </c>
      <c r="C2674" t="s">
        <v>685</v>
      </c>
      <c r="D2674">
        <v>217.9</v>
      </c>
      <c r="E2674" s="6">
        <v>76.28</v>
      </c>
      <c r="F2674" t="str">
        <f t="shared" si="82"/>
        <v>janeiro</v>
      </c>
      <c r="G2674">
        <f t="shared" si="83"/>
        <v>2024</v>
      </c>
    </row>
    <row r="2675" spans="1:7" x14ac:dyDescent="0.25">
      <c r="A2675" t="s">
        <v>294</v>
      </c>
      <c r="B2675" s="1">
        <v>45292</v>
      </c>
      <c r="C2675" t="s">
        <v>295</v>
      </c>
      <c r="D2675">
        <v>8469.4</v>
      </c>
      <c r="E2675" s="6">
        <v>2436.64</v>
      </c>
      <c r="F2675" t="str">
        <f t="shared" si="82"/>
        <v>janeiro</v>
      </c>
      <c r="G2675">
        <f t="shared" si="83"/>
        <v>2024</v>
      </c>
    </row>
    <row r="2676" spans="1:7" x14ac:dyDescent="0.25">
      <c r="A2676" t="s">
        <v>806</v>
      </c>
      <c r="B2676" s="1">
        <v>45292</v>
      </c>
      <c r="C2676" t="s">
        <v>25</v>
      </c>
      <c r="D2676">
        <v>28</v>
      </c>
      <c r="E2676" s="6">
        <v>70</v>
      </c>
      <c r="F2676" t="str">
        <f t="shared" si="82"/>
        <v>janeiro</v>
      </c>
      <c r="G2676">
        <f t="shared" si="83"/>
        <v>2024</v>
      </c>
    </row>
    <row r="2677" spans="1:7" x14ac:dyDescent="0.25">
      <c r="A2677" t="s">
        <v>26</v>
      </c>
      <c r="B2677" s="1">
        <v>45292</v>
      </c>
      <c r="C2677" t="s">
        <v>27</v>
      </c>
      <c r="D2677">
        <v>1455.18</v>
      </c>
      <c r="E2677" s="6">
        <v>1130.8599999999999</v>
      </c>
      <c r="F2677" t="str">
        <f t="shared" si="82"/>
        <v>janeiro</v>
      </c>
      <c r="G2677">
        <f t="shared" si="83"/>
        <v>2024</v>
      </c>
    </row>
    <row r="2678" spans="1:7" x14ac:dyDescent="0.25">
      <c r="A2678" t="s">
        <v>28</v>
      </c>
      <c r="B2678" s="1">
        <v>45292</v>
      </c>
      <c r="C2678" t="s">
        <v>29</v>
      </c>
      <c r="D2678">
        <v>21641</v>
      </c>
      <c r="E2678" s="6">
        <v>1731.28</v>
      </c>
      <c r="F2678" t="str">
        <f t="shared" si="82"/>
        <v>janeiro</v>
      </c>
      <c r="G2678">
        <f t="shared" si="83"/>
        <v>2024</v>
      </c>
    </row>
    <row r="2679" spans="1:7" x14ac:dyDescent="0.25">
      <c r="A2679" t="s">
        <v>30</v>
      </c>
      <c r="B2679" s="1">
        <v>45292</v>
      </c>
      <c r="C2679" t="s">
        <v>31</v>
      </c>
      <c r="D2679">
        <v>328.5</v>
      </c>
      <c r="E2679" s="6">
        <v>523.29999999999995</v>
      </c>
      <c r="F2679" t="str">
        <f t="shared" si="82"/>
        <v>janeiro</v>
      </c>
      <c r="G2679">
        <f t="shared" si="83"/>
        <v>2024</v>
      </c>
    </row>
    <row r="2680" spans="1:7" x14ac:dyDescent="0.25">
      <c r="A2680" t="s">
        <v>32</v>
      </c>
      <c r="B2680" s="1">
        <v>45292</v>
      </c>
      <c r="C2680" t="s">
        <v>33</v>
      </c>
      <c r="D2680">
        <v>4365.25</v>
      </c>
      <c r="E2680" s="6">
        <v>7253.09</v>
      </c>
      <c r="F2680" t="str">
        <f t="shared" si="82"/>
        <v>janeiro</v>
      </c>
      <c r="G2680">
        <f t="shared" si="83"/>
        <v>2024</v>
      </c>
    </row>
    <row r="2681" spans="1:7" x14ac:dyDescent="0.25">
      <c r="A2681" t="s">
        <v>34</v>
      </c>
      <c r="B2681" s="1">
        <v>45292</v>
      </c>
      <c r="C2681" t="s">
        <v>35</v>
      </c>
      <c r="D2681">
        <v>267.35000000000002</v>
      </c>
      <c r="E2681" s="6">
        <v>414.39</v>
      </c>
      <c r="F2681" t="str">
        <f t="shared" si="82"/>
        <v>janeiro</v>
      </c>
      <c r="G2681">
        <f t="shared" si="83"/>
        <v>2024</v>
      </c>
    </row>
    <row r="2682" spans="1:7" x14ac:dyDescent="0.25">
      <c r="A2682" t="s">
        <v>36</v>
      </c>
      <c r="B2682" s="1">
        <v>45292</v>
      </c>
      <c r="C2682" t="s">
        <v>37</v>
      </c>
      <c r="D2682">
        <v>198.81</v>
      </c>
      <c r="E2682" s="6">
        <v>144.97999999999999</v>
      </c>
      <c r="F2682" t="str">
        <f t="shared" si="82"/>
        <v>janeiro</v>
      </c>
      <c r="G2682">
        <f t="shared" si="83"/>
        <v>2024</v>
      </c>
    </row>
    <row r="2683" spans="1:7" x14ac:dyDescent="0.25">
      <c r="A2683" t="s">
        <v>301</v>
      </c>
      <c r="B2683" s="1">
        <v>45292</v>
      </c>
      <c r="C2683" t="s">
        <v>302</v>
      </c>
      <c r="D2683">
        <v>472.9</v>
      </c>
      <c r="E2683" s="6">
        <v>1324.12</v>
      </c>
      <c r="F2683" t="str">
        <f t="shared" si="82"/>
        <v>janeiro</v>
      </c>
      <c r="G2683">
        <f t="shared" si="83"/>
        <v>2024</v>
      </c>
    </row>
    <row r="2684" spans="1:7" x14ac:dyDescent="0.25">
      <c r="A2684" t="s">
        <v>38</v>
      </c>
      <c r="B2684" s="1">
        <v>45292</v>
      </c>
      <c r="C2684" t="s">
        <v>39</v>
      </c>
      <c r="D2684">
        <v>2271.6</v>
      </c>
      <c r="E2684" s="6">
        <v>3580.24</v>
      </c>
      <c r="F2684" t="str">
        <f t="shared" si="82"/>
        <v>janeiro</v>
      </c>
      <c r="G2684">
        <f t="shared" si="83"/>
        <v>2024</v>
      </c>
    </row>
    <row r="2685" spans="1:7" x14ac:dyDescent="0.25">
      <c r="A2685" t="s">
        <v>40</v>
      </c>
      <c r="B2685" s="1">
        <v>45292</v>
      </c>
      <c r="C2685" t="s">
        <v>41</v>
      </c>
      <c r="D2685">
        <v>439.6</v>
      </c>
      <c r="E2685" s="6">
        <v>797.72</v>
      </c>
      <c r="F2685" t="str">
        <f t="shared" si="82"/>
        <v>janeiro</v>
      </c>
      <c r="G2685">
        <f t="shared" si="83"/>
        <v>2024</v>
      </c>
    </row>
    <row r="2686" spans="1:7" x14ac:dyDescent="0.25">
      <c r="A2686" t="s">
        <v>42</v>
      </c>
      <c r="B2686" s="1">
        <v>45292</v>
      </c>
      <c r="C2686" t="s">
        <v>43</v>
      </c>
      <c r="D2686">
        <v>1865.1</v>
      </c>
      <c r="E2686" s="6">
        <v>3208.9</v>
      </c>
      <c r="F2686" t="str">
        <f t="shared" si="82"/>
        <v>janeiro</v>
      </c>
      <c r="G2686">
        <f t="shared" si="83"/>
        <v>2024</v>
      </c>
    </row>
    <row r="2687" spans="1:7" x14ac:dyDescent="0.25">
      <c r="A2687" t="s">
        <v>807</v>
      </c>
      <c r="B2687" s="1">
        <v>45292</v>
      </c>
      <c r="C2687" t="s">
        <v>741</v>
      </c>
      <c r="D2687">
        <v>95.8</v>
      </c>
      <c r="E2687" s="6">
        <v>153.69999999999999</v>
      </c>
      <c r="F2687" t="str">
        <f t="shared" si="82"/>
        <v>janeiro</v>
      </c>
      <c r="G2687">
        <f t="shared" si="83"/>
        <v>2024</v>
      </c>
    </row>
    <row r="2688" spans="1:7" x14ac:dyDescent="0.25">
      <c r="A2688" t="s">
        <v>808</v>
      </c>
      <c r="B2688" s="1">
        <v>45292</v>
      </c>
      <c r="C2688" t="s">
        <v>763</v>
      </c>
      <c r="D2688">
        <v>231.9</v>
      </c>
      <c r="E2688" s="6">
        <v>404.25</v>
      </c>
      <c r="F2688" t="str">
        <f t="shared" si="82"/>
        <v>janeiro</v>
      </c>
      <c r="G2688">
        <f t="shared" si="83"/>
        <v>2024</v>
      </c>
    </row>
    <row r="2689" spans="1:7" x14ac:dyDescent="0.25">
      <c r="A2689" t="s">
        <v>809</v>
      </c>
      <c r="B2689" s="1">
        <v>45292</v>
      </c>
      <c r="C2689" t="s">
        <v>810</v>
      </c>
      <c r="D2689">
        <v>600</v>
      </c>
      <c r="E2689" s="6">
        <v>1050</v>
      </c>
      <c r="F2689" t="str">
        <f t="shared" si="82"/>
        <v>janeiro</v>
      </c>
      <c r="G2689">
        <f t="shared" si="83"/>
        <v>2024</v>
      </c>
    </row>
    <row r="2690" spans="1:7" x14ac:dyDescent="0.25">
      <c r="A2690" t="s">
        <v>44</v>
      </c>
      <c r="B2690" s="1">
        <v>45292</v>
      </c>
      <c r="C2690" t="s">
        <v>45</v>
      </c>
      <c r="D2690">
        <v>596.6</v>
      </c>
      <c r="E2690" s="6">
        <v>873.07</v>
      </c>
      <c r="F2690" t="str">
        <f t="shared" si="82"/>
        <v>janeiro</v>
      </c>
      <c r="G2690">
        <f t="shared" si="83"/>
        <v>2024</v>
      </c>
    </row>
    <row r="2691" spans="1:7" x14ac:dyDescent="0.25">
      <c r="A2691" t="s">
        <v>46</v>
      </c>
      <c r="B2691" s="1">
        <v>45292</v>
      </c>
      <c r="C2691" t="s">
        <v>811</v>
      </c>
      <c r="D2691">
        <v>240</v>
      </c>
      <c r="E2691" s="6">
        <v>310.5</v>
      </c>
      <c r="F2691" t="str">
        <f t="shared" ref="F2691:F2754" si="84">TEXT(B2691,"mmmm")</f>
        <v>janeiro</v>
      </c>
      <c r="G2691">
        <f t="shared" ref="G2691:G2754" si="85">YEAR(B2691)</f>
        <v>2024</v>
      </c>
    </row>
    <row r="2692" spans="1:7" x14ac:dyDescent="0.25">
      <c r="A2692" t="s">
        <v>48</v>
      </c>
      <c r="B2692" s="1">
        <v>45292</v>
      </c>
      <c r="C2692" t="s">
        <v>49</v>
      </c>
      <c r="D2692">
        <v>1195.3800000000001</v>
      </c>
      <c r="E2692" s="6">
        <v>2071.02</v>
      </c>
      <c r="F2692" t="str">
        <f t="shared" si="84"/>
        <v>janeiro</v>
      </c>
      <c r="G2692">
        <f t="shared" si="85"/>
        <v>2024</v>
      </c>
    </row>
    <row r="2693" spans="1:7" x14ac:dyDescent="0.25">
      <c r="A2693" t="s">
        <v>50</v>
      </c>
      <c r="B2693" s="1">
        <v>45292</v>
      </c>
      <c r="C2693" t="s">
        <v>51</v>
      </c>
      <c r="D2693">
        <v>46</v>
      </c>
      <c r="E2693" s="6">
        <v>66.22</v>
      </c>
      <c r="F2693" t="str">
        <f t="shared" si="84"/>
        <v>janeiro</v>
      </c>
      <c r="G2693">
        <f t="shared" si="85"/>
        <v>2024</v>
      </c>
    </row>
    <row r="2694" spans="1:7" x14ac:dyDescent="0.25">
      <c r="A2694" t="s">
        <v>52</v>
      </c>
      <c r="B2694" s="1">
        <v>45292</v>
      </c>
      <c r="C2694" t="s">
        <v>53</v>
      </c>
      <c r="D2694">
        <v>1365.4</v>
      </c>
      <c r="E2694" s="6">
        <v>346.19</v>
      </c>
      <c r="F2694" t="str">
        <f t="shared" si="84"/>
        <v>janeiro</v>
      </c>
      <c r="G2694">
        <f t="shared" si="85"/>
        <v>2024</v>
      </c>
    </row>
    <row r="2695" spans="1:7" x14ac:dyDescent="0.25">
      <c r="A2695" t="s">
        <v>54</v>
      </c>
      <c r="B2695" s="1">
        <v>45292</v>
      </c>
      <c r="C2695" t="s">
        <v>55</v>
      </c>
      <c r="D2695">
        <v>166</v>
      </c>
      <c r="E2695" s="6">
        <v>166</v>
      </c>
      <c r="F2695" t="str">
        <f t="shared" si="84"/>
        <v>janeiro</v>
      </c>
      <c r="G2695">
        <f t="shared" si="85"/>
        <v>2024</v>
      </c>
    </row>
    <row r="2696" spans="1:7" x14ac:dyDescent="0.25">
      <c r="A2696" t="s">
        <v>438</v>
      </c>
      <c r="B2696" s="1">
        <v>45292</v>
      </c>
      <c r="C2696" t="s">
        <v>389</v>
      </c>
      <c r="D2696">
        <v>8.8000000000000007</v>
      </c>
      <c r="E2696" s="6">
        <v>7.04</v>
      </c>
      <c r="F2696" t="str">
        <f t="shared" si="84"/>
        <v>janeiro</v>
      </c>
      <c r="G2696">
        <f t="shared" si="85"/>
        <v>2024</v>
      </c>
    </row>
    <row r="2697" spans="1:7" x14ac:dyDescent="0.25">
      <c r="A2697" t="s">
        <v>56</v>
      </c>
      <c r="B2697" s="1">
        <v>45292</v>
      </c>
      <c r="C2697" t="s">
        <v>57</v>
      </c>
      <c r="D2697">
        <v>297.5</v>
      </c>
      <c r="E2697" s="6">
        <v>366.99</v>
      </c>
      <c r="F2697" t="str">
        <f t="shared" si="84"/>
        <v>janeiro</v>
      </c>
      <c r="G2697">
        <f t="shared" si="85"/>
        <v>2024</v>
      </c>
    </row>
    <row r="2698" spans="1:7" x14ac:dyDescent="0.25">
      <c r="A2698" t="s">
        <v>440</v>
      </c>
      <c r="B2698" s="1">
        <v>45292</v>
      </c>
      <c r="C2698" t="s">
        <v>346</v>
      </c>
      <c r="D2698">
        <v>4365</v>
      </c>
      <c r="E2698" s="6">
        <v>2619</v>
      </c>
      <c r="F2698" t="str">
        <f t="shared" si="84"/>
        <v>janeiro</v>
      </c>
      <c r="G2698">
        <f t="shared" si="85"/>
        <v>2024</v>
      </c>
    </row>
    <row r="2699" spans="1:7" x14ac:dyDescent="0.25">
      <c r="A2699" t="s">
        <v>58</v>
      </c>
      <c r="B2699" s="1">
        <v>45292</v>
      </c>
      <c r="C2699" t="s">
        <v>59</v>
      </c>
      <c r="D2699">
        <v>2733</v>
      </c>
      <c r="E2699" s="6">
        <v>2966.95</v>
      </c>
      <c r="F2699" t="str">
        <f t="shared" si="84"/>
        <v>janeiro</v>
      </c>
      <c r="G2699">
        <f t="shared" si="85"/>
        <v>2024</v>
      </c>
    </row>
    <row r="2700" spans="1:7" x14ac:dyDescent="0.25">
      <c r="A2700" t="s">
        <v>441</v>
      </c>
      <c r="B2700" s="1">
        <v>45292</v>
      </c>
      <c r="C2700" t="s">
        <v>347</v>
      </c>
      <c r="D2700">
        <v>674</v>
      </c>
      <c r="E2700" s="6">
        <v>712.8</v>
      </c>
      <c r="F2700" t="str">
        <f t="shared" si="84"/>
        <v>janeiro</v>
      </c>
      <c r="G2700">
        <f t="shared" si="85"/>
        <v>2024</v>
      </c>
    </row>
    <row r="2701" spans="1:7" x14ac:dyDescent="0.25">
      <c r="A2701" t="s">
        <v>442</v>
      </c>
      <c r="B2701" s="1">
        <v>45292</v>
      </c>
      <c r="C2701" t="s">
        <v>443</v>
      </c>
      <c r="D2701">
        <v>4.5999999999999996</v>
      </c>
      <c r="E2701" s="6">
        <v>7.36</v>
      </c>
      <c r="F2701" t="str">
        <f t="shared" si="84"/>
        <v>janeiro</v>
      </c>
      <c r="G2701">
        <f t="shared" si="85"/>
        <v>2024</v>
      </c>
    </row>
    <row r="2702" spans="1:7" x14ac:dyDescent="0.25">
      <c r="A2702" t="s">
        <v>444</v>
      </c>
      <c r="B2702" s="1">
        <v>45292</v>
      </c>
      <c r="C2702" t="s">
        <v>348</v>
      </c>
      <c r="D2702">
        <v>922.4</v>
      </c>
      <c r="E2702" s="6">
        <v>276.72000000000003</v>
      </c>
      <c r="F2702" t="str">
        <f t="shared" si="84"/>
        <v>janeiro</v>
      </c>
      <c r="G2702">
        <f t="shared" si="85"/>
        <v>2024</v>
      </c>
    </row>
    <row r="2703" spans="1:7" x14ac:dyDescent="0.25">
      <c r="A2703" t="s">
        <v>60</v>
      </c>
      <c r="B2703" s="1">
        <v>45292</v>
      </c>
      <c r="C2703" t="s">
        <v>61</v>
      </c>
      <c r="D2703">
        <v>32.6</v>
      </c>
      <c r="E2703" s="6">
        <v>16.3</v>
      </c>
      <c r="F2703" t="str">
        <f t="shared" si="84"/>
        <v>janeiro</v>
      </c>
      <c r="G2703">
        <f t="shared" si="85"/>
        <v>2024</v>
      </c>
    </row>
    <row r="2704" spans="1:7" x14ac:dyDescent="0.25">
      <c r="A2704" t="s">
        <v>62</v>
      </c>
      <c r="B2704" s="1">
        <v>45292</v>
      </c>
      <c r="C2704" t="s">
        <v>63</v>
      </c>
      <c r="D2704">
        <v>87656.6</v>
      </c>
      <c r="E2704" s="6">
        <v>218523.31</v>
      </c>
      <c r="F2704" t="str">
        <f t="shared" si="84"/>
        <v>janeiro</v>
      </c>
      <c r="G2704">
        <f t="shared" si="85"/>
        <v>2024</v>
      </c>
    </row>
    <row r="2705" spans="1:7" x14ac:dyDescent="0.25">
      <c r="A2705" t="s">
        <v>64</v>
      </c>
      <c r="B2705" s="1">
        <v>45292</v>
      </c>
      <c r="C2705" t="s">
        <v>65</v>
      </c>
      <c r="D2705">
        <v>544.1</v>
      </c>
      <c r="E2705" s="6">
        <v>1365.7</v>
      </c>
      <c r="F2705" t="str">
        <f t="shared" si="84"/>
        <v>janeiro</v>
      </c>
      <c r="G2705">
        <f t="shared" si="85"/>
        <v>2024</v>
      </c>
    </row>
    <row r="2706" spans="1:7" x14ac:dyDescent="0.25">
      <c r="A2706" t="s">
        <v>812</v>
      </c>
      <c r="B2706" s="1">
        <v>45292</v>
      </c>
      <c r="C2706" t="s">
        <v>789</v>
      </c>
      <c r="D2706">
        <v>92.2</v>
      </c>
      <c r="E2706" s="6">
        <v>230.5</v>
      </c>
      <c r="F2706" t="str">
        <f t="shared" si="84"/>
        <v>janeiro</v>
      </c>
      <c r="G2706">
        <f t="shared" si="85"/>
        <v>2024</v>
      </c>
    </row>
    <row r="2707" spans="1:7" x14ac:dyDescent="0.25">
      <c r="A2707" t="s">
        <v>66</v>
      </c>
      <c r="B2707" s="1">
        <v>45292</v>
      </c>
      <c r="C2707" t="s">
        <v>67</v>
      </c>
      <c r="D2707">
        <v>4147.3999999999996</v>
      </c>
      <c r="E2707" s="6">
        <v>12465.64</v>
      </c>
      <c r="F2707" t="str">
        <f t="shared" si="84"/>
        <v>janeiro</v>
      </c>
      <c r="G2707">
        <f t="shared" si="85"/>
        <v>2024</v>
      </c>
    </row>
    <row r="2708" spans="1:7" x14ac:dyDescent="0.25">
      <c r="A2708" t="s">
        <v>68</v>
      </c>
      <c r="B2708" s="1">
        <v>45292</v>
      </c>
      <c r="C2708" t="s">
        <v>69</v>
      </c>
      <c r="D2708">
        <v>114.4</v>
      </c>
      <c r="E2708" s="6">
        <v>351.29</v>
      </c>
      <c r="F2708" t="str">
        <f t="shared" si="84"/>
        <v>janeiro</v>
      </c>
      <c r="G2708">
        <f t="shared" si="85"/>
        <v>2024</v>
      </c>
    </row>
    <row r="2709" spans="1:7" x14ac:dyDescent="0.25">
      <c r="A2709" t="s">
        <v>72</v>
      </c>
      <c r="B2709" s="1">
        <v>45292</v>
      </c>
      <c r="C2709" t="s">
        <v>73</v>
      </c>
      <c r="D2709">
        <v>16986.900000000001</v>
      </c>
      <c r="E2709" s="6">
        <v>41001.589999999997</v>
      </c>
      <c r="F2709" t="str">
        <f t="shared" si="84"/>
        <v>janeiro</v>
      </c>
      <c r="G2709">
        <f t="shared" si="85"/>
        <v>2024</v>
      </c>
    </row>
    <row r="2710" spans="1:7" x14ac:dyDescent="0.25">
      <c r="A2710" t="s">
        <v>74</v>
      </c>
      <c r="B2710" s="1">
        <v>45292</v>
      </c>
      <c r="C2710" t="s">
        <v>75</v>
      </c>
      <c r="D2710">
        <v>498.1</v>
      </c>
      <c r="E2710" s="6">
        <v>1428.09</v>
      </c>
      <c r="F2710" t="str">
        <f t="shared" si="84"/>
        <v>janeiro</v>
      </c>
      <c r="G2710">
        <f t="shared" si="85"/>
        <v>2024</v>
      </c>
    </row>
    <row r="2711" spans="1:7" x14ac:dyDescent="0.25">
      <c r="A2711" t="s">
        <v>76</v>
      </c>
      <c r="B2711" s="1">
        <v>45292</v>
      </c>
      <c r="C2711" t="s">
        <v>77</v>
      </c>
      <c r="D2711">
        <v>10554.4</v>
      </c>
      <c r="E2711" s="6">
        <v>33491.75</v>
      </c>
      <c r="F2711" t="str">
        <f t="shared" si="84"/>
        <v>janeiro</v>
      </c>
      <c r="G2711">
        <f t="shared" si="85"/>
        <v>2024</v>
      </c>
    </row>
    <row r="2712" spans="1:7" x14ac:dyDescent="0.25">
      <c r="A2712" t="s">
        <v>78</v>
      </c>
      <c r="B2712" s="1">
        <v>45292</v>
      </c>
      <c r="C2712" t="s">
        <v>79</v>
      </c>
      <c r="D2712">
        <v>539.6</v>
      </c>
      <c r="E2712" s="6">
        <v>2885.25</v>
      </c>
      <c r="F2712" t="str">
        <f t="shared" si="84"/>
        <v>janeiro</v>
      </c>
      <c r="G2712">
        <f t="shared" si="85"/>
        <v>2024</v>
      </c>
    </row>
    <row r="2713" spans="1:7" x14ac:dyDescent="0.25">
      <c r="A2713" t="s">
        <v>303</v>
      </c>
      <c r="B2713" s="1">
        <v>45292</v>
      </c>
      <c r="C2713" t="s">
        <v>304</v>
      </c>
      <c r="D2713">
        <v>290</v>
      </c>
      <c r="E2713" s="6">
        <v>1535.8</v>
      </c>
      <c r="F2713" t="str">
        <f t="shared" si="84"/>
        <v>janeiro</v>
      </c>
      <c r="G2713">
        <f t="shared" si="85"/>
        <v>2024</v>
      </c>
    </row>
    <row r="2714" spans="1:7" x14ac:dyDescent="0.25">
      <c r="A2714" t="s">
        <v>813</v>
      </c>
      <c r="B2714" s="1">
        <v>45292</v>
      </c>
      <c r="C2714" t="s">
        <v>814</v>
      </c>
      <c r="D2714">
        <v>9.85</v>
      </c>
      <c r="E2714" s="6">
        <v>118.2</v>
      </c>
      <c r="F2714" t="str">
        <f t="shared" si="84"/>
        <v>janeiro</v>
      </c>
      <c r="G2714">
        <f t="shared" si="85"/>
        <v>2024</v>
      </c>
    </row>
    <row r="2715" spans="1:7" x14ac:dyDescent="0.25">
      <c r="A2715" t="s">
        <v>815</v>
      </c>
      <c r="B2715" s="1">
        <v>45292</v>
      </c>
      <c r="C2715" t="s">
        <v>631</v>
      </c>
      <c r="D2715">
        <v>797.75</v>
      </c>
      <c r="E2715" s="6">
        <v>2543.56</v>
      </c>
      <c r="F2715" t="str">
        <f t="shared" si="84"/>
        <v>janeiro</v>
      </c>
      <c r="G2715">
        <f t="shared" si="85"/>
        <v>2024</v>
      </c>
    </row>
    <row r="2716" spans="1:7" x14ac:dyDescent="0.25">
      <c r="A2716" t="s">
        <v>80</v>
      </c>
      <c r="B2716" s="1">
        <v>45292</v>
      </c>
      <c r="C2716" t="s">
        <v>349</v>
      </c>
      <c r="D2716">
        <v>8292.11</v>
      </c>
      <c r="E2716" s="6">
        <v>24959.31</v>
      </c>
      <c r="F2716" t="str">
        <f t="shared" si="84"/>
        <v>janeiro</v>
      </c>
      <c r="G2716">
        <f t="shared" si="85"/>
        <v>2024</v>
      </c>
    </row>
    <row r="2717" spans="1:7" x14ac:dyDescent="0.25">
      <c r="A2717" t="s">
        <v>82</v>
      </c>
      <c r="B2717" s="1">
        <v>45292</v>
      </c>
      <c r="C2717" t="s">
        <v>83</v>
      </c>
      <c r="D2717">
        <v>13189.32</v>
      </c>
      <c r="E2717" s="6">
        <v>41769.08</v>
      </c>
      <c r="F2717" t="str">
        <f t="shared" si="84"/>
        <v>janeiro</v>
      </c>
      <c r="G2717">
        <f t="shared" si="85"/>
        <v>2024</v>
      </c>
    </row>
    <row r="2718" spans="1:7" x14ac:dyDescent="0.25">
      <c r="A2718" t="s">
        <v>816</v>
      </c>
      <c r="B2718" s="1">
        <v>45292</v>
      </c>
      <c r="C2718" t="s">
        <v>84</v>
      </c>
      <c r="D2718">
        <v>1238.5999999999999</v>
      </c>
      <c r="E2718" s="6">
        <v>4632.33</v>
      </c>
      <c r="F2718" t="str">
        <f t="shared" si="84"/>
        <v>janeiro</v>
      </c>
      <c r="G2718">
        <f t="shared" si="85"/>
        <v>2024</v>
      </c>
    </row>
    <row r="2719" spans="1:7" x14ac:dyDescent="0.25">
      <c r="A2719" t="s">
        <v>85</v>
      </c>
      <c r="B2719" s="1">
        <v>45292</v>
      </c>
      <c r="C2719" t="s">
        <v>86</v>
      </c>
      <c r="D2719">
        <v>749.2</v>
      </c>
      <c r="E2719" s="6">
        <v>2665.68</v>
      </c>
      <c r="F2719" t="str">
        <f t="shared" si="84"/>
        <v>janeiro</v>
      </c>
      <c r="G2719">
        <f t="shared" si="85"/>
        <v>2024</v>
      </c>
    </row>
    <row r="2720" spans="1:7" x14ac:dyDescent="0.25">
      <c r="A2720" t="s">
        <v>817</v>
      </c>
      <c r="B2720" s="1">
        <v>45292</v>
      </c>
      <c r="C2720" t="s">
        <v>718</v>
      </c>
      <c r="D2720">
        <v>6.5</v>
      </c>
      <c r="E2720" s="6">
        <v>34.450000000000003</v>
      </c>
      <c r="F2720" t="str">
        <f t="shared" si="84"/>
        <v>janeiro</v>
      </c>
      <c r="G2720">
        <f t="shared" si="85"/>
        <v>2024</v>
      </c>
    </row>
    <row r="2721" spans="1:7" x14ac:dyDescent="0.25">
      <c r="A2721" t="s">
        <v>87</v>
      </c>
      <c r="B2721" s="1">
        <v>45292</v>
      </c>
      <c r="C2721" t="s">
        <v>88</v>
      </c>
      <c r="D2721">
        <v>329.8</v>
      </c>
      <c r="E2721" s="6">
        <v>584.26</v>
      </c>
      <c r="F2721" t="str">
        <f t="shared" si="84"/>
        <v>janeiro</v>
      </c>
      <c r="G2721">
        <f t="shared" si="85"/>
        <v>2024</v>
      </c>
    </row>
    <row r="2722" spans="1:7" x14ac:dyDescent="0.25">
      <c r="A2722" t="s">
        <v>818</v>
      </c>
      <c r="B2722" s="1">
        <v>45292</v>
      </c>
      <c r="C2722" t="s">
        <v>686</v>
      </c>
      <c r="D2722">
        <v>2660.06</v>
      </c>
      <c r="E2722" s="6">
        <v>10154.540000000001</v>
      </c>
      <c r="F2722" t="str">
        <f t="shared" si="84"/>
        <v>janeiro</v>
      </c>
      <c r="G2722">
        <f t="shared" si="85"/>
        <v>2024</v>
      </c>
    </row>
    <row r="2723" spans="1:7" x14ac:dyDescent="0.25">
      <c r="A2723" t="s">
        <v>819</v>
      </c>
      <c r="B2723" s="1">
        <v>45292</v>
      </c>
      <c r="C2723" t="s">
        <v>790</v>
      </c>
      <c r="D2723">
        <v>514</v>
      </c>
      <c r="E2723" s="6">
        <v>2158.8000000000002</v>
      </c>
      <c r="F2723" t="str">
        <f t="shared" si="84"/>
        <v>janeiro</v>
      </c>
      <c r="G2723">
        <f t="shared" si="85"/>
        <v>2024</v>
      </c>
    </row>
    <row r="2724" spans="1:7" x14ac:dyDescent="0.25">
      <c r="A2724" t="s">
        <v>820</v>
      </c>
      <c r="B2724" s="1">
        <v>45292</v>
      </c>
      <c r="C2724" t="s">
        <v>764</v>
      </c>
      <c r="D2724">
        <v>1564.37</v>
      </c>
      <c r="E2724" s="6">
        <v>6022.83</v>
      </c>
      <c r="F2724" t="str">
        <f t="shared" si="84"/>
        <v>janeiro</v>
      </c>
      <c r="G2724">
        <f t="shared" si="85"/>
        <v>2024</v>
      </c>
    </row>
    <row r="2725" spans="1:7" x14ac:dyDescent="0.25">
      <c r="A2725" t="s">
        <v>821</v>
      </c>
      <c r="B2725" s="1">
        <v>45292</v>
      </c>
      <c r="C2725" t="s">
        <v>822</v>
      </c>
      <c r="D2725">
        <v>16.399999999999999</v>
      </c>
      <c r="E2725" s="6">
        <v>98.4</v>
      </c>
      <c r="F2725" t="str">
        <f t="shared" si="84"/>
        <v>janeiro</v>
      </c>
      <c r="G2725">
        <f t="shared" si="85"/>
        <v>2024</v>
      </c>
    </row>
    <row r="2726" spans="1:7" x14ac:dyDescent="0.25">
      <c r="A2726" t="s">
        <v>823</v>
      </c>
      <c r="B2726" s="1">
        <v>45292</v>
      </c>
      <c r="C2726" t="s">
        <v>824</v>
      </c>
      <c r="D2726">
        <v>10.84</v>
      </c>
      <c r="E2726" s="6">
        <v>108.4</v>
      </c>
      <c r="F2726" t="str">
        <f t="shared" si="84"/>
        <v>janeiro</v>
      </c>
      <c r="G2726">
        <f t="shared" si="85"/>
        <v>2024</v>
      </c>
    </row>
    <row r="2727" spans="1:7" x14ac:dyDescent="0.25">
      <c r="A2727" t="s">
        <v>825</v>
      </c>
      <c r="B2727" s="1">
        <v>45292</v>
      </c>
      <c r="C2727" t="s">
        <v>826</v>
      </c>
      <c r="D2727">
        <v>7.06</v>
      </c>
      <c r="E2727" s="6">
        <v>67.12</v>
      </c>
      <c r="F2727" t="str">
        <f t="shared" si="84"/>
        <v>janeiro</v>
      </c>
      <c r="G2727">
        <f t="shared" si="85"/>
        <v>2024</v>
      </c>
    </row>
    <row r="2728" spans="1:7" x14ac:dyDescent="0.25">
      <c r="A2728" t="s">
        <v>89</v>
      </c>
      <c r="B2728" s="1">
        <v>45292</v>
      </c>
      <c r="C2728" t="s">
        <v>90</v>
      </c>
      <c r="D2728">
        <v>18036.84</v>
      </c>
      <c r="E2728" s="6">
        <v>52331.8</v>
      </c>
      <c r="F2728" t="str">
        <f t="shared" si="84"/>
        <v>janeiro</v>
      </c>
      <c r="G2728">
        <f t="shared" si="85"/>
        <v>2024</v>
      </c>
    </row>
    <row r="2729" spans="1:7" x14ac:dyDescent="0.25">
      <c r="A2729" t="s">
        <v>445</v>
      </c>
      <c r="B2729" s="1">
        <v>45292</v>
      </c>
      <c r="C2729" t="s">
        <v>306</v>
      </c>
      <c r="D2729">
        <v>162.1</v>
      </c>
      <c r="E2729" s="6">
        <v>474.94</v>
      </c>
      <c r="F2729" t="str">
        <f t="shared" si="84"/>
        <v>janeiro</v>
      </c>
      <c r="G2729">
        <f t="shared" si="85"/>
        <v>2024</v>
      </c>
    </row>
    <row r="2730" spans="1:7" x14ac:dyDescent="0.25">
      <c r="A2730" t="s">
        <v>93</v>
      </c>
      <c r="B2730" s="1">
        <v>45292</v>
      </c>
      <c r="C2730" t="s">
        <v>94</v>
      </c>
      <c r="D2730">
        <v>1469.97</v>
      </c>
      <c r="E2730" s="6">
        <v>7287.74</v>
      </c>
      <c r="F2730" t="str">
        <f t="shared" si="84"/>
        <v>janeiro</v>
      </c>
      <c r="G2730">
        <f t="shared" si="85"/>
        <v>2024</v>
      </c>
    </row>
    <row r="2731" spans="1:7" x14ac:dyDescent="0.25">
      <c r="A2731" t="s">
        <v>827</v>
      </c>
      <c r="B2731" s="1">
        <v>45292</v>
      </c>
      <c r="C2731" t="s">
        <v>791</v>
      </c>
      <c r="D2731">
        <v>1080.29</v>
      </c>
      <c r="E2731" s="6">
        <v>4319.05</v>
      </c>
      <c r="F2731" t="str">
        <f t="shared" si="84"/>
        <v>janeiro</v>
      </c>
      <c r="G2731">
        <f t="shared" si="85"/>
        <v>2024</v>
      </c>
    </row>
    <row r="2732" spans="1:7" x14ac:dyDescent="0.25">
      <c r="A2732" t="s">
        <v>828</v>
      </c>
      <c r="B2732" s="1">
        <v>45292</v>
      </c>
      <c r="C2732" t="s">
        <v>829</v>
      </c>
      <c r="D2732">
        <v>39.590000000000003</v>
      </c>
      <c r="E2732" s="6">
        <v>233.58</v>
      </c>
      <c r="F2732" t="str">
        <f t="shared" si="84"/>
        <v>janeiro</v>
      </c>
      <c r="G2732">
        <f t="shared" si="85"/>
        <v>2024</v>
      </c>
    </row>
    <row r="2733" spans="1:7" x14ac:dyDescent="0.25">
      <c r="A2733" t="s">
        <v>95</v>
      </c>
      <c r="B2733" s="1">
        <v>45292</v>
      </c>
      <c r="C2733" t="s">
        <v>96</v>
      </c>
      <c r="D2733">
        <v>13749.45</v>
      </c>
      <c r="E2733" s="6">
        <v>46478</v>
      </c>
      <c r="F2733" t="str">
        <f t="shared" si="84"/>
        <v>janeiro</v>
      </c>
      <c r="G2733">
        <f t="shared" si="85"/>
        <v>2024</v>
      </c>
    </row>
    <row r="2734" spans="1:7" x14ac:dyDescent="0.25">
      <c r="A2734" t="s">
        <v>97</v>
      </c>
      <c r="B2734" s="1">
        <v>45292</v>
      </c>
      <c r="C2734" t="s">
        <v>98</v>
      </c>
      <c r="D2734">
        <v>2240.4</v>
      </c>
      <c r="E2734" s="6">
        <v>9266.11</v>
      </c>
      <c r="F2734" t="str">
        <f t="shared" si="84"/>
        <v>janeiro</v>
      </c>
      <c r="G2734">
        <f t="shared" si="85"/>
        <v>2024</v>
      </c>
    </row>
    <row r="2735" spans="1:7" x14ac:dyDescent="0.25">
      <c r="A2735" t="s">
        <v>830</v>
      </c>
      <c r="B2735" s="1">
        <v>45292</v>
      </c>
      <c r="C2735" t="s">
        <v>687</v>
      </c>
      <c r="D2735">
        <v>172.29</v>
      </c>
      <c r="E2735" s="6">
        <v>689.16</v>
      </c>
      <c r="F2735" t="str">
        <f t="shared" si="84"/>
        <v>janeiro</v>
      </c>
      <c r="G2735">
        <f t="shared" si="85"/>
        <v>2024</v>
      </c>
    </row>
    <row r="2736" spans="1:7" x14ac:dyDescent="0.25">
      <c r="A2736" t="s">
        <v>831</v>
      </c>
      <c r="B2736" s="1">
        <v>45292</v>
      </c>
      <c r="C2736" t="s">
        <v>832</v>
      </c>
      <c r="D2736">
        <v>53.58</v>
      </c>
      <c r="E2736" s="6">
        <v>294.69</v>
      </c>
      <c r="F2736" t="str">
        <f t="shared" si="84"/>
        <v>janeiro</v>
      </c>
      <c r="G2736">
        <f t="shared" si="85"/>
        <v>2024</v>
      </c>
    </row>
    <row r="2737" spans="1:7" x14ac:dyDescent="0.25">
      <c r="A2737" t="s">
        <v>99</v>
      </c>
      <c r="B2737" s="1">
        <v>45292</v>
      </c>
      <c r="C2737" t="s">
        <v>100</v>
      </c>
      <c r="D2737">
        <v>27782.15</v>
      </c>
      <c r="E2737" s="6">
        <v>86928.8</v>
      </c>
      <c r="F2737" t="str">
        <f t="shared" si="84"/>
        <v>janeiro</v>
      </c>
      <c r="G2737">
        <f t="shared" si="85"/>
        <v>2024</v>
      </c>
    </row>
    <row r="2738" spans="1:7" x14ac:dyDescent="0.25">
      <c r="A2738" t="s">
        <v>833</v>
      </c>
      <c r="B2738" s="1">
        <v>45292</v>
      </c>
      <c r="C2738" t="s">
        <v>742</v>
      </c>
      <c r="D2738">
        <v>4360.5</v>
      </c>
      <c r="E2738" s="6">
        <v>15115.9</v>
      </c>
      <c r="F2738" t="str">
        <f t="shared" si="84"/>
        <v>janeiro</v>
      </c>
      <c r="G2738">
        <f t="shared" si="85"/>
        <v>2024</v>
      </c>
    </row>
    <row r="2739" spans="1:7" x14ac:dyDescent="0.25">
      <c r="A2739" t="s">
        <v>834</v>
      </c>
      <c r="B2739" s="1">
        <v>45292</v>
      </c>
      <c r="C2739" t="s">
        <v>350</v>
      </c>
      <c r="D2739">
        <v>3666.95</v>
      </c>
      <c r="E2739" s="6">
        <v>11338.42</v>
      </c>
      <c r="F2739" t="str">
        <f t="shared" si="84"/>
        <v>janeiro</v>
      </c>
      <c r="G2739">
        <f t="shared" si="85"/>
        <v>2024</v>
      </c>
    </row>
    <row r="2740" spans="1:7" x14ac:dyDescent="0.25">
      <c r="A2740" t="s">
        <v>835</v>
      </c>
      <c r="B2740" s="1">
        <v>45292</v>
      </c>
      <c r="C2740" t="s">
        <v>836</v>
      </c>
      <c r="D2740">
        <v>323.47000000000003</v>
      </c>
      <c r="E2740" s="6">
        <v>1035.0999999999999</v>
      </c>
      <c r="F2740" t="str">
        <f t="shared" si="84"/>
        <v>janeiro</v>
      </c>
      <c r="G2740">
        <f t="shared" si="85"/>
        <v>2024</v>
      </c>
    </row>
    <row r="2741" spans="1:7" x14ac:dyDescent="0.25">
      <c r="A2741" t="s">
        <v>837</v>
      </c>
      <c r="B2741" s="1">
        <v>45292</v>
      </c>
      <c r="C2741" t="s">
        <v>743</v>
      </c>
      <c r="D2741">
        <v>56.84</v>
      </c>
      <c r="E2741" s="6">
        <v>246.26</v>
      </c>
      <c r="F2741" t="str">
        <f t="shared" si="84"/>
        <v>janeiro</v>
      </c>
      <c r="G2741">
        <f t="shared" si="85"/>
        <v>2024</v>
      </c>
    </row>
    <row r="2742" spans="1:7" x14ac:dyDescent="0.25">
      <c r="A2742" t="s">
        <v>101</v>
      </c>
      <c r="B2742" s="1">
        <v>45292</v>
      </c>
      <c r="C2742" t="s">
        <v>102</v>
      </c>
      <c r="D2742">
        <v>555.70000000000005</v>
      </c>
      <c r="E2742" s="6">
        <v>1784.7</v>
      </c>
      <c r="F2742" t="str">
        <f t="shared" si="84"/>
        <v>janeiro</v>
      </c>
      <c r="G2742">
        <f t="shared" si="85"/>
        <v>2024</v>
      </c>
    </row>
    <row r="2743" spans="1:7" x14ac:dyDescent="0.25">
      <c r="A2743" t="s">
        <v>103</v>
      </c>
      <c r="B2743" s="1">
        <v>45292</v>
      </c>
      <c r="C2743" t="s">
        <v>104</v>
      </c>
      <c r="D2743">
        <v>26807.21</v>
      </c>
      <c r="E2743" s="6">
        <v>67325.429999999993</v>
      </c>
      <c r="F2743" t="str">
        <f t="shared" si="84"/>
        <v>janeiro</v>
      </c>
      <c r="G2743">
        <f t="shared" si="85"/>
        <v>2024</v>
      </c>
    </row>
    <row r="2744" spans="1:7" x14ac:dyDescent="0.25">
      <c r="A2744" t="s">
        <v>105</v>
      </c>
      <c r="B2744" s="1">
        <v>45292</v>
      </c>
      <c r="C2744" t="s">
        <v>106</v>
      </c>
      <c r="D2744">
        <v>720.3</v>
      </c>
      <c r="E2744" s="6">
        <v>1897.88</v>
      </c>
      <c r="F2744" t="str">
        <f t="shared" si="84"/>
        <v>janeiro</v>
      </c>
      <c r="G2744">
        <f t="shared" si="85"/>
        <v>2024</v>
      </c>
    </row>
    <row r="2745" spans="1:7" x14ac:dyDescent="0.25">
      <c r="A2745" t="s">
        <v>107</v>
      </c>
      <c r="B2745" s="1">
        <v>45292</v>
      </c>
      <c r="C2745" t="s">
        <v>108</v>
      </c>
      <c r="D2745">
        <v>182.4</v>
      </c>
      <c r="E2745" s="6">
        <v>471.38</v>
      </c>
      <c r="F2745" t="str">
        <f t="shared" si="84"/>
        <v>janeiro</v>
      </c>
      <c r="G2745">
        <f t="shared" si="85"/>
        <v>2024</v>
      </c>
    </row>
    <row r="2746" spans="1:7" x14ac:dyDescent="0.25">
      <c r="A2746" t="s">
        <v>109</v>
      </c>
      <c r="B2746" s="1">
        <v>45292</v>
      </c>
      <c r="C2746" t="s">
        <v>838</v>
      </c>
      <c r="D2746">
        <v>2057.1999999999998</v>
      </c>
      <c r="E2746" s="6">
        <v>5060.3999999999996</v>
      </c>
      <c r="F2746" t="str">
        <f t="shared" si="84"/>
        <v>janeiro</v>
      </c>
      <c r="G2746">
        <f t="shared" si="85"/>
        <v>2024</v>
      </c>
    </row>
    <row r="2747" spans="1:7" x14ac:dyDescent="0.25">
      <c r="A2747" t="s">
        <v>111</v>
      </c>
      <c r="B2747" s="1">
        <v>45292</v>
      </c>
      <c r="C2747" t="s">
        <v>112</v>
      </c>
      <c r="D2747">
        <v>467.3</v>
      </c>
      <c r="E2747" s="6">
        <v>1197.47</v>
      </c>
      <c r="F2747" t="str">
        <f t="shared" si="84"/>
        <v>janeiro</v>
      </c>
      <c r="G2747">
        <f t="shared" si="85"/>
        <v>2024</v>
      </c>
    </row>
    <row r="2748" spans="1:7" x14ac:dyDescent="0.25">
      <c r="A2748" t="s">
        <v>113</v>
      </c>
      <c r="B2748" s="1">
        <v>45292</v>
      </c>
      <c r="C2748" t="s">
        <v>114</v>
      </c>
      <c r="D2748">
        <v>2450.1999999999998</v>
      </c>
      <c r="E2748" s="6">
        <v>8174.58</v>
      </c>
      <c r="F2748" t="str">
        <f t="shared" si="84"/>
        <v>janeiro</v>
      </c>
      <c r="G2748">
        <f t="shared" si="85"/>
        <v>2024</v>
      </c>
    </row>
    <row r="2749" spans="1:7" x14ac:dyDescent="0.25">
      <c r="A2749" t="s">
        <v>447</v>
      </c>
      <c r="B2749" s="1">
        <v>45292</v>
      </c>
      <c r="C2749" t="s">
        <v>448</v>
      </c>
      <c r="D2749">
        <v>842.57</v>
      </c>
      <c r="E2749" s="6">
        <v>2822.61</v>
      </c>
      <c r="F2749" t="str">
        <f t="shared" si="84"/>
        <v>janeiro</v>
      </c>
      <c r="G2749">
        <f t="shared" si="85"/>
        <v>2024</v>
      </c>
    </row>
    <row r="2750" spans="1:7" x14ac:dyDescent="0.25">
      <c r="A2750" t="s">
        <v>449</v>
      </c>
      <c r="B2750" s="1">
        <v>45292</v>
      </c>
      <c r="C2750" t="s">
        <v>351</v>
      </c>
      <c r="D2750">
        <v>307.22000000000003</v>
      </c>
      <c r="E2750" s="6">
        <v>1288.77</v>
      </c>
      <c r="F2750" t="str">
        <f t="shared" si="84"/>
        <v>janeiro</v>
      </c>
      <c r="G2750">
        <f t="shared" si="85"/>
        <v>2024</v>
      </c>
    </row>
    <row r="2751" spans="1:7" x14ac:dyDescent="0.25">
      <c r="A2751" t="s">
        <v>839</v>
      </c>
      <c r="B2751" s="1">
        <v>45292</v>
      </c>
      <c r="C2751" t="s">
        <v>840</v>
      </c>
      <c r="D2751">
        <v>726.63</v>
      </c>
      <c r="E2751" s="6">
        <v>3051.87</v>
      </c>
      <c r="F2751" t="str">
        <f t="shared" si="84"/>
        <v>janeiro</v>
      </c>
      <c r="G2751">
        <f t="shared" si="85"/>
        <v>2024</v>
      </c>
    </row>
    <row r="2752" spans="1:7" x14ac:dyDescent="0.25">
      <c r="A2752" t="s">
        <v>841</v>
      </c>
      <c r="B2752" s="1">
        <v>45292</v>
      </c>
      <c r="C2752" t="s">
        <v>781</v>
      </c>
      <c r="D2752">
        <v>872.14</v>
      </c>
      <c r="E2752" s="6">
        <v>2965.28</v>
      </c>
      <c r="F2752" t="str">
        <f t="shared" si="84"/>
        <v>janeiro</v>
      </c>
      <c r="G2752">
        <f t="shared" si="85"/>
        <v>2024</v>
      </c>
    </row>
    <row r="2753" spans="1:7" x14ac:dyDescent="0.25">
      <c r="A2753" t="s">
        <v>842</v>
      </c>
      <c r="B2753" s="1">
        <v>45292</v>
      </c>
      <c r="C2753" t="s">
        <v>115</v>
      </c>
      <c r="D2753">
        <v>217.8</v>
      </c>
      <c r="E2753" s="6">
        <v>915.57</v>
      </c>
      <c r="F2753" t="str">
        <f t="shared" si="84"/>
        <v>janeiro</v>
      </c>
      <c r="G2753">
        <f t="shared" si="85"/>
        <v>2024</v>
      </c>
    </row>
    <row r="2754" spans="1:7" x14ac:dyDescent="0.25">
      <c r="A2754" t="s">
        <v>118</v>
      </c>
      <c r="B2754" s="1">
        <v>45292</v>
      </c>
      <c r="C2754" t="s">
        <v>119</v>
      </c>
      <c r="D2754">
        <v>4376.3</v>
      </c>
      <c r="E2754" s="6">
        <v>12025.38</v>
      </c>
      <c r="F2754" t="str">
        <f t="shared" si="84"/>
        <v>janeiro</v>
      </c>
      <c r="G2754">
        <f t="shared" si="85"/>
        <v>2024</v>
      </c>
    </row>
    <row r="2755" spans="1:7" x14ac:dyDescent="0.25">
      <c r="A2755" t="s">
        <v>120</v>
      </c>
      <c r="B2755" s="1">
        <v>45292</v>
      </c>
      <c r="C2755" t="s">
        <v>121</v>
      </c>
      <c r="D2755">
        <v>1154.67</v>
      </c>
      <c r="E2755" s="6">
        <v>2336.34</v>
      </c>
      <c r="F2755" t="str">
        <f t="shared" ref="F2755:F2818" si="86">TEXT(B2755,"mmmm")</f>
        <v>janeiro</v>
      </c>
      <c r="G2755">
        <f t="shared" ref="G2755:G2818" si="87">YEAR(B2755)</f>
        <v>2024</v>
      </c>
    </row>
    <row r="2756" spans="1:7" x14ac:dyDescent="0.25">
      <c r="A2756" t="s">
        <v>122</v>
      </c>
      <c r="B2756" s="1">
        <v>45292</v>
      </c>
      <c r="C2756" t="s">
        <v>123</v>
      </c>
      <c r="D2756">
        <v>181.76</v>
      </c>
      <c r="E2756" s="6">
        <v>367.14</v>
      </c>
      <c r="F2756" t="str">
        <f t="shared" si="86"/>
        <v>janeiro</v>
      </c>
      <c r="G2756">
        <f t="shared" si="87"/>
        <v>2024</v>
      </c>
    </row>
    <row r="2757" spans="1:7" x14ac:dyDescent="0.25">
      <c r="A2757" t="s">
        <v>126</v>
      </c>
      <c r="B2757" s="1">
        <v>45292</v>
      </c>
      <c r="C2757" t="s">
        <v>127</v>
      </c>
      <c r="D2757">
        <v>10</v>
      </c>
      <c r="E2757" s="6">
        <v>9</v>
      </c>
      <c r="F2757" t="str">
        <f t="shared" si="86"/>
        <v>janeiro</v>
      </c>
      <c r="G2757">
        <f t="shared" si="87"/>
        <v>2024</v>
      </c>
    </row>
    <row r="2758" spans="1:7" x14ac:dyDescent="0.25">
      <c r="A2758" t="s">
        <v>843</v>
      </c>
      <c r="B2758" s="1">
        <v>45292</v>
      </c>
      <c r="C2758" t="s">
        <v>633</v>
      </c>
      <c r="D2758">
        <v>1600.5</v>
      </c>
      <c r="E2758" s="6">
        <v>1552.75</v>
      </c>
      <c r="F2758" t="str">
        <f t="shared" si="86"/>
        <v>janeiro</v>
      </c>
      <c r="G2758">
        <f t="shared" si="87"/>
        <v>2024</v>
      </c>
    </row>
    <row r="2759" spans="1:7" x14ac:dyDescent="0.25">
      <c r="A2759" t="s">
        <v>543</v>
      </c>
      <c r="B2759" s="1">
        <v>45292</v>
      </c>
      <c r="C2759" t="s">
        <v>544</v>
      </c>
      <c r="D2759">
        <v>2030</v>
      </c>
      <c r="E2759" s="6">
        <v>1339</v>
      </c>
      <c r="F2759" t="str">
        <f t="shared" si="86"/>
        <v>janeiro</v>
      </c>
      <c r="G2759">
        <f t="shared" si="87"/>
        <v>2024</v>
      </c>
    </row>
    <row r="2760" spans="1:7" x14ac:dyDescent="0.25">
      <c r="A2760" t="s">
        <v>128</v>
      </c>
      <c r="B2760" s="1">
        <v>45292</v>
      </c>
      <c r="C2760" t="s">
        <v>129</v>
      </c>
      <c r="D2760">
        <v>610</v>
      </c>
      <c r="E2760" s="6">
        <v>1433.25</v>
      </c>
      <c r="F2760" t="str">
        <f t="shared" si="86"/>
        <v>janeiro</v>
      </c>
      <c r="G2760">
        <f t="shared" si="87"/>
        <v>2024</v>
      </c>
    </row>
    <row r="2761" spans="1:7" x14ac:dyDescent="0.25">
      <c r="A2761" t="s">
        <v>450</v>
      </c>
      <c r="B2761" s="1">
        <v>45292</v>
      </c>
      <c r="C2761" t="s">
        <v>451</v>
      </c>
      <c r="D2761">
        <v>18.13</v>
      </c>
      <c r="E2761" s="6">
        <v>96.09</v>
      </c>
      <c r="F2761" t="str">
        <f t="shared" si="86"/>
        <v>janeiro</v>
      </c>
      <c r="G2761">
        <f t="shared" si="87"/>
        <v>2024</v>
      </c>
    </row>
    <row r="2762" spans="1:7" x14ac:dyDescent="0.25">
      <c r="A2762" t="s">
        <v>130</v>
      </c>
      <c r="B2762" s="1">
        <v>45292</v>
      </c>
      <c r="C2762" t="s">
        <v>131</v>
      </c>
      <c r="D2762">
        <v>6373.58</v>
      </c>
      <c r="E2762" s="6">
        <v>20058.740000000002</v>
      </c>
      <c r="F2762" t="str">
        <f t="shared" si="86"/>
        <v>janeiro</v>
      </c>
      <c r="G2762">
        <f t="shared" si="87"/>
        <v>2024</v>
      </c>
    </row>
    <row r="2763" spans="1:7" x14ac:dyDescent="0.25">
      <c r="A2763" t="s">
        <v>132</v>
      </c>
      <c r="B2763" s="1">
        <v>45292</v>
      </c>
      <c r="C2763" t="s">
        <v>133</v>
      </c>
      <c r="D2763">
        <v>1623.9</v>
      </c>
      <c r="E2763" s="6">
        <v>6002.62</v>
      </c>
      <c r="F2763" t="str">
        <f t="shared" si="86"/>
        <v>janeiro</v>
      </c>
      <c r="G2763">
        <f t="shared" si="87"/>
        <v>2024</v>
      </c>
    </row>
    <row r="2764" spans="1:7" x14ac:dyDescent="0.25">
      <c r="A2764" t="s">
        <v>134</v>
      </c>
      <c r="B2764" s="1">
        <v>45292</v>
      </c>
      <c r="C2764" t="s">
        <v>135</v>
      </c>
      <c r="D2764">
        <v>569.35</v>
      </c>
      <c r="E2764" s="6">
        <v>2037.2</v>
      </c>
      <c r="F2764" t="str">
        <f t="shared" si="86"/>
        <v>janeiro</v>
      </c>
      <c r="G2764">
        <f t="shared" si="87"/>
        <v>2024</v>
      </c>
    </row>
    <row r="2765" spans="1:7" x14ac:dyDescent="0.25">
      <c r="A2765" t="s">
        <v>136</v>
      </c>
      <c r="B2765" s="1">
        <v>45292</v>
      </c>
      <c r="C2765" t="s">
        <v>137</v>
      </c>
      <c r="D2765">
        <v>2286.79</v>
      </c>
      <c r="E2765" s="6">
        <v>8170.78</v>
      </c>
      <c r="F2765" t="str">
        <f t="shared" si="86"/>
        <v>janeiro</v>
      </c>
      <c r="G2765">
        <f t="shared" si="87"/>
        <v>2024</v>
      </c>
    </row>
    <row r="2766" spans="1:7" x14ac:dyDescent="0.25">
      <c r="A2766" t="s">
        <v>138</v>
      </c>
      <c r="B2766" s="1">
        <v>45292</v>
      </c>
      <c r="C2766" t="s">
        <v>139</v>
      </c>
      <c r="D2766">
        <v>241.96</v>
      </c>
      <c r="E2766" s="6">
        <v>769.43</v>
      </c>
      <c r="F2766" t="str">
        <f t="shared" si="86"/>
        <v>janeiro</v>
      </c>
      <c r="G2766">
        <f t="shared" si="87"/>
        <v>2024</v>
      </c>
    </row>
    <row r="2767" spans="1:7" x14ac:dyDescent="0.25">
      <c r="A2767" t="s">
        <v>844</v>
      </c>
      <c r="B2767" s="1">
        <v>45292</v>
      </c>
      <c r="C2767" t="s">
        <v>845</v>
      </c>
      <c r="D2767">
        <v>34.5</v>
      </c>
      <c r="E2767" s="6">
        <v>120.75</v>
      </c>
      <c r="F2767" t="str">
        <f t="shared" si="86"/>
        <v>janeiro</v>
      </c>
      <c r="G2767">
        <f t="shared" si="87"/>
        <v>2024</v>
      </c>
    </row>
    <row r="2768" spans="1:7" x14ac:dyDescent="0.25">
      <c r="A2768" t="s">
        <v>846</v>
      </c>
      <c r="B2768" s="1">
        <v>45292</v>
      </c>
      <c r="C2768" t="s">
        <v>847</v>
      </c>
      <c r="D2768">
        <v>34.5</v>
      </c>
      <c r="E2768" s="6">
        <v>120.75</v>
      </c>
      <c r="F2768" t="str">
        <f t="shared" si="86"/>
        <v>janeiro</v>
      </c>
      <c r="G2768">
        <f t="shared" si="87"/>
        <v>2024</v>
      </c>
    </row>
    <row r="2769" spans="1:7" x14ac:dyDescent="0.25">
      <c r="A2769" t="s">
        <v>140</v>
      </c>
      <c r="B2769" s="1">
        <v>45292</v>
      </c>
      <c r="C2769" t="s">
        <v>141</v>
      </c>
      <c r="D2769">
        <v>3414.57</v>
      </c>
      <c r="E2769" s="6">
        <v>11971.14</v>
      </c>
      <c r="F2769" t="str">
        <f t="shared" si="86"/>
        <v>janeiro</v>
      </c>
      <c r="G2769">
        <f t="shared" si="87"/>
        <v>2024</v>
      </c>
    </row>
    <row r="2770" spans="1:7" x14ac:dyDescent="0.25">
      <c r="A2770" t="s">
        <v>142</v>
      </c>
      <c r="B2770" s="1">
        <v>45292</v>
      </c>
      <c r="C2770" t="s">
        <v>143</v>
      </c>
      <c r="D2770">
        <v>411.42</v>
      </c>
      <c r="E2770" s="6">
        <v>1549.94</v>
      </c>
      <c r="F2770" t="str">
        <f t="shared" si="86"/>
        <v>janeiro</v>
      </c>
      <c r="G2770">
        <f t="shared" si="87"/>
        <v>2024</v>
      </c>
    </row>
    <row r="2771" spans="1:7" x14ac:dyDescent="0.25">
      <c r="A2771" t="s">
        <v>144</v>
      </c>
      <c r="B2771" s="1">
        <v>45292</v>
      </c>
      <c r="C2771" t="s">
        <v>145</v>
      </c>
      <c r="D2771">
        <v>7312.62</v>
      </c>
      <c r="E2771" s="6">
        <v>26283.19</v>
      </c>
      <c r="F2771" t="str">
        <f t="shared" si="86"/>
        <v>janeiro</v>
      </c>
      <c r="G2771">
        <f t="shared" si="87"/>
        <v>2024</v>
      </c>
    </row>
    <row r="2772" spans="1:7" x14ac:dyDescent="0.25">
      <c r="A2772" t="s">
        <v>146</v>
      </c>
      <c r="B2772" s="1">
        <v>45292</v>
      </c>
      <c r="C2772" t="s">
        <v>147</v>
      </c>
      <c r="D2772">
        <v>859.57</v>
      </c>
      <c r="E2772" s="6">
        <v>3317.9</v>
      </c>
      <c r="F2772" t="str">
        <f t="shared" si="86"/>
        <v>janeiro</v>
      </c>
      <c r="G2772">
        <f t="shared" si="87"/>
        <v>2024</v>
      </c>
    </row>
    <row r="2773" spans="1:7" x14ac:dyDescent="0.25">
      <c r="A2773" t="s">
        <v>148</v>
      </c>
      <c r="B2773" s="1">
        <v>45292</v>
      </c>
      <c r="C2773" t="s">
        <v>149</v>
      </c>
      <c r="D2773">
        <v>479.91</v>
      </c>
      <c r="E2773" s="6">
        <v>1804.64</v>
      </c>
      <c r="F2773" t="str">
        <f t="shared" si="86"/>
        <v>janeiro</v>
      </c>
      <c r="G2773">
        <f t="shared" si="87"/>
        <v>2024</v>
      </c>
    </row>
    <row r="2774" spans="1:7" x14ac:dyDescent="0.25">
      <c r="A2774" t="s">
        <v>150</v>
      </c>
      <c r="B2774" s="1">
        <v>45292</v>
      </c>
      <c r="C2774" t="s">
        <v>151</v>
      </c>
      <c r="D2774">
        <v>1721.57</v>
      </c>
      <c r="E2774" s="6">
        <v>6420.74</v>
      </c>
      <c r="F2774" t="str">
        <f t="shared" si="86"/>
        <v>janeiro</v>
      </c>
      <c r="G2774">
        <f t="shared" si="87"/>
        <v>2024</v>
      </c>
    </row>
    <row r="2775" spans="1:7" x14ac:dyDescent="0.25">
      <c r="A2775" t="s">
        <v>152</v>
      </c>
      <c r="B2775" s="1">
        <v>45292</v>
      </c>
      <c r="C2775" t="s">
        <v>153</v>
      </c>
      <c r="D2775">
        <v>2082.46</v>
      </c>
      <c r="E2775" s="6">
        <v>7823.6</v>
      </c>
      <c r="F2775" t="str">
        <f t="shared" si="86"/>
        <v>janeiro</v>
      </c>
      <c r="G2775">
        <f t="shared" si="87"/>
        <v>2024</v>
      </c>
    </row>
    <row r="2776" spans="1:7" x14ac:dyDescent="0.25">
      <c r="A2776" t="s">
        <v>454</v>
      </c>
      <c r="B2776" s="1">
        <v>45292</v>
      </c>
      <c r="C2776" t="s">
        <v>848</v>
      </c>
      <c r="D2776">
        <v>240.58</v>
      </c>
      <c r="E2776" s="6">
        <v>986.38</v>
      </c>
      <c r="F2776" t="str">
        <f t="shared" si="86"/>
        <v>janeiro</v>
      </c>
      <c r="G2776">
        <f t="shared" si="87"/>
        <v>2024</v>
      </c>
    </row>
    <row r="2777" spans="1:7" x14ac:dyDescent="0.25">
      <c r="A2777" t="s">
        <v>154</v>
      </c>
      <c r="B2777" s="1">
        <v>45292</v>
      </c>
      <c r="C2777" t="s">
        <v>155</v>
      </c>
      <c r="D2777">
        <v>1278.25</v>
      </c>
      <c r="E2777" s="6">
        <v>4815.49</v>
      </c>
      <c r="F2777" t="str">
        <f t="shared" si="86"/>
        <v>janeiro</v>
      </c>
      <c r="G2777">
        <f t="shared" si="87"/>
        <v>2024</v>
      </c>
    </row>
    <row r="2778" spans="1:7" x14ac:dyDescent="0.25">
      <c r="A2778" t="s">
        <v>156</v>
      </c>
      <c r="B2778" s="1">
        <v>45292</v>
      </c>
      <c r="C2778" t="s">
        <v>157</v>
      </c>
      <c r="D2778">
        <v>1974.07</v>
      </c>
      <c r="E2778" s="6">
        <v>7514.86</v>
      </c>
      <c r="F2778" t="str">
        <f t="shared" si="86"/>
        <v>janeiro</v>
      </c>
      <c r="G2778">
        <f t="shared" si="87"/>
        <v>2024</v>
      </c>
    </row>
    <row r="2779" spans="1:7" x14ac:dyDescent="0.25">
      <c r="A2779" t="s">
        <v>545</v>
      </c>
      <c r="B2779" s="1">
        <v>45292</v>
      </c>
      <c r="C2779" t="s">
        <v>546</v>
      </c>
      <c r="D2779">
        <v>292.42</v>
      </c>
      <c r="E2779" s="6">
        <v>950.93</v>
      </c>
      <c r="F2779" t="str">
        <f t="shared" si="86"/>
        <v>janeiro</v>
      </c>
      <c r="G2779">
        <f t="shared" si="87"/>
        <v>2024</v>
      </c>
    </row>
    <row r="2780" spans="1:7" x14ac:dyDescent="0.25">
      <c r="A2780" t="s">
        <v>547</v>
      </c>
      <c r="B2780" s="1">
        <v>45292</v>
      </c>
      <c r="C2780" t="s">
        <v>548</v>
      </c>
      <c r="D2780">
        <v>549.42999999999995</v>
      </c>
      <c r="E2780" s="6">
        <v>1610.37</v>
      </c>
      <c r="F2780" t="str">
        <f t="shared" si="86"/>
        <v>janeiro</v>
      </c>
      <c r="G2780">
        <f t="shared" si="87"/>
        <v>2024</v>
      </c>
    </row>
    <row r="2781" spans="1:7" x14ac:dyDescent="0.25">
      <c r="A2781" t="s">
        <v>456</v>
      </c>
      <c r="B2781" s="1">
        <v>45292</v>
      </c>
      <c r="C2781" t="s">
        <v>457</v>
      </c>
      <c r="D2781">
        <v>30.37</v>
      </c>
      <c r="E2781" s="6">
        <v>94.15</v>
      </c>
      <c r="F2781" t="str">
        <f t="shared" si="86"/>
        <v>janeiro</v>
      </c>
      <c r="G2781">
        <f t="shared" si="87"/>
        <v>2024</v>
      </c>
    </row>
    <row r="2782" spans="1:7" x14ac:dyDescent="0.25">
      <c r="A2782" t="s">
        <v>164</v>
      </c>
      <c r="B2782" s="1">
        <v>45292</v>
      </c>
      <c r="C2782" t="s">
        <v>165</v>
      </c>
      <c r="D2782">
        <v>-2.99</v>
      </c>
      <c r="E2782" s="6">
        <v>-8.3699999999999992</v>
      </c>
      <c r="F2782" t="str">
        <f t="shared" si="86"/>
        <v>janeiro</v>
      </c>
      <c r="G2782">
        <f t="shared" si="87"/>
        <v>2024</v>
      </c>
    </row>
    <row r="2783" spans="1:7" x14ac:dyDescent="0.25">
      <c r="A2783" t="s">
        <v>458</v>
      </c>
      <c r="B2783" s="1">
        <v>45292</v>
      </c>
      <c r="C2783" t="s">
        <v>459</v>
      </c>
      <c r="D2783">
        <v>379.27</v>
      </c>
      <c r="E2783" s="6">
        <v>1076.94</v>
      </c>
      <c r="F2783" t="str">
        <f t="shared" si="86"/>
        <v>janeiro</v>
      </c>
      <c r="G2783">
        <f t="shared" si="87"/>
        <v>2024</v>
      </c>
    </row>
    <row r="2784" spans="1:7" x14ac:dyDescent="0.25">
      <c r="A2784" t="s">
        <v>166</v>
      </c>
      <c r="B2784" s="1">
        <v>45292</v>
      </c>
      <c r="C2784" t="s">
        <v>167</v>
      </c>
      <c r="D2784">
        <v>5460.53</v>
      </c>
      <c r="E2784" s="6">
        <v>10425.870000000001</v>
      </c>
      <c r="F2784" t="str">
        <f t="shared" si="86"/>
        <v>janeiro</v>
      </c>
      <c r="G2784">
        <f t="shared" si="87"/>
        <v>2024</v>
      </c>
    </row>
    <row r="2785" spans="1:7" x14ac:dyDescent="0.25">
      <c r="A2785" t="s">
        <v>168</v>
      </c>
      <c r="B2785" s="1">
        <v>45292</v>
      </c>
      <c r="C2785" t="s">
        <v>169</v>
      </c>
      <c r="D2785">
        <v>881.72</v>
      </c>
      <c r="E2785" s="6">
        <v>1923.25</v>
      </c>
      <c r="F2785" t="str">
        <f t="shared" si="86"/>
        <v>janeiro</v>
      </c>
      <c r="G2785">
        <f t="shared" si="87"/>
        <v>2024</v>
      </c>
    </row>
    <row r="2786" spans="1:7" x14ac:dyDescent="0.25">
      <c r="A2786" t="s">
        <v>170</v>
      </c>
      <c r="B2786" s="1">
        <v>45292</v>
      </c>
      <c r="C2786" t="s">
        <v>171</v>
      </c>
      <c r="D2786">
        <v>2953.29</v>
      </c>
      <c r="E2786" s="6">
        <v>5623.7</v>
      </c>
      <c r="F2786" t="str">
        <f t="shared" si="86"/>
        <v>janeiro</v>
      </c>
      <c r="G2786">
        <f t="shared" si="87"/>
        <v>2024</v>
      </c>
    </row>
    <row r="2787" spans="1:7" x14ac:dyDescent="0.25">
      <c r="A2787" t="s">
        <v>172</v>
      </c>
      <c r="B2787" s="1">
        <v>45292</v>
      </c>
      <c r="C2787" t="s">
        <v>173</v>
      </c>
      <c r="D2787">
        <v>60.93</v>
      </c>
      <c r="E2787" s="6">
        <v>240.65</v>
      </c>
      <c r="F2787" t="str">
        <f t="shared" si="86"/>
        <v>janeiro</v>
      </c>
      <c r="G2787">
        <f t="shared" si="87"/>
        <v>2024</v>
      </c>
    </row>
    <row r="2788" spans="1:7" x14ac:dyDescent="0.25">
      <c r="A2788" t="s">
        <v>174</v>
      </c>
      <c r="B2788" s="1">
        <v>45292</v>
      </c>
      <c r="C2788" t="s">
        <v>849</v>
      </c>
      <c r="D2788">
        <v>92.04</v>
      </c>
      <c r="E2788" s="6">
        <v>356.04</v>
      </c>
      <c r="F2788" t="str">
        <f t="shared" si="86"/>
        <v>janeiro</v>
      </c>
      <c r="G2788">
        <f t="shared" si="87"/>
        <v>2024</v>
      </c>
    </row>
    <row r="2789" spans="1:7" x14ac:dyDescent="0.25">
      <c r="A2789" t="s">
        <v>175</v>
      </c>
      <c r="B2789" s="1">
        <v>45292</v>
      </c>
      <c r="C2789" t="s">
        <v>176</v>
      </c>
      <c r="D2789">
        <v>2499.87</v>
      </c>
      <c r="E2789" s="6">
        <v>5977.75</v>
      </c>
      <c r="F2789" t="str">
        <f t="shared" si="86"/>
        <v>janeiro</v>
      </c>
      <c r="G2789">
        <f t="shared" si="87"/>
        <v>2024</v>
      </c>
    </row>
    <row r="2790" spans="1:7" x14ac:dyDescent="0.25">
      <c r="A2790" t="s">
        <v>177</v>
      </c>
      <c r="B2790" s="1">
        <v>45292</v>
      </c>
      <c r="C2790" t="s">
        <v>178</v>
      </c>
      <c r="D2790">
        <v>57.85</v>
      </c>
      <c r="E2790" s="6">
        <v>158.36000000000001</v>
      </c>
      <c r="F2790" t="str">
        <f t="shared" si="86"/>
        <v>janeiro</v>
      </c>
      <c r="G2790">
        <f t="shared" si="87"/>
        <v>2024</v>
      </c>
    </row>
    <row r="2791" spans="1:7" x14ac:dyDescent="0.25">
      <c r="A2791" t="s">
        <v>179</v>
      </c>
      <c r="B2791" s="1">
        <v>45292</v>
      </c>
      <c r="C2791" t="s">
        <v>180</v>
      </c>
      <c r="D2791">
        <v>3.8</v>
      </c>
      <c r="E2791" s="6">
        <v>9.32</v>
      </c>
      <c r="F2791" t="str">
        <f t="shared" si="86"/>
        <v>janeiro</v>
      </c>
      <c r="G2791">
        <f t="shared" si="87"/>
        <v>2024</v>
      </c>
    </row>
    <row r="2792" spans="1:7" x14ac:dyDescent="0.25">
      <c r="A2792" t="s">
        <v>181</v>
      </c>
      <c r="B2792" s="1">
        <v>45292</v>
      </c>
      <c r="C2792" t="s">
        <v>182</v>
      </c>
      <c r="D2792">
        <v>340.25</v>
      </c>
      <c r="E2792" s="6">
        <v>1331.69</v>
      </c>
      <c r="F2792" t="str">
        <f t="shared" si="86"/>
        <v>janeiro</v>
      </c>
      <c r="G2792">
        <f t="shared" si="87"/>
        <v>2024</v>
      </c>
    </row>
    <row r="2793" spans="1:7" x14ac:dyDescent="0.25">
      <c r="A2793" t="s">
        <v>183</v>
      </c>
      <c r="B2793" s="1">
        <v>45292</v>
      </c>
      <c r="C2793" t="s">
        <v>309</v>
      </c>
      <c r="D2793">
        <v>1131</v>
      </c>
      <c r="E2793" s="6">
        <v>3104.2</v>
      </c>
      <c r="F2793" t="str">
        <f t="shared" si="86"/>
        <v>janeiro</v>
      </c>
      <c r="G2793">
        <f t="shared" si="87"/>
        <v>2024</v>
      </c>
    </row>
    <row r="2794" spans="1:7" x14ac:dyDescent="0.25">
      <c r="A2794" t="s">
        <v>185</v>
      </c>
      <c r="B2794" s="1">
        <v>45292</v>
      </c>
      <c r="C2794" t="s">
        <v>186</v>
      </c>
      <c r="D2794">
        <v>1855</v>
      </c>
      <c r="E2794" s="6">
        <v>3899.35</v>
      </c>
      <c r="F2794" t="str">
        <f t="shared" si="86"/>
        <v>janeiro</v>
      </c>
      <c r="G2794">
        <f t="shared" si="87"/>
        <v>2024</v>
      </c>
    </row>
    <row r="2795" spans="1:7" x14ac:dyDescent="0.25">
      <c r="A2795" t="s">
        <v>187</v>
      </c>
      <c r="B2795" s="1">
        <v>45292</v>
      </c>
      <c r="C2795" t="s">
        <v>188</v>
      </c>
      <c r="D2795">
        <v>3420</v>
      </c>
      <c r="E2795" s="6">
        <v>7003.67</v>
      </c>
      <c r="F2795" t="str">
        <f t="shared" si="86"/>
        <v>janeiro</v>
      </c>
      <c r="G2795">
        <f t="shared" si="87"/>
        <v>2024</v>
      </c>
    </row>
    <row r="2796" spans="1:7" x14ac:dyDescent="0.25">
      <c r="A2796" t="s">
        <v>189</v>
      </c>
      <c r="B2796" s="1">
        <v>45292</v>
      </c>
      <c r="C2796" t="s">
        <v>190</v>
      </c>
      <c r="D2796">
        <v>840</v>
      </c>
      <c r="E2796" s="6">
        <v>1708.8</v>
      </c>
      <c r="F2796" t="str">
        <f t="shared" si="86"/>
        <v>janeiro</v>
      </c>
      <c r="G2796">
        <f t="shared" si="87"/>
        <v>2024</v>
      </c>
    </row>
    <row r="2797" spans="1:7" x14ac:dyDescent="0.25">
      <c r="A2797" t="s">
        <v>191</v>
      </c>
      <c r="B2797" s="1">
        <v>45292</v>
      </c>
      <c r="C2797" t="s">
        <v>192</v>
      </c>
      <c r="D2797">
        <v>1789.2</v>
      </c>
      <c r="E2797" s="6">
        <v>6800.54</v>
      </c>
      <c r="F2797" t="str">
        <f t="shared" si="86"/>
        <v>janeiro</v>
      </c>
      <c r="G2797">
        <f t="shared" si="87"/>
        <v>2024</v>
      </c>
    </row>
    <row r="2798" spans="1:7" x14ac:dyDescent="0.25">
      <c r="A2798" t="s">
        <v>195</v>
      </c>
      <c r="B2798" s="1">
        <v>45292</v>
      </c>
      <c r="C2798" t="s">
        <v>196</v>
      </c>
      <c r="D2798">
        <v>383.68</v>
      </c>
      <c r="E2798" s="6">
        <v>1084.8499999999999</v>
      </c>
      <c r="F2798" t="str">
        <f t="shared" si="86"/>
        <v>janeiro</v>
      </c>
      <c r="G2798">
        <f t="shared" si="87"/>
        <v>2024</v>
      </c>
    </row>
    <row r="2799" spans="1:7" x14ac:dyDescent="0.25">
      <c r="A2799" t="s">
        <v>197</v>
      </c>
      <c r="B2799" s="1">
        <v>45292</v>
      </c>
      <c r="C2799" t="s">
        <v>198</v>
      </c>
      <c r="D2799">
        <v>1743.84</v>
      </c>
      <c r="E2799" s="6">
        <v>1736.69</v>
      </c>
      <c r="F2799" t="str">
        <f t="shared" si="86"/>
        <v>janeiro</v>
      </c>
      <c r="G2799">
        <f t="shared" si="87"/>
        <v>2024</v>
      </c>
    </row>
    <row r="2800" spans="1:7" x14ac:dyDescent="0.25">
      <c r="A2800" t="s">
        <v>199</v>
      </c>
      <c r="B2800" s="1">
        <v>45292</v>
      </c>
      <c r="C2800" t="s">
        <v>850</v>
      </c>
      <c r="D2800">
        <v>393.24</v>
      </c>
      <c r="E2800" s="6">
        <v>2461.14</v>
      </c>
      <c r="F2800" t="str">
        <f t="shared" si="86"/>
        <v>janeiro</v>
      </c>
      <c r="G2800">
        <f t="shared" si="87"/>
        <v>2024</v>
      </c>
    </row>
    <row r="2801" spans="1:7" x14ac:dyDescent="0.25">
      <c r="A2801" t="s">
        <v>201</v>
      </c>
      <c r="B2801" s="1">
        <v>45292</v>
      </c>
      <c r="C2801" t="s">
        <v>851</v>
      </c>
      <c r="D2801">
        <v>694.28</v>
      </c>
      <c r="E2801" s="6">
        <v>4193.74</v>
      </c>
      <c r="F2801" t="str">
        <f t="shared" si="86"/>
        <v>janeiro</v>
      </c>
      <c r="G2801">
        <f t="shared" si="87"/>
        <v>2024</v>
      </c>
    </row>
    <row r="2802" spans="1:7" x14ac:dyDescent="0.25">
      <c r="A2802" t="s">
        <v>203</v>
      </c>
      <c r="B2802" s="1">
        <v>45292</v>
      </c>
      <c r="C2802" t="s">
        <v>311</v>
      </c>
      <c r="D2802">
        <v>587.95000000000005</v>
      </c>
      <c r="E2802" s="6">
        <v>3822.99</v>
      </c>
      <c r="F2802" t="str">
        <f t="shared" si="86"/>
        <v>janeiro</v>
      </c>
      <c r="G2802">
        <f t="shared" si="87"/>
        <v>2024</v>
      </c>
    </row>
    <row r="2803" spans="1:7" x14ac:dyDescent="0.25">
      <c r="A2803" t="s">
        <v>205</v>
      </c>
      <c r="B2803" s="1">
        <v>45292</v>
      </c>
      <c r="C2803" t="s">
        <v>206</v>
      </c>
      <c r="D2803">
        <v>170.5</v>
      </c>
      <c r="E2803" s="6">
        <v>841.4</v>
      </c>
      <c r="F2803" t="str">
        <f t="shared" si="86"/>
        <v>janeiro</v>
      </c>
      <c r="G2803">
        <f t="shared" si="87"/>
        <v>2024</v>
      </c>
    </row>
    <row r="2804" spans="1:7" x14ac:dyDescent="0.25">
      <c r="A2804" t="s">
        <v>209</v>
      </c>
      <c r="B2804" s="1">
        <v>45292</v>
      </c>
      <c r="C2804" t="s">
        <v>852</v>
      </c>
      <c r="D2804">
        <v>379.43</v>
      </c>
      <c r="E2804" s="6">
        <v>1870.42</v>
      </c>
      <c r="F2804" t="str">
        <f t="shared" si="86"/>
        <v>janeiro</v>
      </c>
      <c r="G2804">
        <f t="shared" si="87"/>
        <v>2024</v>
      </c>
    </row>
    <row r="2805" spans="1:7" x14ac:dyDescent="0.25">
      <c r="A2805" t="s">
        <v>211</v>
      </c>
      <c r="B2805" s="1">
        <v>45292</v>
      </c>
      <c r="C2805" t="s">
        <v>212</v>
      </c>
      <c r="D2805">
        <v>1669.1</v>
      </c>
      <c r="E2805" s="6">
        <v>4969.7299999999996</v>
      </c>
      <c r="F2805" t="str">
        <f t="shared" si="86"/>
        <v>janeiro</v>
      </c>
      <c r="G2805">
        <f t="shared" si="87"/>
        <v>2024</v>
      </c>
    </row>
    <row r="2806" spans="1:7" x14ac:dyDescent="0.25">
      <c r="A2806" t="s">
        <v>213</v>
      </c>
      <c r="B2806" s="1">
        <v>45292</v>
      </c>
      <c r="C2806" t="s">
        <v>214</v>
      </c>
      <c r="D2806">
        <v>3324.46</v>
      </c>
      <c r="E2806" s="6">
        <v>10772.22</v>
      </c>
      <c r="F2806" t="str">
        <f t="shared" si="86"/>
        <v>janeiro</v>
      </c>
      <c r="G2806">
        <f t="shared" si="87"/>
        <v>2024</v>
      </c>
    </row>
    <row r="2807" spans="1:7" x14ac:dyDescent="0.25">
      <c r="A2807" t="s">
        <v>215</v>
      </c>
      <c r="B2807" s="1">
        <v>45292</v>
      </c>
      <c r="C2807" t="s">
        <v>216</v>
      </c>
      <c r="D2807">
        <v>1934.24</v>
      </c>
      <c r="E2807" s="6">
        <v>6082.86</v>
      </c>
      <c r="F2807" t="str">
        <f t="shared" si="86"/>
        <v>janeiro</v>
      </c>
      <c r="G2807">
        <f t="shared" si="87"/>
        <v>2024</v>
      </c>
    </row>
    <row r="2808" spans="1:7" x14ac:dyDescent="0.25">
      <c r="A2808" t="s">
        <v>217</v>
      </c>
      <c r="B2808" s="1">
        <v>45292</v>
      </c>
      <c r="C2808" t="s">
        <v>218</v>
      </c>
      <c r="D2808">
        <v>846.47</v>
      </c>
      <c r="E2808" s="6">
        <v>2353.19</v>
      </c>
      <c r="F2808" t="str">
        <f t="shared" si="86"/>
        <v>janeiro</v>
      </c>
      <c r="G2808">
        <f t="shared" si="87"/>
        <v>2024</v>
      </c>
    </row>
    <row r="2809" spans="1:7" x14ac:dyDescent="0.25">
      <c r="A2809" t="s">
        <v>219</v>
      </c>
      <c r="B2809" s="1">
        <v>45292</v>
      </c>
      <c r="C2809" t="s">
        <v>220</v>
      </c>
      <c r="D2809">
        <v>6883.99</v>
      </c>
      <c r="E2809" s="6">
        <v>20472.62</v>
      </c>
      <c r="F2809" t="str">
        <f t="shared" si="86"/>
        <v>janeiro</v>
      </c>
      <c r="G2809">
        <f t="shared" si="87"/>
        <v>2024</v>
      </c>
    </row>
    <row r="2810" spans="1:7" x14ac:dyDescent="0.25">
      <c r="A2810" t="s">
        <v>221</v>
      </c>
      <c r="B2810" s="1">
        <v>45292</v>
      </c>
      <c r="C2810" t="s">
        <v>222</v>
      </c>
      <c r="D2810">
        <v>113.89</v>
      </c>
      <c r="E2810" s="6">
        <v>361.44</v>
      </c>
      <c r="F2810" t="str">
        <f t="shared" si="86"/>
        <v>janeiro</v>
      </c>
      <c r="G2810">
        <f t="shared" si="87"/>
        <v>2024</v>
      </c>
    </row>
    <row r="2811" spans="1:7" x14ac:dyDescent="0.25">
      <c r="A2811" t="s">
        <v>223</v>
      </c>
      <c r="B2811" s="1">
        <v>45292</v>
      </c>
      <c r="C2811" t="s">
        <v>224</v>
      </c>
      <c r="D2811">
        <v>1106.76</v>
      </c>
      <c r="E2811" s="6">
        <v>3402.98</v>
      </c>
      <c r="F2811" t="str">
        <f t="shared" si="86"/>
        <v>janeiro</v>
      </c>
      <c r="G2811">
        <f t="shared" si="87"/>
        <v>2024</v>
      </c>
    </row>
    <row r="2812" spans="1:7" x14ac:dyDescent="0.25">
      <c r="A2812" t="s">
        <v>225</v>
      </c>
      <c r="B2812" s="1">
        <v>45292</v>
      </c>
      <c r="C2812" t="s">
        <v>226</v>
      </c>
      <c r="D2812">
        <v>280</v>
      </c>
      <c r="E2812" s="6">
        <v>193.2</v>
      </c>
      <c r="F2812" t="str">
        <f t="shared" si="86"/>
        <v>janeiro</v>
      </c>
      <c r="G2812">
        <f t="shared" si="87"/>
        <v>2024</v>
      </c>
    </row>
    <row r="2813" spans="1:7" x14ac:dyDescent="0.25">
      <c r="A2813" t="s">
        <v>853</v>
      </c>
      <c r="B2813" s="1">
        <v>45292</v>
      </c>
      <c r="C2813" t="s">
        <v>226</v>
      </c>
      <c r="D2813">
        <v>1435</v>
      </c>
      <c r="E2813" s="6">
        <v>918.4</v>
      </c>
      <c r="F2813" t="str">
        <f t="shared" si="86"/>
        <v>janeiro</v>
      </c>
      <c r="G2813">
        <f t="shared" si="87"/>
        <v>2024</v>
      </c>
    </row>
    <row r="2814" spans="1:7" x14ac:dyDescent="0.25">
      <c r="A2814" t="s">
        <v>227</v>
      </c>
      <c r="B2814" s="1">
        <v>45292</v>
      </c>
      <c r="C2814" t="s">
        <v>228</v>
      </c>
      <c r="D2814">
        <v>12008.9</v>
      </c>
      <c r="E2814" s="6">
        <v>34945.78</v>
      </c>
      <c r="F2814" t="str">
        <f t="shared" si="86"/>
        <v>janeiro</v>
      </c>
      <c r="G2814">
        <f t="shared" si="87"/>
        <v>2024</v>
      </c>
    </row>
    <row r="2815" spans="1:7" x14ac:dyDescent="0.25">
      <c r="A2815" t="s">
        <v>854</v>
      </c>
      <c r="B2815" s="1">
        <v>45292</v>
      </c>
      <c r="C2815" t="s">
        <v>855</v>
      </c>
      <c r="D2815">
        <v>372.35</v>
      </c>
      <c r="E2815" s="6">
        <v>1149.81</v>
      </c>
      <c r="F2815" t="str">
        <f t="shared" si="86"/>
        <v>janeiro</v>
      </c>
      <c r="G2815">
        <f t="shared" si="87"/>
        <v>2024</v>
      </c>
    </row>
    <row r="2816" spans="1:7" x14ac:dyDescent="0.25">
      <c r="A2816" t="s">
        <v>229</v>
      </c>
      <c r="B2816" s="1">
        <v>45292</v>
      </c>
      <c r="C2816" t="s">
        <v>230</v>
      </c>
      <c r="D2816">
        <v>1200.3</v>
      </c>
      <c r="E2816" s="6">
        <v>3584.66</v>
      </c>
      <c r="F2816" t="str">
        <f t="shared" si="86"/>
        <v>janeiro</v>
      </c>
      <c r="G2816">
        <f t="shared" si="87"/>
        <v>2024</v>
      </c>
    </row>
    <row r="2817" spans="1:7" x14ac:dyDescent="0.25">
      <c r="A2817" t="s">
        <v>231</v>
      </c>
      <c r="B2817" s="1">
        <v>45292</v>
      </c>
      <c r="C2817" t="s">
        <v>232</v>
      </c>
      <c r="D2817">
        <v>1653.89</v>
      </c>
      <c r="E2817" s="6">
        <v>4744.82</v>
      </c>
      <c r="F2817" t="str">
        <f t="shared" si="86"/>
        <v>janeiro</v>
      </c>
      <c r="G2817">
        <f t="shared" si="87"/>
        <v>2024</v>
      </c>
    </row>
    <row r="2818" spans="1:7" x14ac:dyDescent="0.25">
      <c r="A2818" t="s">
        <v>233</v>
      </c>
      <c r="B2818" s="1">
        <v>45292</v>
      </c>
      <c r="C2818" t="s">
        <v>234</v>
      </c>
      <c r="D2818">
        <v>66.86</v>
      </c>
      <c r="E2818" s="6">
        <v>208.52</v>
      </c>
      <c r="F2818" t="str">
        <f t="shared" si="86"/>
        <v>janeiro</v>
      </c>
      <c r="G2818">
        <f t="shared" si="87"/>
        <v>2024</v>
      </c>
    </row>
    <row r="2819" spans="1:7" x14ac:dyDescent="0.25">
      <c r="A2819" t="s">
        <v>235</v>
      </c>
      <c r="B2819" s="1">
        <v>45292</v>
      </c>
      <c r="C2819" t="s">
        <v>236</v>
      </c>
      <c r="D2819">
        <v>7023.51</v>
      </c>
      <c r="E2819" s="6">
        <v>19604.25</v>
      </c>
      <c r="F2819" t="str">
        <f t="shared" ref="F2819:F2882" si="88">TEXT(B2819,"mmmm")</f>
        <v>janeiro</v>
      </c>
      <c r="G2819">
        <f t="shared" ref="G2819:G2882" si="89">YEAR(B2819)</f>
        <v>2024</v>
      </c>
    </row>
    <row r="2820" spans="1:7" x14ac:dyDescent="0.25">
      <c r="A2820" t="s">
        <v>237</v>
      </c>
      <c r="B2820" s="1">
        <v>45292</v>
      </c>
      <c r="C2820" t="s">
        <v>238</v>
      </c>
      <c r="D2820">
        <v>7495.15</v>
      </c>
      <c r="E2820" s="6">
        <v>20339.439999999999</v>
      </c>
      <c r="F2820" t="str">
        <f t="shared" si="88"/>
        <v>janeiro</v>
      </c>
      <c r="G2820">
        <f t="shared" si="89"/>
        <v>2024</v>
      </c>
    </row>
    <row r="2821" spans="1:7" x14ac:dyDescent="0.25">
      <c r="A2821" t="s">
        <v>239</v>
      </c>
      <c r="B2821" s="1">
        <v>45292</v>
      </c>
      <c r="C2821" t="s">
        <v>240</v>
      </c>
      <c r="D2821">
        <v>17.22</v>
      </c>
      <c r="E2821" s="6">
        <v>56.14</v>
      </c>
      <c r="F2821" t="str">
        <f t="shared" si="88"/>
        <v>janeiro</v>
      </c>
      <c r="G2821">
        <f t="shared" si="89"/>
        <v>2024</v>
      </c>
    </row>
    <row r="2822" spans="1:7" x14ac:dyDescent="0.25">
      <c r="A2822" t="s">
        <v>241</v>
      </c>
      <c r="B2822" s="1">
        <v>45292</v>
      </c>
      <c r="C2822" t="s">
        <v>242</v>
      </c>
      <c r="D2822">
        <v>953.5</v>
      </c>
      <c r="E2822" s="6">
        <v>2749.38</v>
      </c>
      <c r="F2822" t="str">
        <f t="shared" si="88"/>
        <v>janeiro</v>
      </c>
      <c r="G2822">
        <f t="shared" si="89"/>
        <v>2024</v>
      </c>
    </row>
    <row r="2823" spans="1:7" x14ac:dyDescent="0.25">
      <c r="A2823" t="s">
        <v>243</v>
      </c>
      <c r="B2823" s="1">
        <v>45292</v>
      </c>
      <c r="C2823" t="s">
        <v>244</v>
      </c>
      <c r="D2823">
        <v>430.75</v>
      </c>
      <c r="E2823" s="6">
        <v>1295.49</v>
      </c>
      <c r="F2823" t="str">
        <f t="shared" si="88"/>
        <v>janeiro</v>
      </c>
      <c r="G2823">
        <f t="shared" si="89"/>
        <v>2024</v>
      </c>
    </row>
    <row r="2824" spans="1:7" x14ac:dyDescent="0.25">
      <c r="A2824" t="s">
        <v>463</v>
      </c>
      <c r="B2824" s="1">
        <v>45292</v>
      </c>
      <c r="C2824" t="s">
        <v>856</v>
      </c>
      <c r="D2824">
        <v>455</v>
      </c>
      <c r="E2824" s="6">
        <v>300.64999999999998</v>
      </c>
      <c r="F2824" t="str">
        <f t="shared" si="88"/>
        <v>janeiro</v>
      </c>
      <c r="G2824">
        <f t="shared" si="89"/>
        <v>2024</v>
      </c>
    </row>
    <row r="2825" spans="1:7" x14ac:dyDescent="0.25">
      <c r="A2825" t="s">
        <v>245</v>
      </c>
      <c r="B2825" s="1">
        <v>45292</v>
      </c>
      <c r="C2825" t="s">
        <v>246</v>
      </c>
      <c r="D2825">
        <v>1148.75</v>
      </c>
      <c r="E2825" s="6">
        <v>3379.39</v>
      </c>
      <c r="F2825" t="str">
        <f t="shared" si="88"/>
        <v>janeiro</v>
      </c>
      <c r="G2825">
        <f t="shared" si="89"/>
        <v>2024</v>
      </c>
    </row>
    <row r="2826" spans="1:7" x14ac:dyDescent="0.25">
      <c r="A2826" t="s">
        <v>857</v>
      </c>
      <c r="B2826" s="1">
        <v>45292</v>
      </c>
      <c r="C2826" t="s">
        <v>793</v>
      </c>
      <c r="D2826">
        <v>-2.1</v>
      </c>
      <c r="E2826" s="6">
        <v>-12.6</v>
      </c>
      <c r="F2826" t="str">
        <f t="shared" si="88"/>
        <v>janeiro</v>
      </c>
      <c r="G2826">
        <f t="shared" si="89"/>
        <v>2024</v>
      </c>
    </row>
    <row r="2827" spans="1:7" x14ac:dyDescent="0.25">
      <c r="A2827" t="s">
        <v>552</v>
      </c>
      <c r="B2827" s="1">
        <v>45292</v>
      </c>
      <c r="C2827" t="s">
        <v>553</v>
      </c>
      <c r="D2827">
        <v>121.74</v>
      </c>
      <c r="E2827" s="6">
        <v>638.83000000000004</v>
      </c>
      <c r="F2827" t="str">
        <f t="shared" si="88"/>
        <v>janeiro</v>
      </c>
      <c r="G2827">
        <f t="shared" si="89"/>
        <v>2024</v>
      </c>
    </row>
    <row r="2828" spans="1:7" x14ac:dyDescent="0.25">
      <c r="A2828" t="s">
        <v>554</v>
      </c>
      <c r="B2828" s="1">
        <v>45292</v>
      </c>
      <c r="C2828" t="s">
        <v>555</v>
      </c>
      <c r="D2828">
        <v>27.46</v>
      </c>
      <c r="E2828" s="6">
        <v>148.47</v>
      </c>
      <c r="F2828" t="str">
        <f t="shared" si="88"/>
        <v>janeiro</v>
      </c>
      <c r="G2828">
        <f t="shared" si="89"/>
        <v>2024</v>
      </c>
    </row>
    <row r="2829" spans="1:7" x14ac:dyDescent="0.25">
      <c r="A2829" t="s">
        <v>251</v>
      </c>
      <c r="B2829" s="1">
        <v>45292</v>
      </c>
      <c r="C2829" t="s">
        <v>252</v>
      </c>
      <c r="D2829">
        <v>473.03</v>
      </c>
      <c r="E2829" s="6">
        <v>2013.31</v>
      </c>
      <c r="F2829" t="str">
        <f t="shared" si="88"/>
        <v>janeiro</v>
      </c>
      <c r="G2829">
        <f t="shared" si="89"/>
        <v>2024</v>
      </c>
    </row>
    <row r="2830" spans="1:7" x14ac:dyDescent="0.25">
      <c r="A2830" t="s">
        <v>253</v>
      </c>
      <c r="B2830" s="1">
        <v>45292</v>
      </c>
      <c r="C2830" t="s">
        <v>254</v>
      </c>
      <c r="D2830">
        <v>132.72</v>
      </c>
      <c r="E2830" s="6">
        <v>569.91999999999996</v>
      </c>
      <c r="F2830" t="str">
        <f t="shared" si="88"/>
        <v>janeiro</v>
      </c>
      <c r="G2830">
        <f t="shared" si="89"/>
        <v>2024</v>
      </c>
    </row>
    <row r="2831" spans="1:7" x14ac:dyDescent="0.25">
      <c r="A2831" t="s">
        <v>255</v>
      </c>
      <c r="B2831" s="1">
        <v>45292</v>
      </c>
      <c r="C2831" t="s">
        <v>256</v>
      </c>
      <c r="D2831">
        <v>374.92</v>
      </c>
      <c r="E2831" s="6">
        <v>1018.56</v>
      </c>
      <c r="F2831" t="str">
        <f t="shared" si="88"/>
        <v>janeiro</v>
      </c>
      <c r="G2831">
        <f t="shared" si="89"/>
        <v>2024</v>
      </c>
    </row>
    <row r="2832" spans="1:7" x14ac:dyDescent="0.25">
      <c r="A2832" t="s">
        <v>257</v>
      </c>
      <c r="B2832" s="1">
        <v>45292</v>
      </c>
      <c r="C2832" t="s">
        <v>258</v>
      </c>
      <c r="D2832">
        <v>68.2</v>
      </c>
      <c r="E2832" s="6">
        <v>211.87</v>
      </c>
      <c r="F2832" t="str">
        <f t="shared" si="88"/>
        <v>janeiro</v>
      </c>
      <c r="G2832">
        <f t="shared" si="89"/>
        <v>2024</v>
      </c>
    </row>
    <row r="2833" spans="1:7" x14ac:dyDescent="0.25">
      <c r="A2833" t="s">
        <v>858</v>
      </c>
      <c r="B2833" s="1">
        <v>45292</v>
      </c>
      <c r="C2833" t="s">
        <v>859</v>
      </c>
      <c r="D2833">
        <v>102</v>
      </c>
      <c r="E2833" s="6">
        <v>55.08</v>
      </c>
      <c r="F2833" t="str">
        <f t="shared" si="88"/>
        <v>janeiro</v>
      </c>
      <c r="G2833">
        <f t="shared" si="89"/>
        <v>2024</v>
      </c>
    </row>
    <row r="2834" spans="1:7" x14ac:dyDescent="0.25">
      <c r="A2834" t="s">
        <v>259</v>
      </c>
      <c r="B2834" s="1">
        <v>45292</v>
      </c>
      <c r="C2834" t="s">
        <v>860</v>
      </c>
      <c r="D2834">
        <v>360.69</v>
      </c>
      <c r="E2834" s="6">
        <v>1068.05</v>
      </c>
      <c r="F2834" t="str">
        <f t="shared" si="88"/>
        <v>janeiro</v>
      </c>
      <c r="G2834">
        <f t="shared" si="89"/>
        <v>2024</v>
      </c>
    </row>
    <row r="2835" spans="1:7" x14ac:dyDescent="0.25">
      <c r="A2835" t="s">
        <v>261</v>
      </c>
      <c r="B2835" s="1">
        <v>45292</v>
      </c>
      <c r="C2835" t="s">
        <v>262</v>
      </c>
      <c r="D2835">
        <v>331.85</v>
      </c>
      <c r="E2835" s="6">
        <v>1736.06</v>
      </c>
      <c r="F2835" t="str">
        <f t="shared" si="88"/>
        <v>janeiro</v>
      </c>
      <c r="G2835">
        <f t="shared" si="89"/>
        <v>2024</v>
      </c>
    </row>
    <row r="2836" spans="1:7" x14ac:dyDescent="0.25">
      <c r="A2836" t="s">
        <v>263</v>
      </c>
      <c r="B2836" s="1">
        <v>45292</v>
      </c>
      <c r="C2836" t="s">
        <v>264</v>
      </c>
      <c r="D2836">
        <v>899.5</v>
      </c>
      <c r="E2836" s="6">
        <v>4659.45</v>
      </c>
      <c r="F2836" t="str">
        <f t="shared" si="88"/>
        <v>janeiro</v>
      </c>
      <c r="G2836">
        <f t="shared" si="89"/>
        <v>2024</v>
      </c>
    </row>
    <row r="2837" spans="1:7" x14ac:dyDescent="0.25">
      <c r="A2837" t="s">
        <v>265</v>
      </c>
      <c r="B2837" s="1">
        <v>45292</v>
      </c>
      <c r="C2837" t="s">
        <v>266</v>
      </c>
      <c r="D2837">
        <v>148.58000000000001</v>
      </c>
      <c r="E2837" s="6">
        <v>729.62</v>
      </c>
      <c r="F2837" t="str">
        <f t="shared" si="88"/>
        <v>janeiro</v>
      </c>
      <c r="G2837">
        <f t="shared" si="89"/>
        <v>2024</v>
      </c>
    </row>
    <row r="2838" spans="1:7" x14ac:dyDescent="0.25">
      <c r="A2838" t="s">
        <v>267</v>
      </c>
      <c r="B2838" s="1">
        <v>45292</v>
      </c>
      <c r="C2838" t="s">
        <v>268</v>
      </c>
      <c r="D2838">
        <v>465.64</v>
      </c>
      <c r="E2838" s="6">
        <v>1995.36</v>
      </c>
      <c r="F2838" t="str">
        <f t="shared" si="88"/>
        <v>janeiro</v>
      </c>
      <c r="G2838">
        <f t="shared" si="89"/>
        <v>2024</v>
      </c>
    </row>
    <row r="2839" spans="1:7" x14ac:dyDescent="0.25">
      <c r="A2839" t="s">
        <v>269</v>
      </c>
      <c r="B2839" s="1">
        <v>45292</v>
      </c>
      <c r="C2839" t="s">
        <v>270</v>
      </c>
      <c r="D2839">
        <v>119.22</v>
      </c>
      <c r="E2839" s="6">
        <v>502.71</v>
      </c>
      <c r="F2839" t="str">
        <f t="shared" si="88"/>
        <v>janeiro</v>
      </c>
      <c r="G2839">
        <f t="shared" si="89"/>
        <v>2024</v>
      </c>
    </row>
    <row r="2840" spans="1:7" x14ac:dyDescent="0.25">
      <c r="A2840" t="s">
        <v>271</v>
      </c>
      <c r="B2840" s="1">
        <v>45292</v>
      </c>
      <c r="C2840" t="s">
        <v>272</v>
      </c>
      <c r="D2840">
        <v>9.17</v>
      </c>
      <c r="E2840" s="6">
        <v>56.8</v>
      </c>
      <c r="F2840" t="str">
        <f t="shared" si="88"/>
        <v>janeiro</v>
      </c>
      <c r="G2840">
        <f t="shared" si="89"/>
        <v>2024</v>
      </c>
    </row>
    <row r="2841" spans="1:7" x14ac:dyDescent="0.25">
      <c r="A2841" t="s">
        <v>273</v>
      </c>
      <c r="B2841" s="1">
        <v>45292</v>
      </c>
      <c r="C2841" t="s">
        <v>274</v>
      </c>
      <c r="D2841">
        <v>1824.71</v>
      </c>
      <c r="E2841" s="6">
        <v>5228.8</v>
      </c>
      <c r="F2841" t="str">
        <f t="shared" si="88"/>
        <v>janeiro</v>
      </c>
      <c r="G2841">
        <f t="shared" si="89"/>
        <v>2024</v>
      </c>
    </row>
    <row r="2842" spans="1:7" x14ac:dyDescent="0.25">
      <c r="A2842" t="s">
        <v>275</v>
      </c>
      <c r="B2842" s="1">
        <v>45292</v>
      </c>
      <c r="C2842" t="s">
        <v>861</v>
      </c>
      <c r="D2842">
        <v>4243.07</v>
      </c>
      <c r="E2842" s="6">
        <v>12969.2</v>
      </c>
      <c r="F2842" t="str">
        <f t="shared" si="88"/>
        <v>janeiro</v>
      </c>
      <c r="G2842">
        <f t="shared" si="89"/>
        <v>2024</v>
      </c>
    </row>
    <row r="2843" spans="1:7" x14ac:dyDescent="0.25">
      <c r="A2843" t="s">
        <v>277</v>
      </c>
      <c r="B2843" s="1">
        <v>45292</v>
      </c>
      <c r="C2843" t="s">
        <v>278</v>
      </c>
      <c r="D2843">
        <v>11.6</v>
      </c>
      <c r="E2843" s="6">
        <v>61.43</v>
      </c>
      <c r="F2843" t="str">
        <f t="shared" si="88"/>
        <v>janeiro</v>
      </c>
      <c r="G2843">
        <f t="shared" si="89"/>
        <v>2024</v>
      </c>
    </row>
    <row r="2844" spans="1:7" x14ac:dyDescent="0.25">
      <c r="A2844" t="s">
        <v>279</v>
      </c>
      <c r="B2844" s="1">
        <v>45292</v>
      </c>
      <c r="C2844" t="s">
        <v>280</v>
      </c>
      <c r="D2844">
        <v>676.64</v>
      </c>
      <c r="E2844" s="6">
        <v>3547.28</v>
      </c>
      <c r="F2844" t="str">
        <f t="shared" si="88"/>
        <v>janeiro</v>
      </c>
      <c r="G2844">
        <f t="shared" si="89"/>
        <v>2024</v>
      </c>
    </row>
    <row r="2845" spans="1:7" x14ac:dyDescent="0.25">
      <c r="A2845" t="s">
        <v>862</v>
      </c>
      <c r="B2845" s="1">
        <v>45292</v>
      </c>
      <c r="C2845" t="s">
        <v>863</v>
      </c>
      <c r="D2845">
        <v>2588.25</v>
      </c>
      <c r="E2845" s="6">
        <v>3249.63</v>
      </c>
      <c r="F2845" t="str">
        <f t="shared" si="88"/>
        <v>janeiro</v>
      </c>
      <c r="G2845">
        <f t="shared" si="89"/>
        <v>2024</v>
      </c>
    </row>
    <row r="2846" spans="1:7" x14ac:dyDescent="0.25">
      <c r="A2846" t="s">
        <v>281</v>
      </c>
      <c r="B2846" s="1">
        <v>45292</v>
      </c>
      <c r="C2846" t="s">
        <v>282</v>
      </c>
      <c r="D2846">
        <v>208.17</v>
      </c>
      <c r="E2846" s="6">
        <v>894.83</v>
      </c>
      <c r="F2846" t="str">
        <f t="shared" si="88"/>
        <v>janeiro</v>
      </c>
      <c r="G2846">
        <f t="shared" si="89"/>
        <v>2024</v>
      </c>
    </row>
    <row r="2847" spans="1:7" x14ac:dyDescent="0.25">
      <c r="A2847" t="s">
        <v>283</v>
      </c>
      <c r="B2847" s="1">
        <v>45292</v>
      </c>
      <c r="C2847" t="s">
        <v>284</v>
      </c>
      <c r="D2847">
        <v>257.64</v>
      </c>
      <c r="E2847" s="6">
        <v>676.54</v>
      </c>
      <c r="F2847" t="str">
        <f t="shared" si="88"/>
        <v>janeiro</v>
      </c>
      <c r="G2847">
        <f t="shared" si="89"/>
        <v>2024</v>
      </c>
    </row>
    <row r="2848" spans="1:7" x14ac:dyDescent="0.25">
      <c r="A2848" t="s">
        <v>285</v>
      </c>
      <c r="B2848" s="1">
        <v>45292</v>
      </c>
      <c r="C2848" t="s">
        <v>286</v>
      </c>
      <c r="D2848">
        <v>283.19</v>
      </c>
      <c r="E2848" s="6">
        <v>814.33</v>
      </c>
      <c r="F2848" t="str">
        <f t="shared" si="88"/>
        <v>janeiro</v>
      </c>
      <c r="G2848">
        <f t="shared" si="89"/>
        <v>2024</v>
      </c>
    </row>
    <row r="2849" spans="1:7" x14ac:dyDescent="0.25">
      <c r="A2849" t="s">
        <v>864</v>
      </c>
      <c r="B2849" s="1">
        <v>45292</v>
      </c>
      <c r="C2849" t="s">
        <v>697</v>
      </c>
      <c r="D2849">
        <v>1</v>
      </c>
      <c r="E2849" s="6">
        <v>10</v>
      </c>
      <c r="F2849" t="str">
        <f t="shared" si="88"/>
        <v>janeiro</v>
      </c>
      <c r="G2849">
        <f t="shared" si="89"/>
        <v>2024</v>
      </c>
    </row>
    <row r="2850" spans="1:7" x14ac:dyDescent="0.25">
      <c r="A2850" t="s">
        <v>556</v>
      </c>
      <c r="B2850" s="1">
        <v>45292</v>
      </c>
      <c r="C2850" t="s">
        <v>557</v>
      </c>
      <c r="D2850">
        <v>2</v>
      </c>
      <c r="E2850" s="6">
        <v>11</v>
      </c>
      <c r="F2850" t="str">
        <f t="shared" si="88"/>
        <v>janeiro</v>
      </c>
      <c r="G2850">
        <f t="shared" si="89"/>
        <v>2024</v>
      </c>
    </row>
    <row r="2851" spans="1:7" x14ac:dyDescent="0.25">
      <c r="A2851" t="s">
        <v>558</v>
      </c>
      <c r="B2851" s="1">
        <v>45292</v>
      </c>
      <c r="C2851" t="s">
        <v>318</v>
      </c>
      <c r="D2851">
        <v>0.73</v>
      </c>
      <c r="E2851" s="6">
        <v>13</v>
      </c>
      <c r="F2851" t="str">
        <f t="shared" si="88"/>
        <v>janeiro</v>
      </c>
      <c r="G2851">
        <f t="shared" si="89"/>
        <v>2024</v>
      </c>
    </row>
    <row r="2852" spans="1:7" x14ac:dyDescent="0.25">
      <c r="A2852">
        <v>8040011</v>
      </c>
      <c r="B2852" s="1">
        <v>45292</v>
      </c>
      <c r="C2852" t="s">
        <v>560</v>
      </c>
      <c r="D2852">
        <v>0</v>
      </c>
      <c r="E2852" s="6">
        <v>0</v>
      </c>
      <c r="F2852" t="str">
        <f t="shared" si="88"/>
        <v>janeiro</v>
      </c>
      <c r="G2852">
        <f t="shared" si="89"/>
        <v>2024</v>
      </c>
    </row>
    <row r="2853" spans="1:7" x14ac:dyDescent="0.25">
      <c r="A2853" t="s">
        <v>465</v>
      </c>
      <c r="B2853" s="1">
        <v>45292</v>
      </c>
      <c r="C2853" t="s">
        <v>561</v>
      </c>
      <c r="D2853">
        <v>80</v>
      </c>
      <c r="E2853" s="6">
        <v>191.2</v>
      </c>
      <c r="F2853" t="str">
        <f t="shared" si="88"/>
        <v>janeiro</v>
      </c>
      <c r="G2853">
        <f t="shared" si="89"/>
        <v>2024</v>
      </c>
    </row>
    <row r="2854" spans="1:7" x14ac:dyDescent="0.25">
      <c r="A2854">
        <v>8040037</v>
      </c>
      <c r="B2854" s="1">
        <v>45292</v>
      </c>
      <c r="C2854" t="s">
        <v>794</v>
      </c>
      <c r="D2854">
        <v>0</v>
      </c>
      <c r="E2854" s="6">
        <v>0</v>
      </c>
      <c r="F2854" t="str">
        <f t="shared" si="88"/>
        <v>janeiro</v>
      </c>
      <c r="G2854">
        <f t="shared" si="89"/>
        <v>2024</v>
      </c>
    </row>
    <row r="2855" spans="1:7" x14ac:dyDescent="0.25">
      <c r="A2855" t="s">
        <v>865</v>
      </c>
      <c r="B2855" s="1">
        <v>45292</v>
      </c>
      <c r="C2855" t="s">
        <v>699</v>
      </c>
      <c r="D2855">
        <v>761</v>
      </c>
      <c r="E2855" s="6">
        <v>1912.51</v>
      </c>
      <c r="F2855" t="str">
        <f t="shared" si="88"/>
        <v>janeiro</v>
      </c>
      <c r="G2855">
        <f t="shared" si="89"/>
        <v>2024</v>
      </c>
    </row>
    <row r="2856" spans="1:7" x14ac:dyDescent="0.25">
      <c r="A2856" t="s">
        <v>866</v>
      </c>
      <c r="B2856" s="1">
        <v>45292</v>
      </c>
      <c r="C2856" t="s">
        <v>746</v>
      </c>
      <c r="D2856">
        <v>518.4</v>
      </c>
      <c r="E2856" s="6">
        <v>6350.4</v>
      </c>
      <c r="F2856" t="str">
        <f t="shared" si="88"/>
        <v>janeiro</v>
      </c>
      <c r="G2856">
        <f t="shared" si="89"/>
        <v>2024</v>
      </c>
    </row>
    <row r="2857" spans="1:7" x14ac:dyDescent="0.25">
      <c r="A2857">
        <v>8040053</v>
      </c>
      <c r="B2857" s="1">
        <v>45292</v>
      </c>
      <c r="C2857" t="s">
        <v>747</v>
      </c>
      <c r="D2857">
        <v>0</v>
      </c>
      <c r="E2857" s="6">
        <v>0</v>
      </c>
      <c r="F2857" t="str">
        <f t="shared" si="88"/>
        <v>janeiro</v>
      </c>
      <c r="G2857">
        <f t="shared" si="89"/>
        <v>2024</v>
      </c>
    </row>
    <row r="2858" spans="1:7" x14ac:dyDescent="0.25">
      <c r="A2858" t="s">
        <v>867</v>
      </c>
      <c r="B2858" s="1">
        <v>45292</v>
      </c>
      <c r="C2858" t="s">
        <v>769</v>
      </c>
      <c r="D2858">
        <v>56</v>
      </c>
      <c r="E2858" s="6">
        <v>725.2</v>
      </c>
      <c r="F2858" t="str">
        <f t="shared" si="88"/>
        <v>janeiro</v>
      </c>
      <c r="G2858">
        <f t="shared" si="89"/>
        <v>2024</v>
      </c>
    </row>
    <row r="2859" spans="1:7" x14ac:dyDescent="0.25">
      <c r="A2859">
        <v>8070009</v>
      </c>
      <c r="B2859" s="1">
        <v>45292</v>
      </c>
      <c r="C2859" t="s">
        <v>581</v>
      </c>
      <c r="D2859">
        <v>0</v>
      </c>
      <c r="E2859" s="6">
        <v>0</v>
      </c>
      <c r="F2859" t="str">
        <f t="shared" si="88"/>
        <v>janeiro</v>
      </c>
      <c r="G2859">
        <f t="shared" si="89"/>
        <v>2024</v>
      </c>
    </row>
    <row r="2860" spans="1:7" x14ac:dyDescent="0.25">
      <c r="A2860" t="s">
        <v>868</v>
      </c>
      <c r="B2860" s="1">
        <v>45292</v>
      </c>
      <c r="C2860" t="s">
        <v>372</v>
      </c>
      <c r="D2860">
        <v>153.19999999999999</v>
      </c>
      <c r="E2860" s="6">
        <v>593.84</v>
      </c>
      <c r="F2860" t="str">
        <f t="shared" si="88"/>
        <v>janeiro</v>
      </c>
      <c r="G2860">
        <f t="shared" si="89"/>
        <v>2024</v>
      </c>
    </row>
    <row r="2861" spans="1:7" x14ac:dyDescent="0.25">
      <c r="A2861" t="s">
        <v>869</v>
      </c>
      <c r="B2861" s="1">
        <v>45292</v>
      </c>
      <c r="C2861" t="s">
        <v>373</v>
      </c>
      <c r="D2861">
        <v>1.94</v>
      </c>
      <c r="E2861" s="6">
        <v>3.86</v>
      </c>
      <c r="F2861" t="str">
        <f t="shared" si="88"/>
        <v>janeiro</v>
      </c>
      <c r="G2861">
        <f t="shared" si="89"/>
        <v>2024</v>
      </c>
    </row>
    <row r="2862" spans="1:7" x14ac:dyDescent="0.25">
      <c r="A2862" t="s">
        <v>870</v>
      </c>
      <c r="B2862" s="1">
        <v>45292</v>
      </c>
      <c r="C2862" t="s">
        <v>397</v>
      </c>
      <c r="D2862">
        <v>8.6999999999999993</v>
      </c>
      <c r="E2862" s="6">
        <v>28.95</v>
      </c>
      <c r="F2862" t="str">
        <f t="shared" si="88"/>
        <v>janeiro</v>
      </c>
      <c r="G2862">
        <f t="shared" si="89"/>
        <v>2024</v>
      </c>
    </row>
    <row r="2863" spans="1:7" x14ac:dyDescent="0.25">
      <c r="A2863">
        <v>8070026</v>
      </c>
      <c r="B2863" s="1">
        <v>45292</v>
      </c>
      <c r="C2863" t="s">
        <v>584</v>
      </c>
      <c r="D2863">
        <v>0</v>
      </c>
      <c r="E2863" s="6">
        <v>0</v>
      </c>
      <c r="F2863" t="str">
        <f t="shared" si="88"/>
        <v>janeiro</v>
      </c>
      <c r="G2863">
        <f t="shared" si="89"/>
        <v>2024</v>
      </c>
    </row>
    <row r="2864" spans="1:7" x14ac:dyDescent="0.25">
      <c r="A2864">
        <v>8070027</v>
      </c>
      <c r="B2864" s="1">
        <v>45292</v>
      </c>
      <c r="C2864" t="s">
        <v>772</v>
      </c>
      <c r="D2864">
        <v>0</v>
      </c>
      <c r="E2864" s="6">
        <v>0</v>
      </c>
      <c r="F2864" t="str">
        <f t="shared" si="88"/>
        <v>janeiro</v>
      </c>
      <c r="G2864">
        <f t="shared" si="89"/>
        <v>2024</v>
      </c>
    </row>
    <row r="2865" spans="1:7" x14ac:dyDescent="0.25">
      <c r="A2865">
        <v>8070028</v>
      </c>
      <c r="B2865" s="1">
        <v>45292</v>
      </c>
      <c r="C2865" t="s">
        <v>748</v>
      </c>
      <c r="D2865">
        <v>0</v>
      </c>
      <c r="E2865" s="6">
        <v>0</v>
      </c>
      <c r="F2865" t="str">
        <f t="shared" si="88"/>
        <v>janeiro</v>
      </c>
      <c r="G2865">
        <f t="shared" si="89"/>
        <v>2024</v>
      </c>
    </row>
    <row r="2866" spans="1:7" x14ac:dyDescent="0.25">
      <c r="A2866" t="s">
        <v>490</v>
      </c>
      <c r="B2866" s="1">
        <v>45292</v>
      </c>
      <c r="C2866" t="s">
        <v>491</v>
      </c>
      <c r="D2866">
        <v>2.4</v>
      </c>
      <c r="E2866" s="6">
        <v>9.2899999999999991</v>
      </c>
      <c r="F2866" t="str">
        <f t="shared" si="88"/>
        <v>janeiro</v>
      </c>
      <c r="G2866">
        <f t="shared" si="89"/>
        <v>2024</v>
      </c>
    </row>
    <row r="2867" spans="1:7" x14ac:dyDescent="0.25">
      <c r="A2867">
        <v>8070051</v>
      </c>
      <c r="B2867" s="1">
        <v>45292</v>
      </c>
      <c r="C2867" t="s">
        <v>750</v>
      </c>
      <c r="D2867">
        <v>0</v>
      </c>
      <c r="E2867" s="6">
        <v>0</v>
      </c>
      <c r="F2867" t="str">
        <f t="shared" si="88"/>
        <v>janeiro</v>
      </c>
      <c r="G2867">
        <f t="shared" si="89"/>
        <v>2024</v>
      </c>
    </row>
    <row r="2868" spans="1:7" x14ac:dyDescent="0.25">
      <c r="A2868" t="s">
        <v>871</v>
      </c>
      <c r="B2868" s="1">
        <v>45292</v>
      </c>
      <c r="C2868" t="s">
        <v>751</v>
      </c>
      <c r="D2868">
        <v>0</v>
      </c>
      <c r="E2868" s="6">
        <v>-108.8</v>
      </c>
      <c r="F2868" t="str">
        <f t="shared" si="88"/>
        <v>janeiro</v>
      </c>
      <c r="G2868">
        <f t="shared" si="89"/>
        <v>2024</v>
      </c>
    </row>
    <row r="2869" spans="1:7" x14ac:dyDescent="0.25">
      <c r="A2869" t="s">
        <v>872</v>
      </c>
      <c r="B2869" s="1">
        <v>45292</v>
      </c>
      <c r="C2869" t="s">
        <v>773</v>
      </c>
      <c r="D2869">
        <v>3.2</v>
      </c>
      <c r="E2869" s="6">
        <v>24.04</v>
      </c>
      <c r="F2869" t="str">
        <f t="shared" si="88"/>
        <v>janeiro</v>
      </c>
      <c r="G2869">
        <f t="shared" si="89"/>
        <v>2024</v>
      </c>
    </row>
    <row r="2870" spans="1:7" x14ac:dyDescent="0.25">
      <c r="A2870" t="s">
        <v>873</v>
      </c>
      <c r="B2870" s="1">
        <v>45292</v>
      </c>
      <c r="C2870" t="s">
        <v>874</v>
      </c>
      <c r="D2870">
        <v>1258</v>
      </c>
      <c r="E2870" s="6">
        <v>2790.04</v>
      </c>
      <c r="F2870" t="str">
        <f t="shared" si="88"/>
        <v>janeiro</v>
      </c>
      <c r="G2870">
        <f t="shared" si="89"/>
        <v>2024</v>
      </c>
    </row>
    <row r="2871" spans="1:7" x14ac:dyDescent="0.25">
      <c r="A2871" t="s">
        <v>875</v>
      </c>
      <c r="B2871" s="1">
        <v>45292</v>
      </c>
      <c r="C2871" t="s">
        <v>876</v>
      </c>
      <c r="D2871">
        <v>8</v>
      </c>
      <c r="E2871" s="6">
        <v>17.600000000000001</v>
      </c>
      <c r="F2871" t="str">
        <f t="shared" si="88"/>
        <v>janeiro</v>
      </c>
      <c r="G2871">
        <f t="shared" si="89"/>
        <v>2024</v>
      </c>
    </row>
    <row r="2872" spans="1:7" x14ac:dyDescent="0.25">
      <c r="A2872" t="s">
        <v>877</v>
      </c>
      <c r="B2872" s="1">
        <v>45292</v>
      </c>
      <c r="C2872" t="s">
        <v>774</v>
      </c>
      <c r="D2872">
        <v>1008</v>
      </c>
      <c r="E2872" s="6">
        <v>1209.5999999999999</v>
      </c>
      <c r="F2872" t="str">
        <f t="shared" si="88"/>
        <v>janeiro</v>
      </c>
      <c r="G2872">
        <f t="shared" si="89"/>
        <v>2024</v>
      </c>
    </row>
    <row r="2873" spans="1:7" x14ac:dyDescent="0.25">
      <c r="A2873" t="s">
        <v>591</v>
      </c>
      <c r="B2873" s="1">
        <v>45292</v>
      </c>
      <c r="C2873" t="s">
        <v>376</v>
      </c>
      <c r="D2873">
        <v>49</v>
      </c>
      <c r="E2873" s="6">
        <v>148.26</v>
      </c>
      <c r="F2873" t="str">
        <f t="shared" si="88"/>
        <v>janeiro</v>
      </c>
      <c r="G2873">
        <f t="shared" si="89"/>
        <v>2024</v>
      </c>
    </row>
    <row r="2874" spans="1:7" x14ac:dyDescent="0.25">
      <c r="A2874" t="s">
        <v>878</v>
      </c>
      <c r="B2874" s="1">
        <v>45292</v>
      </c>
      <c r="C2874" t="s">
        <v>879</v>
      </c>
      <c r="D2874">
        <v>1</v>
      </c>
      <c r="E2874" s="6">
        <v>6.13</v>
      </c>
      <c r="F2874" t="str">
        <f t="shared" si="88"/>
        <v>janeiro</v>
      </c>
      <c r="G2874">
        <f t="shared" si="89"/>
        <v>2024</v>
      </c>
    </row>
    <row r="2875" spans="1:7" x14ac:dyDescent="0.25">
      <c r="A2875" t="s">
        <v>503</v>
      </c>
      <c r="B2875" s="1">
        <v>45292</v>
      </c>
      <c r="C2875" t="s">
        <v>880</v>
      </c>
      <c r="D2875">
        <v>3.32</v>
      </c>
      <c r="E2875" s="6">
        <v>31.64</v>
      </c>
      <c r="F2875" t="str">
        <f t="shared" si="88"/>
        <v>janeiro</v>
      </c>
      <c r="G2875">
        <f t="shared" si="89"/>
        <v>2024</v>
      </c>
    </row>
    <row r="2876" spans="1:7" x14ac:dyDescent="0.25">
      <c r="A2876" t="s">
        <v>504</v>
      </c>
      <c r="B2876" s="1">
        <v>45292</v>
      </c>
      <c r="C2876" t="s">
        <v>409</v>
      </c>
      <c r="D2876">
        <v>10.39</v>
      </c>
      <c r="E2876" s="6">
        <v>117.91</v>
      </c>
      <c r="F2876" t="str">
        <f t="shared" si="88"/>
        <v>janeiro</v>
      </c>
      <c r="G2876">
        <f t="shared" si="89"/>
        <v>2024</v>
      </c>
    </row>
    <row r="2877" spans="1:7" x14ac:dyDescent="0.25">
      <c r="A2877" t="s">
        <v>881</v>
      </c>
      <c r="B2877" s="1">
        <v>45292</v>
      </c>
      <c r="C2877" t="s">
        <v>756</v>
      </c>
      <c r="D2877">
        <v>20</v>
      </c>
      <c r="E2877" s="6">
        <v>84</v>
      </c>
      <c r="F2877" t="str">
        <f t="shared" si="88"/>
        <v>janeiro</v>
      </c>
      <c r="G2877">
        <f t="shared" si="89"/>
        <v>2024</v>
      </c>
    </row>
    <row r="2878" spans="1:7" x14ac:dyDescent="0.25">
      <c r="A2878" t="s">
        <v>882</v>
      </c>
      <c r="B2878" s="1">
        <v>45292</v>
      </c>
      <c r="C2878" t="s">
        <v>783</v>
      </c>
      <c r="D2878">
        <v>48.2</v>
      </c>
      <c r="E2878" s="6">
        <v>166.06</v>
      </c>
      <c r="F2878" t="str">
        <f t="shared" si="88"/>
        <v>janeiro</v>
      </c>
      <c r="G2878">
        <f t="shared" si="89"/>
        <v>2024</v>
      </c>
    </row>
    <row r="2879" spans="1:7" x14ac:dyDescent="0.25">
      <c r="A2879">
        <v>8130001</v>
      </c>
      <c r="B2879" s="1">
        <v>45292</v>
      </c>
      <c r="C2879" t="s">
        <v>380</v>
      </c>
      <c r="D2879">
        <v>0</v>
      </c>
      <c r="E2879" s="6">
        <v>0</v>
      </c>
      <c r="F2879" t="str">
        <f t="shared" si="88"/>
        <v>janeiro</v>
      </c>
      <c r="G2879">
        <f t="shared" si="89"/>
        <v>2024</v>
      </c>
    </row>
    <row r="2880" spans="1:7" x14ac:dyDescent="0.25">
      <c r="A2880" t="s">
        <v>883</v>
      </c>
      <c r="B2880" s="1">
        <v>45292</v>
      </c>
      <c r="C2880" t="s">
        <v>737</v>
      </c>
      <c r="D2880">
        <v>496</v>
      </c>
      <c r="E2880" s="6">
        <v>788.16</v>
      </c>
      <c r="F2880" t="str">
        <f t="shared" si="88"/>
        <v>janeiro</v>
      </c>
      <c r="G2880">
        <f t="shared" si="89"/>
        <v>2024</v>
      </c>
    </row>
    <row r="2881" spans="1:7" x14ac:dyDescent="0.25">
      <c r="A2881">
        <v>8130009</v>
      </c>
      <c r="B2881" s="1">
        <v>45292</v>
      </c>
      <c r="C2881" t="s">
        <v>738</v>
      </c>
      <c r="D2881">
        <v>0</v>
      </c>
      <c r="E2881" s="6">
        <v>0</v>
      </c>
      <c r="F2881" t="str">
        <f t="shared" si="88"/>
        <v>janeiro</v>
      </c>
      <c r="G2881">
        <f t="shared" si="89"/>
        <v>2024</v>
      </c>
    </row>
    <row r="2882" spans="1:7" x14ac:dyDescent="0.25">
      <c r="A2882" t="s">
        <v>618</v>
      </c>
      <c r="B2882" s="1">
        <v>45292</v>
      </c>
      <c r="C2882" t="s">
        <v>619</v>
      </c>
      <c r="D2882">
        <v>30</v>
      </c>
      <c r="E2882" s="6">
        <v>44</v>
      </c>
      <c r="F2882" t="str">
        <f t="shared" si="88"/>
        <v>janeiro</v>
      </c>
      <c r="G2882">
        <f t="shared" si="89"/>
        <v>2024</v>
      </c>
    </row>
    <row r="2883" spans="1:7" x14ac:dyDescent="0.25">
      <c r="A2883">
        <v>8130013</v>
      </c>
      <c r="B2883" s="1">
        <v>45292</v>
      </c>
      <c r="C2883" t="s">
        <v>416</v>
      </c>
      <c r="D2883">
        <v>0</v>
      </c>
      <c r="E2883" s="6">
        <v>0</v>
      </c>
      <c r="F2883" t="str">
        <f t="shared" ref="F2883:F2946" si="90">TEXT(B2883,"mmmm")</f>
        <v>janeiro</v>
      </c>
      <c r="G2883">
        <f t="shared" ref="G2883:G2946" si="91">YEAR(B2883)</f>
        <v>2024</v>
      </c>
    </row>
    <row r="2884" spans="1:7" x14ac:dyDescent="0.25">
      <c r="A2884" t="s">
        <v>521</v>
      </c>
      <c r="B2884" s="1">
        <v>45292</v>
      </c>
      <c r="C2884" t="s">
        <v>884</v>
      </c>
      <c r="D2884">
        <v>80</v>
      </c>
      <c r="E2884" s="6">
        <v>304.8</v>
      </c>
      <c r="F2884" t="str">
        <f t="shared" si="90"/>
        <v>janeiro</v>
      </c>
      <c r="G2884">
        <f t="shared" si="91"/>
        <v>2024</v>
      </c>
    </row>
    <row r="2885" spans="1:7" x14ac:dyDescent="0.25">
      <c r="A2885" t="s">
        <v>621</v>
      </c>
      <c r="B2885" s="1">
        <v>45292</v>
      </c>
      <c r="C2885" t="s">
        <v>622</v>
      </c>
      <c r="D2885">
        <v>48.6</v>
      </c>
      <c r="E2885" s="6">
        <v>172.81</v>
      </c>
      <c r="F2885" t="str">
        <f t="shared" si="90"/>
        <v>janeiro</v>
      </c>
      <c r="G2885">
        <f t="shared" si="91"/>
        <v>2024</v>
      </c>
    </row>
    <row r="2886" spans="1:7" x14ac:dyDescent="0.25">
      <c r="A2886">
        <v>8130016</v>
      </c>
      <c r="B2886" s="1">
        <v>45292</v>
      </c>
      <c r="C2886" t="s">
        <v>776</v>
      </c>
      <c r="D2886">
        <v>0</v>
      </c>
      <c r="E2886" s="6">
        <v>0</v>
      </c>
      <c r="F2886" t="str">
        <f t="shared" si="90"/>
        <v>janeiro</v>
      </c>
      <c r="G2886">
        <f t="shared" si="91"/>
        <v>2024</v>
      </c>
    </row>
    <row r="2887" spans="1:7" x14ac:dyDescent="0.25">
      <c r="A2887">
        <v>8130017</v>
      </c>
      <c r="B2887" s="1">
        <v>45292</v>
      </c>
      <c r="C2887" t="s">
        <v>795</v>
      </c>
      <c r="D2887">
        <v>0</v>
      </c>
      <c r="E2887" s="6">
        <v>0</v>
      </c>
      <c r="F2887" t="str">
        <f t="shared" si="90"/>
        <v>janeiro</v>
      </c>
      <c r="G2887">
        <f t="shared" si="91"/>
        <v>2024</v>
      </c>
    </row>
    <row r="2888" spans="1:7" x14ac:dyDescent="0.25">
      <c r="A2888" t="s">
        <v>523</v>
      </c>
      <c r="B2888" s="1">
        <v>45292</v>
      </c>
      <c r="C2888" t="s">
        <v>885</v>
      </c>
      <c r="D2888">
        <v>7.14</v>
      </c>
      <c r="E2888" s="6">
        <v>16.559999999999999</v>
      </c>
      <c r="F2888" t="str">
        <f t="shared" si="90"/>
        <v>janeiro</v>
      </c>
      <c r="G2888">
        <f t="shared" si="91"/>
        <v>2024</v>
      </c>
    </row>
    <row r="2889" spans="1:7" x14ac:dyDescent="0.25">
      <c r="A2889" t="s">
        <v>886</v>
      </c>
      <c r="B2889" s="1">
        <v>45292</v>
      </c>
      <c r="C2889" t="s">
        <v>887</v>
      </c>
      <c r="D2889">
        <v>820</v>
      </c>
      <c r="E2889" s="6">
        <v>447.8</v>
      </c>
      <c r="F2889" t="str">
        <f t="shared" si="90"/>
        <v>janeiro</v>
      </c>
      <c r="G2889">
        <f t="shared" si="91"/>
        <v>2024</v>
      </c>
    </row>
    <row r="2890" spans="1:7" x14ac:dyDescent="0.25">
      <c r="A2890" t="s">
        <v>888</v>
      </c>
      <c r="B2890" s="1">
        <v>45292</v>
      </c>
      <c r="C2890" t="s">
        <v>889</v>
      </c>
      <c r="D2890">
        <v>120</v>
      </c>
      <c r="E2890" s="6">
        <v>120</v>
      </c>
      <c r="F2890" t="str">
        <f t="shared" si="90"/>
        <v>janeiro</v>
      </c>
      <c r="G2890">
        <f t="shared" si="91"/>
        <v>2024</v>
      </c>
    </row>
    <row r="2891" spans="1:7" x14ac:dyDescent="0.25">
      <c r="A2891">
        <v>8140015</v>
      </c>
      <c r="B2891" s="1">
        <v>45292</v>
      </c>
      <c r="C2891" t="s">
        <v>676</v>
      </c>
      <c r="D2891">
        <v>0</v>
      </c>
      <c r="E2891" s="6">
        <v>0</v>
      </c>
      <c r="F2891" t="str">
        <f t="shared" si="90"/>
        <v>janeiro</v>
      </c>
      <c r="G2891">
        <f t="shared" si="91"/>
        <v>2024</v>
      </c>
    </row>
    <row r="2892" spans="1:7" x14ac:dyDescent="0.25">
      <c r="A2892" t="s">
        <v>890</v>
      </c>
      <c r="B2892" s="1">
        <v>45292</v>
      </c>
      <c r="C2892" t="s">
        <v>891</v>
      </c>
      <c r="D2892">
        <v>5</v>
      </c>
      <c r="E2892" s="6">
        <v>20.3</v>
      </c>
      <c r="F2892" t="str">
        <f t="shared" si="90"/>
        <v>janeiro</v>
      </c>
      <c r="G2892">
        <f t="shared" si="91"/>
        <v>2024</v>
      </c>
    </row>
    <row r="2893" spans="1:7" x14ac:dyDescent="0.25">
      <c r="A2893">
        <v>8150001</v>
      </c>
      <c r="B2893" s="1">
        <v>45292</v>
      </c>
      <c r="C2893" t="s">
        <v>382</v>
      </c>
      <c r="D2893">
        <v>0</v>
      </c>
      <c r="E2893" s="6">
        <v>0</v>
      </c>
      <c r="F2893" t="str">
        <f t="shared" si="90"/>
        <v>janeiro</v>
      </c>
      <c r="G2893">
        <f t="shared" si="91"/>
        <v>2024</v>
      </c>
    </row>
    <row r="2894" spans="1:7" x14ac:dyDescent="0.25">
      <c r="A2894" t="s">
        <v>524</v>
      </c>
      <c r="B2894" s="1">
        <v>45292</v>
      </c>
      <c r="C2894" t="s">
        <v>383</v>
      </c>
      <c r="D2894">
        <v>1</v>
      </c>
      <c r="E2894" s="6">
        <v>8.1999999999999993</v>
      </c>
      <c r="F2894" t="str">
        <f t="shared" si="90"/>
        <v>janeiro</v>
      </c>
      <c r="G2894">
        <f t="shared" si="91"/>
        <v>2024</v>
      </c>
    </row>
    <row r="2895" spans="1:7" x14ac:dyDescent="0.25">
      <c r="A2895" t="s">
        <v>526</v>
      </c>
      <c r="B2895" s="1">
        <v>45292</v>
      </c>
      <c r="C2895" t="s">
        <v>384</v>
      </c>
      <c r="D2895">
        <v>600</v>
      </c>
      <c r="E2895" s="6">
        <v>4550</v>
      </c>
      <c r="F2895" t="str">
        <f t="shared" si="90"/>
        <v>janeiro</v>
      </c>
      <c r="G2895">
        <f t="shared" si="91"/>
        <v>2024</v>
      </c>
    </row>
    <row r="2896" spans="1:7" x14ac:dyDescent="0.25">
      <c r="A2896">
        <v>8150004</v>
      </c>
      <c r="B2896" s="1">
        <v>45292</v>
      </c>
      <c r="C2896" t="s">
        <v>625</v>
      </c>
      <c r="D2896">
        <v>0</v>
      </c>
      <c r="E2896" s="6">
        <v>0</v>
      </c>
      <c r="F2896" t="str">
        <f t="shared" si="90"/>
        <v>janeiro</v>
      </c>
      <c r="G2896">
        <f t="shared" si="91"/>
        <v>2024</v>
      </c>
    </row>
    <row r="2897" spans="1:7" x14ac:dyDescent="0.25">
      <c r="A2897" t="s">
        <v>529</v>
      </c>
      <c r="B2897" s="1">
        <v>45292</v>
      </c>
      <c r="C2897" t="s">
        <v>386</v>
      </c>
      <c r="D2897">
        <v>50</v>
      </c>
      <c r="E2897" s="6">
        <v>325</v>
      </c>
      <c r="F2897" t="str">
        <f t="shared" si="90"/>
        <v>janeiro</v>
      </c>
      <c r="G2897">
        <f t="shared" si="91"/>
        <v>2024</v>
      </c>
    </row>
    <row r="2898" spans="1:7" x14ac:dyDescent="0.25">
      <c r="A2898">
        <v>8150006</v>
      </c>
      <c r="B2898" s="1">
        <v>45292</v>
      </c>
      <c r="C2898" t="s">
        <v>387</v>
      </c>
      <c r="D2898">
        <v>0</v>
      </c>
      <c r="E2898" s="6">
        <v>0</v>
      </c>
      <c r="F2898" t="str">
        <f t="shared" si="90"/>
        <v>janeiro</v>
      </c>
      <c r="G2898">
        <f t="shared" si="91"/>
        <v>2024</v>
      </c>
    </row>
    <row r="2899" spans="1:7" x14ac:dyDescent="0.25">
      <c r="A2899">
        <v>8150009</v>
      </c>
      <c r="B2899" s="1">
        <v>45292</v>
      </c>
      <c r="C2899" t="s">
        <v>678</v>
      </c>
      <c r="D2899">
        <v>0</v>
      </c>
      <c r="E2899" s="6">
        <v>0</v>
      </c>
      <c r="F2899" t="str">
        <f t="shared" si="90"/>
        <v>janeiro</v>
      </c>
      <c r="G2899">
        <f t="shared" si="91"/>
        <v>2024</v>
      </c>
    </row>
    <row r="2900" spans="1:7" x14ac:dyDescent="0.25">
      <c r="A2900" t="s">
        <v>531</v>
      </c>
      <c r="B2900" s="1">
        <v>45292</v>
      </c>
      <c r="C2900" t="s">
        <v>532</v>
      </c>
      <c r="D2900">
        <v>0.65</v>
      </c>
      <c r="E2900" s="6">
        <v>3.57</v>
      </c>
      <c r="F2900" t="str">
        <f t="shared" si="90"/>
        <v>janeiro</v>
      </c>
      <c r="G2900">
        <f t="shared" si="91"/>
        <v>2024</v>
      </c>
    </row>
    <row r="2901" spans="1:7" x14ac:dyDescent="0.25">
      <c r="A2901" t="s">
        <v>537</v>
      </c>
      <c r="B2901" s="1">
        <v>45292</v>
      </c>
      <c r="C2901" t="s">
        <v>538</v>
      </c>
      <c r="D2901">
        <v>2</v>
      </c>
      <c r="E2901" s="6">
        <v>8.1</v>
      </c>
      <c r="F2901" t="str">
        <f t="shared" si="90"/>
        <v>janeiro</v>
      </c>
      <c r="G2901">
        <f t="shared" si="91"/>
        <v>2024</v>
      </c>
    </row>
    <row r="2902" spans="1:7" x14ac:dyDescent="0.25">
      <c r="A2902" t="s">
        <v>892</v>
      </c>
      <c r="B2902" s="1">
        <v>45292</v>
      </c>
      <c r="C2902" t="s">
        <v>893</v>
      </c>
      <c r="D2902">
        <v>12</v>
      </c>
      <c r="E2902" s="6">
        <v>71.099999999999994</v>
      </c>
      <c r="F2902" t="str">
        <f t="shared" si="90"/>
        <v>janeiro</v>
      </c>
      <c r="G2902">
        <f t="shared" si="91"/>
        <v>2024</v>
      </c>
    </row>
    <row r="2903" spans="1:7" x14ac:dyDescent="0.25">
      <c r="A2903" t="s">
        <v>894</v>
      </c>
      <c r="B2903" s="1">
        <v>45292</v>
      </c>
      <c r="C2903" t="s">
        <v>706</v>
      </c>
      <c r="D2903">
        <v>0</v>
      </c>
      <c r="E2903" s="6">
        <v>0</v>
      </c>
      <c r="F2903" t="str">
        <f t="shared" si="90"/>
        <v>janeiro</v>
      </c>
      <c r="G2903">
        <f t="shared" si="91"/>
        <v>2024</v>
      </c>
    </row>
    <row r="2904" spans="1:7" x14ac:dyDescent="0.25">
      <c r="A2904">
        <v>1010200</v>
      </c>
      <c r="B2904" s="25">
        <v>45323</v>
      </c>
      <c r="C2904" t="s">
        <v>331</v>
      </c>
      <c r="D2904" s="6">
        <v>834.1</v>
      </c>
      <c r="E2904" s="9">
        <v>250.23</v>
      </c>
      <c r="F2904" t="str">
        <f t="shared" si="90"/>
        <v>fevereiro</v>
      </c>
      <c r="G2904">
        <f t="shared" si="91"/>
        <v>2024</v>
      </c>
    </row>
    <row r="2905" spans="1:7" x14ac:dyDescent="0.25">
      <c r="A2905">
        <v>1010300</v>
      </c>
      <c r="B2905" s="25">
        <v>45323</v>
      </c>
      <c r="C2905" t="s">
        <v>333</v>
      </c>
      <c r="D2905" s="6">
        <v>108.1</v>
      </c>
      <c r="E2905" s="9">
        <v>32.43</v>
      </c>
      <c r="F2905" t="str">
        <f t="shared" si="90"/>
        <v>fevereiro</v>
      </c>
      <c r="G2905">
        <f t="shared" si="91"/>
        <v>2024</v>
      </c>
    </row>
    <row r="2906" spans="1:7" x14ac:dyDescent="0.25">
      <c r="A2906">
        <v>1010400</v>
      </c>
      <c r="B2906" s="25">
        <v>45323</v>
      </c>
      <c r="C2906" t="s">
        <v>540</v>
      </c>
      <c r="D2906" s="6">
        <v>0.8</v>
      </c>
      <c r="E2906" s="9">
        <v>1.6</v>
      </c>
      <c r="F2906" t="str">
        <f t="shared" si="90"/>
        <v>fevereiro</v>
      </c>
      <c r="G2906">
        <f t="shared" si="91"/>
        <v>2024</v>
      </c>
    </row>
    <row r="2907" spans="1:7" x14ac:dyDescent="0.25">
      <c r="A2907">
        <v>1010500</v>
      </c>
      <c r="B2907" s="25">
        <v>45323</v>
      </c>
      <c r="C2907" t="s">
        <v>6</v>
      </c>
      <c r="D2907" s="6">
        <v>1580.9</v>
      </c>
      <c r="E2907" s="9">
        <v>1263.99</v>
      </c>
      <c r="F2907" t="str">
        <f t="shared" si="90"/>
        <v>fevereiro</v>
      </c>
      <c r="G2907">
        <f t="shared" si="91"/>
        <v>2024</v>
      </c>
    </row>
    <row r="2908" spans="1:7" x14ac:dyDescent="0.25">
      <c r="A2908">
        <v>1010501</v>
      </c>
      <c r="B2908" s="25">
        <v>45323</v>
      </c>
      <c r="C2908" t="s">
        <v>899</v>
      </c>
      <c r="D2908" s="6">
        <v>104</v>
      </c>
      <c r="E2908" s="9">
        <v>52</v>
      </c>
      <c r="F2908" t="str">
        <f t="shared" si="90"/>
        <v>fevereiro</v>
      </c>
      <c r="G2908">
        <f t="shared" si="91"/>
        <v>2024</v>
      </c>
    </row>
    <row r="2909" spans="1:7" x14ac:dyDescent="0.25">
      <c r="A2909">
        <v>1010600</v>
      </c>
      <c r="B2909" s="25">
        <v>45323</v>
      </c>
      <c r="C2909" t="s">
        <v>334</v>
      </c>
      <c r="D2909" s="6">
        <v>3769</v>
      </c>
      <c r="E2909" s="9">
        <v>3645.98</v>
      </c>
      <c r="F2909" t="str">
        <f t="shared" si="90"/>
        <v>fevereiro</v>
      </c>
      <c r="G2909">
        <f t="shared" si="91"/>
        <v>2024</v>
      </c>
    </row>
    <row r="2910" spans="1:7" x14ac:dyDescent="0.25">
      <c r="A2910">
        <v>1010700</v>
      </c>
      <c r="B2910" s="25">
        <v>45323</v>
      </c>
      <c r="C2910" t="s">
        <v>335</v>
      </c>
      <c r="D2910" s="6">
        <v>2795.5</v>
      </c>
      <c r="E2910" s="9">
        <v>5956.55</v>
      </c>
      <c r="F2910" t="str">
        <f t="shared" si="90"/>
        <v>fevereiro</v>
      </c>
      <c r="G2910">
        <f t="shared" si="91"/>
        <v>2024</v>
      </c>
    </row>
    <row r="2911" spans="1:7" x14ac:dyDescent="0.25">
      <c r="A2911">
        <v>1010701</v>
      </c>
      <c r="B2911" s="25">
        <v>45323</v>
      </c>
      <c r="C2911" t="s">
        <v>12</v>
      </c>
      <c r="D2911" s="6">
        <v>179.65</v>
      </c>
      <c r="E2911" s="9">
        <v>1424.6</v>
      </c>
      <c r="F2911" t="str">
        <f t="shared" si="90"/>
        <v>fevereiro</v>
      </c>
      <c r="G2911">
        <f t="shared" si="91"/>
        <v>2024</v>
      </c>
    </row>
    <row r="2912" spans="1:7" x14ac:dyDescent="0.25">
      <c r="A2912">
        <v>1010732</v>
      </c>
      <c r="B2912" s="25">
        <v>45323</v>
      </c>
      <c r="C2912" t="s">
        <v>14</v>
      </c>
      <c r="D2912" s="6">
        <v>25.28</v>
      </c>
      <c r="E2912" s="9">
        <v>211.33</v>
      </c>
      <c r="F2912" t="str">
        <f t="shared" si="90"/>
        <v>fevereiro</v>
      </c>
      <c r="G2912">
        <f t="shared" si="91"/>
        <v>2024</v>
      </c>
    </row>
    <row r="2913" spans="1:7" x14ac:dyDescent="0.25">
      <c r="A2913">
        <v>1010900</v>
      </c>
      <c r="B2913" s="25">
        <v>45323</v>
      </c>
      <c r="C2913" t="s">
        <v>336</v>
      </c>
      <c r="D2913" s="6">
        <v>36.6</v>
      </c>
      <c r="E2913" s="9">
        <v>51.94</v>
      </c>
      <c r="F2913" t="str">
        <f t="shared" si="90"/>
        <v>fevereiro</v>
      </c>
      <c r="G2913">
        <f t="shared" si="91"/>
        <v>2024</v>
      </c>
    </row>
    <row r="2914" spans="1:7" x14ac:dyDescent="0.25">
      <c r="A2914">
        <v>1010901</v>
      </c>
      <c r="B2914" s="25">
        <v>45323</v>
      </c>
      <c r="C2914" t="s">
        <v>337</v>
      </c>
      <c r="D2914" s="6">
        <v>6.3</v>
      </c>
      <c r="E2914" s="9">
        <v>6.93</v>
      </c>
      <c r="F2914" t="str">
        <f t="shared" si="90"/>
        <v>fevereiro</v>
      </c>
      <c r="G2914">
        <f t="shared" si="91"/>
        <v>2024</v>
      </c>
    </row>
    <row r="2915" spans="1:7" x14ac:dyDescent="0.25">
      <c r="A2915">
        <v>1010902</v>
      </c>
      <c r="B2915" s="25">
        <v>45323</v>
      </c>
      <c r="C2915" t="s">
        <v>431</v>
      </c>
      <c r="D2915" s="6">
        <v>1057.8</v>
      </c>
      <c r="E2915" s="9">
        <v>1400.59</v>
      </c>
      <c r="F2915" t="str">
        <f t="shared" si="90"/>
        <v>fevereiro</v>
      </c>
      <c r="G2915">
        <f t="shared" si="91"/>
        <v>2024</v>
      </c>
    </row>
    <row r="2916" spans="1:7" x14ac:dyDescent="0.25">
      <c r="A2916">
        <v>1010903</v>
      </c>
      <c r="B2916" s="25">
        <v>45323</v>
      </c>
      <c r="C2916" t="s">
        <v>629</v>
      </c>
      <c r="D2916" s="6">
        <v>663.1</v>
      </c>
      <c r="E2916" s="9">
        <v>646.51</v>
      </c>
      <c r="F2916" t="str">
        <f t="shared" si="90"/>
        <v>fevereiro</v>
      </c>
      <c r="G2916">
        <f t="shared" si="91"/>
        <v>2024</v>
      </c>
    </row>
    <row r="2917" spans="1:7" x14ac:dyDescent="0.25">
      <c r="A2917">
        <v>1011000</v>
      </c>
      <c r="B2917" s="25">
        <v>45323</v>
      </c>
      <c r="C2917" t="s">
        <v>20</v>
      </c>
      <c r="D2917" s="6">
        <v>1302.72</v>
      </c>
      <c r="E2917" s="9">
        <v>920.41</v>
      </c>
      <c r="F2917" t="str">
        <f t="shared" si="90"/>
        <v>fevereiro</v>
      </c>
      <c r="G2917">
        <f t="shared" si="91"/>
        <v>2024</v>
      </c>
    </row>
    <row r="2918" spans="1:7" x14ac:dyDescent="0.25">
      <c r="A2918">
        <v>1011100</v>
      </c>
      <c r="B2918" s="25">
        <v>45323</v>
      </c>
      <c r="C2918" t="s">
        <v>293</v>
      </c>
      <c r="D2918" s="6">
        <v>64.099999999999994</v>
      </c>
      <c r="E2918" s="9">
        <v>33.270000000000003</v>
      </c>
      <c r="F2918" t="str">
        <f t="shared" si="90"/>
        <v>fevereiro</v>
      </c>
      <c r="G2918">
        <f t="shared" si="91"/>
        <v>2024</v>
      </c>
    </row>
    <row r="2919" spans="1:7" x14ac:dyDescent="0.25">
      <c r="A2919">
        <v>1011200</v>
      </c>
      <c r="B2919" s="25">
        <v>45323</v>
      </c>
      <c r="C2919" t="s">
        <v>24</v>
      </c>
      <c r="D2919" s="6">
        <v>101.1</v>
      </c>
      <c r="E2919" s="9">
        <v>142.12</v>
      </c>
      <c r="F2919" t="str">
        <f t="shared" si="90"/>
        <v>fevereiro</v>
      </c>
      <c r="G2919">
        <f t="shared" si="91"/>
        <v>2024</v>
      </c>
    </row>
    <row r="2920" spans="1:7" x14ac:dyDescent="0.25">
      <c r="A2920">
        <v>1011201</v>
      </c>
      <c r="B2920" s="25">
        <v>45323</v>
      </c>
      <c r="C2920" t="s">
        <v>338</v>
      </c>
      <c r="D2920" s="6">
        <v>106</v>
      </c>
      <c r="E2920" s="9">
        <v>286.2</v>
      </c>
      <c r="F2920" t="str">
        <f t="shared" si="90"/>
        <v>fevereiro</v>
      </c>
      <c r="G2920">
        <f t="shared" si="91"/>
        <v>2024</v>
      </c>
    </row>
    <row r="2921" spans="1:7" x14ac:dyDescent="0.25">
      <c r="A2921">
        <v>1011202</v>
      </c>
      <c r="B2921" s="25">
        <v>45323</v>
      </c>
      <c r="C2921" t="s">
        <v>340</v>
      </c>
      <c r="D2921" s="6">
        <v>395</v>
      </c>
      <c r="E2921" s="9">
        <v>79</v>
      </c>
      <c r="F2921" t="str">
        <f t="shared" si="90"/>
        <v>fevereiro</v>
      </c>
      <c r="G2921">
        <f t="shared" si="91"/>
        <v>2024</v>
      </c>
    </row>
    <row r="2922" spans="1:7" x14ac:dyDescent="0.25">
      <c r="A2922">
        <v>1011203</v>
      </c>
      <c r="B2922" s="25">
        <v>45323</v>
      </c>
      <c r="C2922" t="s">
        <v>342</v>
      </c>
      <c r="D2922" s="6">
        <v>94.2</v>
      </c>
      <c r="E2922" s="9">
        <v>56.52</v>
      </c>
      <c r="F2922" t="str">
        <f t="shared" si="90"/>
        <v>fevereiro</v>
      </c>
      <c r="G2922">
        <f t="shared" si="91"/>
        <v>2024</v>
      </c>
    </row>
    <row r="2923" spans="1:7" x14ac:dyDescent="0.25">
      <c r="A2923">
        <v>1011204</v>
      </c>
      <c r="B2923" s="25">
        <v>45323</v>
      </c>
      <c r="C2923" t="s">
        <v>344</v>
      </c>
      <c r="D2923" s="6">
        <v>142.9</v>
      </c>
      <c r="E2923" s="9">
        <v>242.93</v>
      </c>
      <c r="F2923" t="str">
        <f t="shared" si="90"/>
        <v>fevereiro</v>
      </c>
      <c r="G2923">
        <f t="shared" si="91"/>
        <v>2024</v>
      </c>
    </row>
    <row r="2924" spans="1:7" x14ac:dyDescent="0.25">
      <c r="A2924">
        <v>1011211</v>
      </c>
      <c r="B2924" s="25">
        <v>45323</v>
      </c>
      <c r="C2924" t="s">
        <v>685</v>
      </c>
      <c r="D2924" s="6">
        <v>169.7</v>
      </c>
      <c r="E2924" s="9">
        <v>59.4</v>
      </c>
      <c r="F2924" t="str">
        <f t="shared" si="90"/>
        <v>fevereiro</v>
      </c>
      <c r="G2924">
        <f t="shared" si="91"/>
        <v>2024</v>
      </c>
    </row>
    <row r="2925" spans="1:7" x14ac:dyDescent="0.25">
      <c r="A2925">
        <v>1011300</v>
      </c>
      <c r="B2925" s="25">
        <v>45323</v>
      </c>
      <c r="C2925" t="s">
        <v>295</v>
      </c>
      <c r="D2925" s="6">
        <v>8884.7000000000007</v>
      </c>
      <c r="E2925" s="9">
        <v>2504.7199999999998</v>
      </c>
      <c r="F2925" t="str">
        <f t="shared" si="90"/>
        <v>fevereiro</v>
      </c>
      <c r="G2925">
        <f t="shared" si="91"/>
        <v>2024</v>
      </c>
    </row>
    <row r="2926" spans="1:7" x14ac:dyDescent="0.25">
      <c r="A2926">
        <v>1011400</v>
      </c>
      <c r="B2926" s="25">
        <v>45323</v>
      </c>
      <c r="C2926" t="s">
        <v>25</v>
      </c>
      <c r="D2926" s="6">
        <v>1</v>
      </c>
      <c r="E2926" s="9">
        <v>2.5</v>
      </c>
      <c r="F2926" t="str">
        <f t="shared" si="90"/>
        <v>fevereiro</v>
      </c>
      <c r="G2926">
        <f t="shared" si="91"/>
        <v>2024</v>
      </c>
    </row>
    <row r="2927" spans="1:7" x14ac:dyDescent="0.25">
      <c r="A2927">
        <v>1011500</v>
      </c>
      <c r="B2927" s="25">
        <v>45323</v>
      </c>
      <c r="C2927" t="s">
        <v>27</v>
      </c>
      <c r="D2927" s="6">
        <v>1455.01</v>
      </c>
      <c r="E2927" s="9">
        <v>1116.6300000000001</v>
      </c>
      <c r="F2927" t="str">
        <f t="shared" si="90"/>
        <v>fevereiro</v>
      </c>
      <c r="G2927">
        <f t="shared" si="91"/>
        <v>2024</v>
      </c>
    </row>
    <row r="2928" spans="1:7" x14ac:dyDescent="0.25">
      <c r="A2928">
        <v>1011604</v>
      </c>
      <c r="B2928" s="25">
        <v>45323</v>
      </c>
      <c r="C2928" t="s">
        <v>29</v>
      </c>
      <c r="D2928" s="6">
        <v>24448</v>
      </c>
      <c r="E2928" s="9">
        <v>1955.84</v>
      </c>
      <c r="F2928" t="str">
        <f t="shared" si="90"/>
        <v>fevereiro</v>
      </c>
      <c r="G2928">
        <f t="shared" si="91"/>
        <v>2024</v>
      </c>
    </row>
    <row r="2929" spans="1:7" x14ac:dyDescent="0.25">
      <c r="A2929">
        <v>1011700</v>
      </c>
      <c r="B2929" s="25">
        <v>45323</v>
      </c>
      <c r="C2929" t="s">
        <v>31</v>
      </c>
      <c r="D2929" s="6">
        <v>196.8</v>
      </c>
      <c r="E2929" s="9">
        <v>330.74</v>
      </c>
      <c r="F2929" t="str">
        <f t="shared" si="90"/>
        <v>fevereiro</v>
      </c>
      <c r="G2929">
        <f t="shared" si="91"/>
        <v>2024</v>
      </c>
    </row>
    <row r="2930" spans="1:7" x14ac:dyDescent="0.25">
      <c r="A2930">
        <v>1011800</v>
      </c>
      <c r="B2930" s="25">
        <v>45323</v>
      </c>
      <c r="C2930" t="s">
        <v>33</v>
      </c>
      <c r="D2930" s="6">
        <v>5135.6099999999997</v>
      </c>
      <c r="E2930" s="9">
        <v>8808.9500000000007</v>
      </c>
      <c r="F2930" t="str">
        <f t="shared" si="90"/>
        <v>fevereiro</v>
      </c>
      <c r="G2930">
        <f t="shared" si="91"/>
        <v>2024</v>
      </c>
    </row>
    <row r="2931" spans="1:7" x14ac:dyDescent="0.25">
      <c r="A2931">
        <v>1011801</v>
      </c>
      <c r="B2931" s="25">
        <v>45323</v>
      </c>
      <c r="C2931" t="s">
        <v>35</v>
      </c>
      <c r="D2931" s="6">
        <v>142.38</v>
      </c>
      <c r="E2931" s="9">
        <v>234.94</v>
      </c>
      <c r="F2931" t="str">
        <f t="shared" si="90"/>
        <v>fevereiro</v>
      </c>
      <c r="G2931">
        <f t="shared" si="91"/>
        <v>2024</v>
      </c>
    </row>
    <row r="2932" spans="1:7" x14ac:dyDescent="0.25">
      <c r="A2932">
        <v>1011901</v>
      </c>
      <c r="B2932" s="25">
        <v>45323</v>
      </c>
      <c r="C2932" t="s">
        <v>37</v>
      </c>
      <c r="D2932" s="6">
        <v>282.60000000000002</v>
      </c>
      <c r="E2932" s="9">
        <v>230.5</v>
      </c>
      <c r="F2932" t="str">
        <f t="shared" si="90"/>
        <v>fevereiro</v>
      </c>
      <c r="G2932">
        <f t="shared" si="91"/>
        <v>2024</v>
      </c>
    </row>
    <row r="2933" spans="1:7" x14ac:dyDescent="0.25">
      <c r="A2933">
        <v>1012000</v>
      </c>
      <c r="B2933" s="25">
        <v>45323</v>
      </c>
      <c r="C2933" t="s">
        <v>761</v>
      </c>
      <c r="D2933" s="6">
        <v>2.4</v>
      </c>
      <c r="E2933" s="9">
        <v>4.2</v>
      </c>
      <c r="F2933" t="str">
        <f t="shared" si="90"/>
        <v>fevereiro</v>
      </c>
      <c r="G2933">
        <f t="shared" si="91"/>
        <v>2024</v>
      </c>
    </row>
    <row r="2934" spans="1:7" x14ac:dyDescent="0.25">
      <c r="A2934">
        <v>1012100</v>
      </c>
      <c r="B2934" s="25">
        <v>45323</v>
      </c>
      <c r="C2934" t="s">
        <v>302</v>
      </c>
      <c r="D2934" s="6">
        <v>497.7</v>
      </c>
      <c r="E2934" s="9">
        <v>1393.56</v>
      </c>
      <c r="F2934" t="str">
        <f t="shared" si="90"/>
        <v>fevereiro</v>
      </c>
      <c r="G2934">
        <f t="shared" si="91"/>
        <v>2024</v>
      </c>
    </row>
    <row r="2935" spans="1:7" x14ac:dyDescent="0.25">
      <c r="A2935">
        <v>1012200</v>
      </c>
      <c r="B2935" s="25">
        <v>45323</v>
      </c>
      <c r="C2935" t="s">
        <v>39</v>
      </c>
      <c r="D2935" s="6">
        <v>2191.91</v>
      </c>
      <c r="E2935" s="9">
        <v>3641.21</v>
      </c>
      <c r="F2935" t="str">
        <f t="shared" si="90"/>
        <v>fevereiro</v>
      </c>
      <c r="G2935">
        <f t="shared" si="91"/>
        <v>2024</v>
      </c>
    </row>
    <row r="2936" spans="1:7" x14ac:dyDescent="0.25">
      <c r="A2936">
        <v>1012201</v>
      </c>
      <c r="B2936" s="25">
        <v>45323</v>
      </c>
      <c r="C2936" t="s">
        <v>41</v>
      </c>
      <c r="D2936" s="6">
        <v>345</v>
      </c>
      <c r="E2936" s="9">
        <v>727.22</v>
      </c>
      <c r="F2936" t="str">
        <f t="shared" si="90"/>
        <v>fevereiro</v>
      </c>
      <c r="G2936">
        <f t="shared" si="91"/>
        <v>2024</v>
      </c>
    </row>
    <row r="2937" spans="1:7" x14ac:dyDescent="0.25">
      <c r="A2937">
        <v>1012203</v>
      </c>
      <c r="B2937" s="25">
        <v>45323</v>
      </c>
      <c r="C2937" t="s">
        <v>43</v>
      </c>
      <c r="D2937" s="6">
        <v>1372.9</v>
      </c>
      <c r="E2937" s="9">
        <v>2489.2199999999998</v>
      </c>
      <c r="F2937" t="str">
        <f t="shared" si="90"/>
        <v>fevereiro</v>
      </c>
      <c r="G2937">
        <f t="shared" si="91"/>
        <v>2024</v>
      </c>
    </row>
    <row r="2938" spans="1:7" x14ac:dyDescent="0.25">
      <c r="A2938">
        <v>1012205</v>
      </c>
      <c r="B2938" s="25">
        <v>45323</v>
      </c>
      <c r="C2938" t="s">
        <v>741</v>
      </c>
      <c r="D2938" s="6">
        <v>167.7</v>
      </c>
      <c r="E2938" s="9">
        <v>256.52</v>
      </c>
      <c r="F2938" t="str">
        <f t="shared" si="90"/>
        <v>fevereiro</v>
      </c>
      <c r="G2938">
        <f t="shared" si="91"/>
        <v>2024</v>
      </c>
    </row>
    <row r="2939" spans="1:7" x14ac:dyDescent="0.25">
      <c r="A2939">
        <v>1012207</v>
      </c>
      <c r="B2939" s="25">
        <v>45323</v>
      </c>
      <c r="C2939" t="s">
        <v>810</v>
      </c>
      <c r="D2939" s="6">
        <v>100</v>
      </c>
      <c r="E2939" s="9">
        <v>182</v>
      </c>
      <c r="F2939" t="str">
        <f t="shared" si="90"/>
        <v>fevereiro</v>
      </c>
      <c r="G2939">
        <f t="shared" si="91"/>
        <v>2024</v>
      </c>
    </row>
    <row r="2940" spans="1:7" x14ac:dyDescent="0.25">
      <c r="A2940">
        <v>1012300</v>
      </c>
      <c r="B2940" s="25">
        <v>45323</v>
      </c>
      <c r="C2940" t="s">
        <v>45</v>
      </c>
      <c r="D2940" s="6">
        <v>451.84</v>
      </c>
      <c r="E2940" s="9">
        <v>650.41</v>
      </c>
      <c r="F2940" t="str">
        <f t="shared" si="90"/>
        <v>fevereiro</v>
      </c>
      <c r="G2940">
        <f t="shared" si="91"/>
        <v>2024</v>
      </c>
    </row>
    <row r="2941" spans="1:7" x14ac:dyDescent="0.25">
      <c r="A2941">
        <v>1012301</v>
      </c>
      <c r="B2941" s="25">
        <v>45323</v>
      </c>
      <c r="C2941" t="s">
        <v>47</v>
      </c>
      <c r="D2941" s="6">
        <v>139.37</v>
      </c>
      <c r="E2941" s="9">
        <v>174.22</v>
      </c>
      <c r="F2941" t="str">
        <f t="shared" si="90"/>
        <v>fevereiro</v>
      </c>
      <c r="G2941">
        <f t="shared" si="91"/>
        <v>2024</v>
      </c>
    </row>
    <row r="2942" spans="1:7" x14ac:dyDescent="0.25">
      <c r="A2942">
        <v>1012400</v>
      </c>
      <c r="B2942" s="25">
        <v>45323</v>
      </c>
      <c r="C2942" t="s">
        <v>49</v>
      </c>
      <c r="D2942" s="6">
        <v>1140.42</v>
      </c>
      <c r="E2942" s="9">
        <v>1961.46</v>
      </c>
      <c r="F2942" t="str">
        <f t="shared" si="90"/>
        <v>fevereiro</v>
      </c>
      <c r="G2942">
        <f t="shared" si="91"/>
        <v>2024</v>
      </c>
    </row>
    <row r="2943" spans="1:7" x14ac:dyDescent="0.25">
      <c r="A2943">
        <v>1012401</v>
      </c>
      <c r="B2943" s="25">
        <v>45323</v>
      </c>
      <c r="C2943" t="s">
        <v>51</v>
      </c>
      <c r="D2943" s="6">
        <v>40.840000000000003</v>
      </c>
      <c r="E2943" s="9">
        <v>61.9</v>
      </c>
      <c r="F2943" t="str">
        <f t="shared" si="90"/>
        <v>fevereiro</v>
      </c>
      <c r="G2943">
        <f t="shared" si="91"/>
        <v>2024</v>
      </c>
    </row>
    <row r="2944" spans="1:7" x14ac:dyDescent="0.25">
      <c r="A2944">
        <v>1012500</v>
      </c>
      <c r="B2944" s="25">
        <v>45323</v>
      </c>
      <c r="C2944" t="s">
        <v>53</v>
      </c>
      <c r="D2944" s="6">
        <v>1297.0999999999999</v>
      </c>
      <c r="E2944" s="9">
        <v>327.7</v>
      </c>
      <c r="F2944" t="str">
        <f t="shared" si="90"/>
        <v>fevereiro</v>
      </c>
      <c r="G2944">
        <f t="shared" si="91"/>
        <v>2024</v>
      </c>
    </row>
    <row r="2945" spans="1:7" x14ac:dyDescent="0.25">
      <c r="A2945">
        <v>1012601</v>
      </c>
      <c r="B2945" s="25">
        <v>45323</v>
      </c>
      <c r="C2945" t="s">
        <v>55</v>
      </c>
      <c r="D2945" s="6">
        <v>172</v>
      </c>
      <c r="E2945" s="9">
        <v>172</v>
      </c>
      <c r="F2945" t="str">
        <f t="shared" si="90"/>
        <v>fevereiro</v>
      </c>
      <c r="G2945">
        <f t="shared" si="91"/>
        <v>2024</v>
      </c>
    </row>
    <row r="2946" spans="1:7" x14ac:dyDescent="0.25">
      <c r="A2946">
        <v>1012800</v>
      </c>
      <c r="B2946" s="25">
        <v>45323</v>
      </c>
      <c r="C2946" t="s">
        <v>900</v>
      </c>
      <c r="D2946" s="6">
        <v>15.7</v>
      </c>
      <c r="E2946" s="9">
        <v>23.55</v>
      </c>
      <c r="F2946" t="str">
        <f t="shared" si="90"/>
        <v>fevereiro</v>
      </c>
      <c r="G2946">
        <f t="shared" si="91"/>
        <v>2024</v>
      </c>
    </row>
    <row r="2947" spans="1:7" x14ac:dyDescent="0.25">
      <c r="A2947">
        <v>1013100</v>
      </c>
      <c r="B2947" s="25">
        <v>45323</v>
      </c>
      <c r="C2947" t="s">
        <v>57</v>
      </c>
      <c r="D2947" s="6">
        <v>132.6</v>
      </c>
      <c r="E2947" s="9">
        <v>143.24</v>
      </c>
      <c r="F2947" t="str">
        <f t="shared" ref="F2947:F3010" si="92">TEXT(B2947,"mmmm")</f>
        <v>fevereiro</v>
      </c>
      <c r="G2947">
        <f t="shared" ref="G2947:G3010" si="93">YEAR(B2947)</f>
        <v>2024</v>
      </c>
    </row>
    <row r="2948" spans="1:7" x14ac:dyDescent="0.25">
      <c r="A2948">
        <v>1013101</v>
      </c>
      <c r="B2948" s="25">
        <v>45323</v>
      </c>
      <c r="C2948" t="s">
        <v>346</v>
      </c>
      <c r="D2948" s="6">
        <v>4113</v>
      </c>
      <c r="E2948" s="9">
        <v>2467.8000000000002</v>
      </c>
      <c r="F2948" t="str">
        <f t="shared" si="92"/>
        <v>fevereiro</v>
      </c>
      <c r="G2948">
        <f t="shared" si="93"/>
        <v>2024</v>
      </c>
    </row>
    <row r="2949" spans="1:7" x14ac:dyDescent="0.25">
      <c r="A2949">
        <v>1013200</v>
      </c>
      <c r="B2949" s="25">
        <v>45323</v>
      </c>
      <c r="C2949" t="s">
        <v>59</v>
      </c>
      <c r="D2949" s="6">
        <v>1443.1</v>
      </c>
      <c r="E2949" s="9">
        <v>1554.16</v>
      </c>
      <c r="F2949" t="str">
        <f t="shared" si="92"/>
        <v>fevereiro</v>
      </c>
      <c r="G2949">
        <f t="shared" si="93"/>
        <v>2024</v>
      </c>
    </row>
    <row r="2950" spans="1:7" x14ac:dyDescent="0.25">
      <c r="A2950">
        <v>1013201</v>
      </c>
      <c r="B2950" s="25">
        <v>45323</v>
      </c>
      <c r="C2950" t="s">
        <v>347</v>
      </c>
      <c r="D2950" s="6">
        <v>112</v>
      </c>
      <c r="E2950" s="9">
        <v>134.4</v>
      </c>
      <c r="F2950" t="str">
        <f t="shared" si="92"/>
        <v>fevereiro</v>
      </c>
      <c r="G2950">
        <f t="shared" si="93"/>
        <v>2024</v>
      </c>
    </row>
    <row r="2951" spans="1:7" x14ac:dyDescent="0.25">
      <c r="A2951">
        <v>1013300</v>
      </c>
      <c r="B2951" s="25">
        <v>45323</v>
      </c>
      <c r="C2951" t="s">
        <v>348</v>
      </c>
      <c r="D2951" s="6">
        <v>933.4</v>
      </c>
      <c r="E2951" s="9">
        <v>280.02</v>
      </c>
      <c r="F2951" t="str">
        <f t="shared" si="92"/>
        <v>fevereiro</v>
      </c>
      <c r="G2951">
        <f t="shared" si="93"/>
        <v>2024</v>
      </c>
    </row>
    <row r="2952" spans="1:7" x14ac:dyDescent="0.25">
      <c r="A2952">
        <v>1013500</v>
      </c>
      <c r="B2952" s="25">
        <v>45323</v>
      </c>
      <c r="C2952" t="s">
        <v>61</v>
      </c>
      <c r="D2952" s="6">
        <v>9</v>
      </c>
      <c r="E2952" s="9">
        <v>4.5</v>
      </c>
      <c r="F2952" t="str">
        <f t="shared" si="92"/>
        <v>fevereiro</v>
      </c>
      <c r="G2952">
        <f t="shared" si="93"/>
        <v>2024</v>
      </c>
    </row>
    <row r="2953" spans="1:7" x14ac:dyDescent="0.25">
      <c r="A2953">
        <v>1100100</v>
      </c>
      <c r="B2953" s="25">
        <v>45323</v>
      </c>
      <c r="C2953" t="s">
        <v>63</v>
      </c>
      <c r="D2953" s="6">
        <v>78255.320000000007</v>
      </c>
      <c r="E2953" s="9">
        <v>197170.58</v>
      </c>
      <c r="F2953" t="str">
        <f t="shared" si="92"/>
        <v>fevereiro</v>
      </c>
      <c r="G2953">
        <f t="shared" si="93"/>
        <v>2024</v>
      </c>
    </row>
    <row r="2954" spans="1:7" x14ac:dyDescent="0.25">
      <c r="A2954">
        <v>1100101</v>
      </c>
      <c r="B2954" s="25">
        <v>45323</v>
      </c>
      <c r="C2954" t="s">
        <v>65</v>
      </c>
      <c r="D2954" s="6">
        <v>276.39999999999998</v>
      </c>
      <c r="E2954" s="9">
        <v>708.91</v>
      </c>
      <c r="F2954" t="str">
        <f t="shared" si="92"/>
        <v>fevereiro</v>
      </c>
      <c r="G2954">
        <f t="shared" si="93"/>
        <v>2024</v>
      </c>
    </row>
    <row r="2955" spans="1:7" x14ac:dyDescent="0.25">
      <c r="A2955">
        <v>1100200</v>
      </c>
      <c r="B2955" s="25">
        <v>45323</v>
      </c>
      <c r="C2955" t="s">
        <v>67</v>
      </c>
      <c r="D2955" s="6">
        <v>3077.8</v>
      </c>
      <c r="E2955" s="9">
        <v>9530.0400000000009</v>
      </c>
      <c r="F2955" t="str">
        <f t="shared" si="92"/>
        <v>fevereiro</v>
      </c>
      <c r="G2955">
        <f t="shared" si="93"/>
        <v>2024</v>
      </c>
    </row>
    <row r="2956" spans="1:7" x14ac:dyDescent="0.25">
      <c r="A2956">
        <v>1100300</v>
      </c>
      <c r="B2956" s="25">
        <v>45323</v>
      </c>
      <c r="C2956" t="s">
        <v>69</v>
      </c>
      <c r="D2956" s="6">
        <v>617.4</v>
      </c>
      <c r="E2956" s="9">
        <v>1654.26</v>
      </c>
      <c r="F2956" t="str">
        <f t="shared" si="92"/>
        <v>fevereiro</v>
      </c>
      <c r="G2956">
        <f t="shared" si="93"/>
        <v>2024</v>
      </c>
    </row>
    <row r="2957" spans="1:7" x14ac:dyDescent="0.25">
      <c r="A2957">
        <v>1100400</v>
      </c>
      <c r="B2957" s="25">
        <v>45323</v>
      </c>
      <c r="C2957" t="s">
        <v>73</v>
      </c>
      <c r="D2957" s="6">
        <v>15512.66</v>
      </c>
      <c r="E2957" s="9">
        <v>38223.769999999997</v>
      </c>
      <c r="F2957" t="str">
        <f t="shared" si="92"/>
        <v>fevereiro</v>
      </c>
      <c r="G2957">
        <f t="shared" si="93"/>
        <v>2024</v>
      </c>
    </row>
    <row r="2958" spans="1:7" x14ac:dyDescent="0.25">
      <c r="A2958">
        <v>1100500</v>
      </c>
      <c r="B2958" s="25">
        <v>45323</v>
      </c>
      <c r="C2958" t="s">
        <v>75</v>
      </c>
      <c r="D2958" s="6">
        <v>550.20000000000005</v>
      </c>
      <c r="E2958" s="9">
        <v>1451.3</v>
      </c>
      <c r="F2958" t="str">
        <f t="shared" si="92"/>
        <v>fevereiro</v>
      </c>
      <c r="G2958">
        <f t="shared" si="93"/>
        <v>2024</v>
      </c>
    </row>
    <row r="2959" spans="1:7" x14ac:dyDescent="0.25">
      <c r="A2959">
        <v>1100600</v>
      </c>
      <c r="B2959" s="25">
        <v>45323</v>
      </c>
      <c r="C2959" t="s">
        <v>77</v>
      </c>
      <c r="D2959" s="6">
        <v>13056.73</v>
      </c>
      <c r="E2959" s="9">
        <v>41619.9</v>
      </c>
      <c r="F2959" t="str">
        <f t="shared" si="92"/>
        <v>fevereiro</v>
      </c>
      <c r="G2959">
        <f t="shared" si="93"/>
        <v>2024</v>
      </c>
    </row>
    <row r="2960" spans="1:7" x14ac:dyDescent="0.25">
      <c r="A2960">
        <v>1100602</v>
      </c>
      <c r="B2960" s="25">
        <v>45323</v>
      </c>
      <c r="C2960" t="s">
        <v>79</v>
      </c>
      <c r="D2960" s="6">
        <v>443.06</v>
      </c>
      <c r="E2960" s="9">
        <v>2344.12</v>
      </c>
      <c r="F2960" t="str">
        <f t="shared" si="92"/>
        <v>fevereiro</v>
      </c>
      <c r="G2960">
        <f t="shared" si="93"/>
        <v>2024</v>
      </c>
    </row>
    <row r="2961" spans="1:7" x14ac:dyDescent="0.25">
      <c r="A2961">
        <v>1100603</v>
      </c>
      <c r="B2961" s="25">
        <v>45323</v>
      </c>
      <c r="C2961" t="s">
        <v>304</v>
      </c>
      <c r="D2961" s="6">
        <v>50</v>
      </c>
      <c r="E2961" s="9">
        <v>253</v>
      </c>
      <c r="F2961" t="str">
        <f t="shared" si="92"/>
        <v>fevereiro</v>
      </c>
      <c r="G2961">
        <f t="shared" si="93"/>
        <v>2024</v>
      </c>
    </row>
    <row r="2962" spans="1:7" x14ac:dyDescent="0.25">
      <c r="A2962">
        <v>1100605</v>
      </c>
      <c r="B2962" s="25">
        <v>45323</v>
      </c>
      <c r="C2962" t="s">
        <v>631</v>
      </c>
      <c r="D2962" s="6">
        <v>4980.51</v>
      </c>
      <c r="E2962" s="9">
        <v>15631.2</v>
      </c>
      <c r="F2962" t="str">
        <f t="shared" si="92"/>
        <v>fevereiro</v>
      </c>
      <c r="G2962">
        <f t="shared" si="93"/>
        <v>2024</v>
      </c>
    </row>
    <row r="2963" spans="1:7" x14ac:dyDescent="0.25">
      <c r="A2963">
        <v>1100608</v>
      </c>
      <c r="B2963" s="25">
        <v>45323</v>
      </c>
      <c r="C2963" t="s">
        <v>349</v>
      </c>
      <c r="D2963" s="6">
        <v>5494.42</v>
      </c>
      <c r="E2963" s="9">
        <v>16960.14</v>
      </c>
      <c r="F2963" t="str">
        <f t="shared" si="92"/>
        <v>fevereiro</v>
      </c>
      <c r="G2963">
        <f t="shared" si="93"/>
        <v>2024</v>
      </c>
    </row>
    <row r="2964" spans="1:7" x14ac:dyDescent="0.25">
      <c r="A2964">
        <v>1100700</v>
      </c>
      <c r="B2964" s="25">
        <v>45323</v>
      </c>
      <c r="C2964" t="s">
        <v>83</v>
      </c>
      <c r="D2964" s="6">
        <v>10969.5</v>
      </c>
      <c r="E2964" s="9">
        <v>35575.89</v>
      </c>
      <c r="F2964" t="str">
        <f t="shared" si="92"/>
        <v>fevereiro</v>
      </c>
      <c r="G2964">
        <f t="shared" si="93"/>
        <v>2024</v>
      </c>
    </row>
    <row r="2965" spans="1:7" x14ac:dyDescent="0.25">
      <c r="A2965">
        <v>1100701</v>
      </c>
      <c r="B2965" s="25">
        <v>45323</v>
      </c>
      <c r="C2965" t="s">
        <v>84</v>
      </c>
      <c r="D2965" s="6">
        <v>234.2</v>
      </c>
      <c r="E2965" s="9">
        <v>880.34</v>
      </c>
      <c r="F2965" t="str">
        <f t="shared" si="92"/>
        <v>fevereiro</v>
      </c>
      <c r="G2965">
        <f t="shared" si="93"/>
        <v>2024</v>
      </c>
    </row>
    <row r="2966" spans="1:7" x14ac:dyDescent="0.25">
      <c r="A2966">
        <v>1100703</v>
      </c>
      <c r="B2966" s="25">
        <v>45323</v>
      </c>
      <c r="C2966" t="s">
        <v>86</v>
      </c>
      <c r="D2966" s="6">
        <v>1398.2</v>
      </c>
      <c r="E2966" s="9">
        <v>5045.54</v>
      </c>
      <c r="F2966" t="str">
        <f t="shared" si="92"/>
        <v>fevereiro</v>
      </c>
      <c r="G2966">
        <f t="shared" si="93"/>
        <v>2024</v>
      </c>
    </row>
    <row r="2967" spans="1:7" x14ac:dyDescent="0.25">
      <c r="A2967">
        <v>1100704</v>
      </c>
      <c r="B2967" s="25">
        <v>45323</v>
      </c>
      <c r="C2967" t="s">
        <v>901</v>
      </c>
      <c r="D2967" s="6">
        <v>6.87</v>
      </c>
      <c r="E2967" s="9">
        <v>36.71</v>
      </c>
      <c r="F2967" t="str">
        <f t="shared" si="92"/>
        <v>fevereiro</v>
      </c>
      <c r="G2967">
        <f t="shared" si="93"/>
        <v>2024</v>
      </c>
    </row>
    <row r="2968" spans="1:7" x14ac:dyDescent="0.25">
      <c r="A2968">
        <v>1100705</v>
      </c>
      <c r="B2968" s="25">
        <v>45323</v>
      </c>
      <c r="C2968" t="s">
        <v>88</v>
      </c>
      <c r="D2968" s="6">
        <v>326.3</v>
      </c>
      <c r="E2968" s="9">
        <v>575.55999999999995</v>
      </c>
      <c r="F2968" t="str">
        <f t="shared" si="92"/>
        <v>fevereiro</v>
      </c>
      <c r="G2968">
        <f t="shared" si="93"/>
        <v>2024</v>
      </c>
    </row>
    <row r="2969" spans="1:7" x14ac:dyDescent="0.25">
      <c r="A2969">
        <v>1100706</v>
      </c>
      <c r="B2969" s="25">
        <v>45323</v>
      </c>
      <c r="C2969" t="s">
        <v>305</v>
      </c>
      <c r="D2969" s="6">
        <v>46.05</v>
      </c>
      <c r="E2969" s="9">
        <v>76.91</v>
      </c>
      <c r="F2969" t="str">
        <f t="shared" si="92"/>
        <v>fevereiro</v>
      </c>
      <c r="G2969">
        <f t="shared" si="93"/>
        <v>2024</v>
      </c>
    </row>
    <row r="2970" spans="1:7" x14ac:dyDescent="0.25">
      <c r="A2970">
        <v>1100707</v>
      </c>
      <c r="B2970" s="25">
        <v>45323</v>
      </c>
      <c r="C2970" t="s">
        <v>902</v>
      </c>
      <c r="D2970" s="6">
        <v>1974.02</v>
      </c>
      <c r="E2970" s="9">
        <v>7501.27</v>
      </c>
      <c r="F2970" t="str">
        <f t="shared" si="92"/>
        <v>fevereiro</v>
      </c>
      <c r="G2970">
        <f t="shared" si="93"/>
        <v>2024</v>
      </c>
    </row>
    <row r="2971" spans="1:7" x14ac:dyDescent="0.25">
      <c r="A2971">
        <v>1100709</v>
      </c>
      <c r="B2971" s="25">
        <v>45323</v>
      </c>
      <c r="C2971" t="s">
        <v>903</v>
      </c>
      <c r="D2971" s="6">
        <v>2286.35</v>
      </c>
      <c r="E2971" s="9">
        <v>8802.44</v>
      </c>
      <c r="F2971" t="str">
        <f t="shared" si="92"/>
        <v>fevereiro</v>
      </c>
      <c r="G2971">
        <f t="shared" si="93"/>
        <v>2024</v>
      </c>
    </row>
    <row r="2972" spans="1:7" x14ac:dyDescent="0.25">
      <c r="A2972">
        <v>1100710</v>
      </c>
      <c r="B2972" s="25">
        <v>45323</v>
      </c>
      <c r="C2972" t="s">
        <v>904</v>
      </c>
      <c r="D2972" s="6">
        <v>1957</v>
      </c>
      <c r="E2972" s="9">
        <v>7436.6</v>
      </c>
      <c r="F2972" t="str">
        <f t="shared" si="92"/>
        <v>fevereiro</v>
      </c>
      <c r="G2972">
        <f t="shared" si="93"/>
        <v>2024</v>
      </c>
    </row>
    <row r="2973" spans="1:7" x14ac:dyDescent="0.25">
      <c r="A2973">
        <v>1100800</v>
      </c>
      <c r="B2973" s="25">
        <v>45323</v>
      </c>
      <c r="C2973" t="s">
        <v>90</v>
      </c>
      <c r="D2973" s="6">
        <v>12900.35</v>
      </c>
      <c r="E2973" s="9">
        <v>38159.199999999997</v>
      </c>
      <c r="F2973" t="str">
        <f t="shared" si="92"/>
        <v>fevereiro</v>
      </c>
      <c r="G2973">
        <f t="shared" si="93"/>
        <v>2024</v>
      </c>
    </row>
    <row r="2974" spans="1:7" x14ac:dyDescent="0.25">
      <c r="A2974">
        <v>1100801</v>
      </c>
      <c r="B2974" s="25">
        <v>45323</v>
      </c>
      <c r="C2974" t="s">
        <v>905</v>
      </c>
      <c r="D2974" s="6">
        <v>4639.5</v>
      </c>
      <c r="E2974" s="9">
        <v>13055.02</v>
      </c>
      <c r="F2974" t="str">
        <f t="shared" si="92"/>
        <v>fevereiro</v>
      </c>
      <c r="G2974">
        <f t="shared" si="93"/>
        <v>2024</v>
      </c>
    </row>
    <row r="2975" spans="1:7" x14ac:dyDescent="0.25">
      <c r="A2975">
        <v>1100802</v>
      </c>
      <c r="B2975" s="25">
        <v>45323</v>
      </c>
      <c r="C2975" t="s">
        <v>306</v>
      </c>
      <c r="D2975" s="6">
        <v>85.2</v>
      </c>
      <c r="E2975" s="9">
        <v>250.77</v>
      </c>
      <c r="F2975" t="str">
        <f t="shared" si="92"/>
        <v>fevereiro</v>
      </c>
      <c r="G2975">
        <f t="shared" si="93"/>
        <v>2024</v>
      </c>
    </row>
    <row r="2976" spans="1:7" x14ac:dyDescent="0.25">
      <c r="A2976">
        <v>1100900</v>
      </c>
      <c r="B2976" s="25">
        <v>45323</v>
      </c>
      <c r="C2976" t="s">
        <v>94</v>
      </c>
      <c r="D2976" s="6">
        <v>1736.08</v>
      </c>
      <c r="E2976" s="9">
        <v>8617.2900000000009</v>
      </c>
      <c r="F2976" t="str">
        <f t="shared" si="92"/>
        <v>fevereiro</v>
      </c>
      <c r="G2976">
        <f t="shared" si="93"/>
        <v>2024</v>
      </c>
    </row>
    <row r="2977" spans="1:7" x14ac:dyDescent="0.25">
      <c r="A2977">
        <v>1100901</v>
      </c>
      <c r="B2977" s="25">
        <v>45323</v>
      </c>
      <c r="C2977" t="s">
        <v>791</v>
      </c>
      <c r="D2977" s="6">
        <v>10.199999999999999</v>
      </c>
      <c r="E2977" s="9">
        <v>40.29</v>
      </c>
      <c r="F2977" t="str">
        <f t="shared" si="92"/>
        <v>fevereiro</v>
      </c>
      <c r="G2977">
        <f t="shared" si="93"/>
        <v>2024</v>
      </c>
    </row>
    <row r="2978" spans="1:7" x14ac:dyDescent="0.25">
      <c r="A2978">
        <v>1101000</v>
      </c>
      <c r="B2978" s="25">
        <v>45323</v>
      </c>
      <c r="C2978" t="s">
        <v>96</v>
      </c>
      <c r="D2978" s="6">
        <v>16206.83</v>
      </c>
      <c r="E2978" s="9">
        <v>54560.04</v>
      </c>
      <c r="F2978" t="str">
        <f t="shared" si="92"/>
        <v>fevereiro</v>
      </c>
      <c r="G2978">
        <f t="shared" si="93"/>
        <v>2024</v>
      </c>
    </row>
    <row r="2979" spans="1:7" x14ac:dyDescent="0.25">
      <c r="A2979">
        <v>1101001</v>
      </c>
      <c r="B2979" s="25">
        <v>45323</v>
      </c>
      <c r="C2979" t="s">
        <v>98</v>
      </c>
      <c r="D2979" s="6">
        <v>373.9</v>
      </c>
      <c r="E2979" s="9">
        <v>1525.28</v>
      </c>
      <c r="F2979" t="str">
        <f t="shared" si="92"/>
        <v>fevereiro</v>
      </c>
      <c r="G2979">
        <f t="shared" si="93"/>
        <v>2024</v>
      </c>
    </row>
    <row r="2980" spans="1:7" x14ac:dyDescent="0.25">
      <c r="A2980">
        <v>1101002</v>
      </c>
      <c r="B2980" s="25">
        <v>45323</v>
      </c>
      <c r="C2980" t="s">
        <v>687</v>
      </c>
      <c r="D2980" s="6">
        <v>1346.53</v>
      </c>
      <c r="E2980" s="9">
        <v>5527.32</v>
      </c>
      <c r="F2980" t="str">
        <f t="shared" si="92"/>
        <v>fevereiro</v>
      </c>
      <c r="G2980">
        <f t="shared" si="93"/>
        <v>2024</v>
      </c>
    </row>
    <row r="2981" spans="1:7" x14ac:dyDescent="0.25">
      <c r="A2981">
        <v>1101100</v>
      </c>
      <c r="B2981" s="25">
        <v>45323</v>
      </c>
      <c r="C2981" t="s">
        <v>100</v>
      </c>
      <c r="D2981" s="6">
        <v>32262.15</v>
      </c>
      <c r="E2981" s="9">
        <v>104024.68</v>
      </c>
      <c r="F2981" t="str">
        <f t="shared" si="92"/>
        <v>fevereiro</v>
      </c>
      <c r="G2981">
        <f t="shared" si="93"/>
        <v>2024</v>
      </c>
    </row>
    <row r="2982" spans="1:7" x14ac:dyDescent="0.25">
      <c r="A2982">
        <v>1101102</v>
      </c>
      <c r="B2982" s="25">
        <v>45323</v>
      </c>
      <c r="C2982" t="s">
        <v>742</v>
      </c>
      <c r="D2982" s="6">
        <v>1581.4</v>
      </c>
      <c r="E2982" s="9">
        <v>5755.04</v>
      </c>
      <c r="F2982" t="str">
        <f t="shared" si="92"/>
        <v>fevereiro</v>
      </c>
      <c r="G2982">
        <f t="shared" si="93"/>
        <v>2024</v>
      </c>
    </row>
    <row r="2983" spans="1:7" x14ac:dyDescent="0.25">
      <c r="A2983">
        <v>1101103</v>
      </c>
      <c r="B2983" s="25">
        <v>45323</v>
      </c>
      <c r="C2983" t="s">
        <v>350</v>
      </c>
      <c r="D2983" s="6">
        <v>845.55</v>
      </c>
      <c r="E2983" s="9">
        <v>2850.46</v>
      </c>
      <c r="F2983" t="str">
        <f t="shared" si="92"/>
        <v>fevereiro</v>
      </c>
      <c r="G2983">
        <f t="shared" si="93"/>
        <v>2024</v>
      </c>
    </row>
    <row r="2984" spans="1:7" x14ac:dyDescent="0.25">
      <c r="A2984">
        <v>1101108</v>
      </c>
      <c r="B2984" s="25">
        <v>45323</v>
      </c>
      <c r="C2984" t="s">
        <v>743</v>
      </c>
      <c r="D2984" s="6">
        <v>183.7</v>
      </c>
      <c r="E2984" s="9">
        <v>661.32</v>
      </c>
      <c r="F2984" t="str">
        <f t="shared" si="92"/>
        <v>fevereiro</v>
      </c>
      <c r="G2984">
        <f t="shared" si="93"/>
        <v>2024</v>
      </c>
    </row>
    <row r="2985" spans="1:7" x14ac:dyDescent="0.25">
      <c r="A2985">
        <v>1101300</v>
      </c>
      <c r="B2985" s="25">
        <v>45323</v>
      </c>
      <c r="C2985" t="s">
        <v>102</v>
      </c>
      <c r="D2985" s="6">
        <v>417.4</v>
      </c>
      <c r="E2985" s="9">
        <v>1457.32</v>
      </c>
      <c r="F2985" t="str">
        <f t="shared" si="92"/>
        <v>fevereiro</v>
      </c>
      <c r="G2985">
        <f t="shared" si="93"/>
        <v>2024</v>
      </c>
    </row>
    <row r="2986" spans="1:7" x14ac:dyDescent="0.25">
      <c r="A2986">
        <v>1101400</v>
      </c>
      <c r="B2986" s="25">
        <v>45323</v>
      </c>
      <c r="C2986" t="s">
        <v>104</v>
      </c>
      <c r="D2986" s="6">
        <v>16861.8</v>
      </c>
      <c r="E2986" s="9">
        <v>43859.97</v>
      </c>
      <c r="F2986" t="str">
        <f t="shared" si="92"/>
        <v>fevereiro</v>
      </c>
      <c r="G2986">
        <f t="shared" si="93"/>
        <v>2024</v>
      </c>
    </row>
    <row r="2987" spans="1:7" x14ac:dyDescent="0.25">
      <c r="A2987">
        <v>1101500</v>
      </c>
      <c r="B2987" s="25">
        <v>45323</v>
      </c>
      <c r="C2987" t="s">
        <v>106</v>
      </c>
      <c r="D2987" s="6">
        <v>838</v>
      </c>
      <c r="E2987" s="9">
        <v>2308.42</v>
      </c>
      <c r="F2987" t="str">
        <f t="shared" si="92"/>
        <v>fevereiro</v>
      </c>
      <c r="G2987">
        <f t="shared" si="93"/>
        <v>2024</v>
      </c>
    </row>
    <row r="2988" spans="1:7" x14ac:dyDescent="0.25">
      <c r="A2988">
        <v>1101600</v>
      </c>
      <c r="B2988" s="25">
        <v>45323</v>
      </c>
      <c r="C2988" t="s">
        <v>108</v>
      </c>
      <c r="D2988" s="6">
        <v>175.9</v>
      </c>
      <c r="E2988" s="9">
        <v>462.36</v>
      </c>
      <c r="F2988" t="str">
        <f t="shared" si="92"/>
        <v>fevereiro</v>
      </c>
      <c r="G2988">
        <f t="shared" si="93"/>
        <v>2024</v>
      </c>
    </row>
    <row r="2989" spans="1:7" x14ac:dyDescent="0.25">
      <c r="A2989">
        <v>1101700</v>
      </c>
      <c r="B2989" s="25">
        <v>45323</v>
      </c>
      <c r="C2989" t="s">
        <v>110</v>
      </c>
      <c r="D2989" s="6">
        <v>649.4</v>
      </c>
      <c r="E2989" s="9">
        <v>1667.2</v>
      </c>
      <c r="F2989" t="str">
        <f t="shared" si="92"/>
        <v>fevereiro</v>
      </c>
      <c r="G2989">
        <f t="shared" si="93"/>
        <v>2024</v>
      </c>
    </row>
    <row r="2990" spans="1:7" x14ac:dyDescent="0.25">
      <c r="A2990">
        <v>1101801</v>
      </c>
      <c r="B2990" s="25">
        <v>45323</v>
      </c>
      <c r="C2990" t="s">
        <v>112</v>
      </c>
      <c r="D2990" s="6">
        <v>336.3</v>
      </c>
      <c r="E2990" s="9">
        <v>872.58</v>
      </c>
      <c r="F2990" t="str">
        <f t="shared" si="92"/>
        <v>fevereiro</v>
      </c>
      <c r="G2990">
        <f t="shared" si="93"/>
        <v>2024</v>
      </c>
    </row>
    <row r="2991" spans="1:7" x14ac:dyDescent="0.25">
      <c r="A2991">
        <v>1101900</v>
      </c>
      <c r="B2991" s="25">
        <v>45323</v>
      </c>
      <c r="C2991" t="s">
        <v>114</v>
      </c>
      <c r="D2991" s="6">
        <v>3354.5</v>
      </c>
      <c r="E2991" s="9">
        <v>11045.93</v>
      </c>
      <c r="F2991" t="str">
        <f t="shared" si="92"/>
        <v>fevereiro</v>
      </c>
      <c r="G2991">
        <f t="shared" si="93"/>
        <v>2024</v>
      </c>
    </row>
    <row r="2992" spans="1:7" x14ac:dyDescent="0.25">
      <c r="A2992">
        <v>1101902</v>
      </c>
      <c r="B2992" s="25">
        <v>45323</v>
      </c>
      <c r="C2992" t="s">
        <v>351</v>
      </c>
      <c r="D2992" s="6">
        <v>1026.24</v>
      </c>
      <c r="E2992" s="9">
        <v>4099.66</v>
      </c>
      <c r="F2992" t="str">
        <f t="shared" si="92"/>
        <v>fevereiro</v>
      </c>
      <c r="G2992">
        <f t="shared" si="93"/>
        <v>2024</v>
      </c>
    </row>
    <row r="2993" spans="1:7" x14ac:dyDescent="0.25">
      <c r="A2993">
        <v>1101904</v>
      </c>
      <c r="B2993" s="25">
        <v>45323</v>
      </c>
      <c r="C2993" t="s">
        <v>765</v>
      </c>
      <c r="D2993" s="6">
        <v>-726.63</v>
      </c>
      <c r="E2993" s="9">
        <v>-3051.87</v>
      </c>
      <c r="F2993" t="str">
        <f t="shared" si="92"/>
        <v>fevereiro</v>
      </c>
      <c r="G2993">
        <f t="shared" si="93"/>
        <v>2024</v>
      </c>
    </row>
    <row r="2994" spans="1:7" x14ac:dyDescent="0.25">
      <c r="A2994">
        <v>1102000</v>
      </c>
      <c r="B2994" s="25">
        <v>45323</v>
      </c>
      <c r="C2994" t="s">
        <v>115</v>
      </c>
      <c r="D2994" s="6">
        <v>255.7</v>
      </c>
      <c r="E2994" s="9">
        <v>1083.43</v>
      </c>
      <c r="F2994" t="str">
        <f t="shared" si="92"/>
        <v>fevereiro</v>
      </c>
      <c r="G2994">
        <f t="shared" si="93"/>
        <v>2024</v>
      </c>
    </row>
    <row r="2995" spans="1:7" x14ac:dyDescent="0.25">
      <c r="A2995">
        <v>1102200</v>
      </c>
      <c r="B2995" s="25">
        <v>45323</v>
      </c>
      <c r="C2995" t="s">
        <v>117</v>
      </c>
      <c r="D2995" s="6">
        <v>25.3</v>
      </c>
      <c r="E2995" s="9">
        <v>86.78</v>
      </c>
      <c r="F2995" t="str">
        <f t="shared" si="92"/>
        <v>fevereiro</v>
      </c>
      <c r="G2995">
        <f t="shared" si="93"/>
        <v>2024</v>
      </c>
    </row>
    <row r="2996" spans="1:7" x14ac:dyDescent="0.25">
      <c r="A2996">
        <v>1102300</v>
      </c>
      <c r="B2996" s="25">
        <v>45323</v>
      </c>
      <c r="C2996" t="s">
        <v>119</v>
      </c>
      <c r="D2996" s="6">
        <v>4075.6</v>
      </c>
      <c r="E2996" s="9">
        <v>11338.27</v>
      </c>
      <c r="F2996" t="str">
        <f t="shared" si="92"/>
        <v>fevereiro</v>
      </c>
      <c r="G2996">
        <f t="shared" si="93"/>
        <v>2024</v>
      </c>
    </row>
    <row r="2997" spans="1:7" x14ac:dyDescent="0.25">
      <c r="A2997">
        <v>1103000</v>
      </c>
      <c r="B2997" s="25">
        <v>45323</v>
      </c>
      <c r="C2997" t="s">
        <v>121</v>
      </c>
      <c r="D2997" s="6">
        <v>554.41</v>
      </c>
      <c r="E2997" s="9">
        <v>1193.54</v>
      </c>
      <c r="F2997" t="str">
        <f t="shared" si="92"/>
        <v>fevereiro</v>
      </c>
      <c r="G2997">
        <f t="shared" si="93"/>
        <v>2024</v>
      </c>
    </row>
    <row r="2998" spans="1:7" x14ac:dyDescent="0.25">
      <c r="A2998">
        <v>1103001</v>
      </c>
      <c r="B2998" s="25">
        <v>45323</v>
      </c>
      <c r="C2998" t="s">
        <v>906</v>
      </c>
      <c r="D2998" s="6">
        <v>700.73</v>
      </c>
      <c r="E2998" s="9">
        <v>1440.18</v>
      </c>
      <c r="F2998" t="str">
        <f t="shared" si="92"/>
        <v>fevereiro</v>
      </c>
      <c r="G2998">
        <f t="shared" si="93"/>
        <v>2024</v>
      </c>
    </row>
    <row r="2999" spans="1:7" x14ac:dyDescent="0.25">
      <c r="A2999">
        <v>2010902</v>
      </c>
      <c r="B2999" s="25">
        <v>45323</v>
      </c>
      <c r="C2999" t="s">
        <v>907</v>
      </c>
      <c r="D2999" s="6">
        <v>50</v>
      </c>
      <c r="E2999" s="9">
        <v>45</v>
      </c>
      <c r="F2999" t="str">
        <f t="shared" si="92"/>
        <v>fevereiro</v>
      </c>
      <c r="G2999">
        <f t="shared" si="93"/>
        <v>2024</v>
      </c>
    </row>
    <row r="3000" spans="1:7" x14ac:dyDescent="0.25">
      <c r="A3000">
        <v>2010904</v>
      </c>
      <c r="B3000" s="25">
        <v>45323</v>
      </c>
      <c r="C3000" t="s">
        <v>633</v>
      </c>
      <c r="D3000" s="6">
        <v>200</v>
      </c>
      <c r="E3000" s="9">
        <v>230</v>
      </c>
      <c r="F3000" t="str">
        <f t="shared" si="92"/>
        <v>fevereiro</v>
      </c>
      <c r="G3000">
        <f t="shared" si="93"/>
        <v>2024</v>
      </c>
    </row>
    <row r="3001" spans="1:7" x14ac:dyDescent="0.25">
      <c r="A3001">
        <v>2010905</v>
      </c>
      <c r="B3001" s="25">
        <v>45323</v>
      </c>
      <c r="C3001" t="s">
        <v>544</v>
      </c>
      <c r="D3001" s="6">
        <v>928.93</v>
      </c>
      <c r="E3001" s="9">
        <v>831.48</v>
      </c>
      <c r="F3001" t="str">
        <f t="shared" si="92"/>
        <v>fevereiro</v>
      </c>
      <c r="G3001">
        <f t="shared" si="93"/>
        <v>2024</v>
      </c>
    </row>
    <row r="3002" spans="1:7" x14ac:dyDescent="0.25">
      <c r="A3002">
        <v>2011700</v>
      </c>
      <c r="B3002" s="25">
        <v>45323</v>
      </c>
      <c r="C3002" t="s">
        <v>129</v>
      </c>
      <c r="D3002" s="6">
        <v>521.79999999999995</v>
      </c>
      <c r="E3002" s="9">
        <v>1218.24</v>
      </c>
      <c r="F3002" t="str">
        <f t="shared" si="92"/>
        <v>fevereiro</v>
      </c>
      <c r="G3002">
        <f t="shared" si="93"/>
        <v>2024</v>
      </c>
    </row>
    <row r="3003" spans="1:7" x14ac:dyDescent="0.25">
      <c r="A3003">
        <v>2090001</v>
      </c>
      <c r="B3003" s="25">
        <v>45323</v>
      </c>
      <c r="C3003" t="s">
        <v>908</v>
      </c>
      <c r="D3003" s="6">
        <v>7.21</v>
      </c>
      <c r="E3003" s="9">
        <v>37.49</v>
      </c>
      <c r="F3003" t="str">
        <f t="shared" si="92"/>
        <v>fevereiro</v>
      </c>
      <c r="G3003">
        <f t="shared" si="93"/>
        <v>2024</v>
      </c>
    </row>
    <row r="3004" spans="1:7" x14ac:dyDescent="0.25">
      <c r="A3004">
        <v>2090002</v>
      </c>
      <c r="B3004" s="25">
        <v>45323</v>
      </c>
      <c r="C3004" t="s">
        <v>451</v>
      </c>
      <c r="D3004" s="6">
        <v>231.32</v>
      </c>
      <c r="E3004" s="9">
        <v>1199.69</v>
      </c>
      <c r="F3004" t="str">
        <f t="shared" si="92"/>
        <v>fevereiro</v>
      </c>
      <c r="G3004">
        <f t="shared" si="93"/>
        <v>2024</v>
      </c>
    </row>
    <row r="3005" spans="1:7" x14ac:dyDescent="0.25">
      <c r="A3005">
        <v>2101100</v>
      </c>
      <c r="B3005" s="25">
        <v>45323</v>
      </c>
      <c r="C3005" t="s">
        <v>909</v>
      </c>
      <c r="D3005" s="6">
        <v>1048</v>
      </c>
      <c r="E3005" s="9">
        <v>3877.6</v>
      </c>
      <c r="F3005" t="str">
        <f t="shared" si="92"/>
        <v>fevereiro</v>
      </c>
      <c r="G3005">
        <f t="shared" si="93"/>
        <v>2024</v>
      </c>
    </row>
    <row r="3006" spans="1:7" x14ac:dyDescent="0.25">
      <c r="A3006">
        <v>3020103</v>
      </c>
      <c r="B3006" s="25">
        <v>45323</v>
      </c>
      <c r="C3006" t="s">
        <v>131</v>
      </c>
      <c r="D3006" s="6">
        <v>4636.3</v>
      </c>
      <c r="E3006" s="9">
        <v>15439.01</v>
      </c>
      <c r="F3006" t="str">
        <f t="shared" si="92"/>
        <v>fevereiro</v>
      </c>
      <c r="G3006">
        <f t="shared" si="93"/>
        <v>2024</v>
      </c>
    </row>
    <row r="3007" spans="1:7" x14ac:dyDescent="0.25">
      <c r="A3007">
        <v>3020212</v>
      </c>
      <c r="B3007" s="25">
        <v>45323</v>
      </c>
      <c r="C3007" t="s">
        <v>133</v>
      </c>
      <c r="D3007" s="6">
        <v>1356.83</v>
      </c>
      <c r="E3007" s="9">
        <v>5083.71</v>
      </c>
      <c r="F3007" t="str">
        <f t="shared" si="92"/>
        <v>fevereiro</v>
      </c>
      <c r="G3007">
        <f t="shared" si="93"/>
        <v>2024</v>
      </c>
    </row>
    <row r="3008" spans="1:7" x14ac:dyDescent="0.25">
      <c r="A3008">
        <v>3020214</v>
      </c>
      <c r="B3008" s="25">
        <v>45323</v>
      </c>
      <c r="C3008" t="s">
        <v>910</v>
      </c>
      <c r="D3008" s="6">
        <v>570.66999999999996</v>
      </c>
      <c r="E3008" s="9">
        <v>2041.23</v>
      </c>
      <c r="F3008" t="str">
        <f t="shared" si="92"/>
        <v>fevereiro</v>
      </c>
      <c r="G3008">
        <f t="shared" si="93"/>
        <v>2024</v>
      </c>
    </row>
    <row r="3009" spans="1:7" x14ac:dyDescent="0.25">
      <c r="A3009">
        <v>3020315</v>
      </c>
      <c r="B3009" s="25">
        <v>45323</v>
      </c>
      <c r="C3009" t="s">
        <v>911</v>
      </c>
      <c r="D3009" s="6">
        <v>2246.2199999999998</v>
      </c>
      <c r="E3009" s="9">
        <v>8003.25</v>
      </c>
      <c r="F3009" t="str">
        <f t="shared" si="92"/>
        <v>fevereiro</v>
      </c>
      <c r="G3009">
        <f t="shared" si="93"/>
        <v>2024</v>
      </c>
    </row>
    <row r="3010" spans="1:7" x14ac:dyDescent="0.25">
      <c r="A3010">
        <v>3020316</v>
      </c>
      <c r="B3010" s="25">
        <v>45323</v>
      </c>
      <c r="C3010" t="s">
        <v>139</v>
      </c>
      <c r="D3010" s="6">
        <v>178.07</v>
      </c>
      <c r="E3010" s="9">
        <v>568.23</v>
      </c>
      <c r="F3010" t="str">
        <f t="shared" si="92"/>
        <v>fevereiro</v>
      </c>
      <c r="G3010">
        <f t="shared" si="93"/>
        <v>2024</v>
      </c>
    </row>
    <row r="3011" spans="1:7" x14ac:dyDescent="0.25">
      <c r="A3011">
        <v>3020317</v>
      </c>
      <c r="B3011" s="25">
        <v>45323</v>
      </c>
      <c r="C3011" t="s">
        <v>912</v>
      </c>
      <c r="D3011" s="6">
        <v>177.86</v>
      </c>
      <c r="E3011" s="9">
        <v>622.51</v>
      </c>
      <c r="F3011" t="str">
        <f t="shared" ref="F3011:F3074" si="94">TEXT(B3011,"mmmm")</f>
        <v>fevereiro</v>
      </c>
      <c r="G3011">
        <f t="shared" ref="G3011:G3074" si="95">YEAR(B3011)</f>
        <v>2024</v>
      </c>
    </row>
    <row r="3012" spans="1:7" x14ac:dyDescent="0.25">
      <c r="A3012">
        <v>3020318</v>
      </c>
      <c r="B3012" s="25">
        <v>45323</v>
      </c>
      <c r="C3012" t="s">
        <v>913</v>
      </c>
      <c r="D3012" s="6">
        <v>156.86000000000001</v>
      </c>
      <c r="E3012" s="9">
        <v>549.01</v>
      </c>
      <c r="F3012" t="str">
        <f t="shared" si="94"/>
        <v>fevereiro</v>
      </c>
      <c r="G3012">
        <f t="shared" si="95"/>
        <v>2024</v>
      </c>
    </row>
    <row r="3013" spans="1:7" x14ac:dyDescent="0.25">
      <c r="A3013">
        <v>3020319</v>
      </c>
      <c r="B3013" s="25">
        <v>45323</v>
      </c>
      <c r="C3013" t="s">
        <v>914</v>
      </c>
      <c r="D3013" s="6">
        <v>91.41</v>
      </c>
      <c r="E3013" s="9">
        <v>319.94</v>
      </c>
      <c r="F3013" t="str">
        <f t="shared" si="94"/>
        <v>fevereiro</v>
      </c>
      <c r="G3013">
        <f t="shared" si="95"/>
        <v>2024</v>
      </c>
    </row>
    <row r="3014" spans="1:7" x14ac:dyDescent="0.25">
      <c r="A3014">
        <v>3020402</v>
      </c>
      <c r="B3014" s="25">
        <v>45323</v>
      </c>
      <c r="C3014" t="s">
        <v>141</v>
      </c>
      <c r="D3014" s="6">
        <v>2285.5100000000002</v>
      </c>
      <c r="E3014" s="9">
        <v>7909.67</v>
      </c>
      <c r="F3014" t="str">
        <f t="shared" si="94"/>
        <v>fevereiro</v>
      </c>
      <c r="G3014">
        <f t="shared" si="95"/>
        <v>2024</v>
      </c>
    </row>
    <row r="3015" spans="1:7" x14ac:dyDescent="0.25">
      <c r="A3015">
        <v>3020504</v>
      </c>
      <c r="B3015" s="25">
        <v>45323</v>
      </c>
      <c r="C3015" t="s">
        <v>915</v>
      </c>
      <c r="D3015" s="6">
        <v>330.39</v>
      </c>
      <c r="E3015" s="9">
        <v>1243.96</v>
      </c>
      <c r="F3015" t="str">
        <f t="shared" si="94"/>
        <v>fevereiro</v>
      </c>
      <c r="G3015">
        <f t="shared" si="95"/>
        <v>2024</v>
      </c>
    </row>
    <row r="3016" spans="1:7" x14ac:dyDescent="0.25">
      <c r="A3016">
        <v>3020622</v>
      </c>
      <c r="B3016" s="25">
        <v>45323</v>
      </c>
      <c r="C3016" t="s">
        <v>145</v>
      </c>
      <c r="D3016" s="6">
        <v>6754.86</v>
      </c>
      <c r="E3016" s="9">
        <v>24975.279999999999</v>
      </c>
      <c r="F3016" t="str">
        <f t="shared" si="94"/>
        <v>fevereiro</v>
      </c>
      <c r="G3016">
        <f t="shared" si="95"/>
        <v>2024</v>
      </c>
    </row>
    <row r="3017" spans="1:7" x14ac:dyDescent="0.25">
      <c r="A3017">
        <v>3020623</v>
      </c>
      <c r="B3017" s="25">
        <v>45323</v>
      </c>
      <c r="C3017" t="s">
        <v>916</v>
      </c>
      <c r="D3017" s="6">
        <v>777.44</v>
      </c>
      <c r="E3017" s="9">
        <v>2990.37</v>
      </c>
      <c r="F3017" t="str">
        <f t="shared" si="94"/>
        <v>fevereiro</v>
      </c>
      <c r="G3017">
        <f t="shared" si="95"/>
        <v>2024</v>
      </c>
    </row>
    <row r="3018" spans="1:7" x14ac:dyDescent="0.25">
      <c r="A3018">
        <v>3020725</v>
      </c>
      <c r="B3018" s="25">
        <v>45323</v>
      </c>
      <c r="C3018" t="s">
        <v>917</v>
      </c>
      <c r="D3018" s="6">
        <v>280.70999999999998</v>
      </c>
      <c r="E3018" s="9">
        <v>1063.08</v>
      </c>
      <c r="F3018" t="str">
        <f t="shared" si="94"/>
        <v>fevereiro</v>
      </c>
      <c r="G3018">
        <f t="shared" si="95"/>
        <v>2024</v>
      </c>
    </row>
    <row r="3019" spans="1:7" x14ac:dyDescent="0.25">
      <c r="A3019">
        <v>3020823</v>
      </c>
      <c r="B3019" s="25">
        <v>45323</v>
      </c>
      <c r="C3019" t="s">
        <v>151</v>
      </c>
      <c r="D3019" s="6">
        <v>1866.1</v>
      </c>
      <c r="E3019" s="9">
        <v>7045.22</v>
      </c>
      <c r="F3019" t="str">
        <f t="shared" si="94"/>
        <v>fevereiro</v>
      </c>
      <c r="G3019">
        <f t="shared" si="95"/>
        <v>2024</v>
      </c>
    </row>
    <row r="3020" spans="1:7" x14ac:dyDescent="0.25">
      <c r="A3020">
        <v>3020824</v>
      </c>
      <c r="B3020" s="25">
        <v>45323</v>
      </c>
      <c r="C3020" t="s">
        <v>153</v>
      </c>
      <c r="D3020" s="6">
        <v>1764.76</v>
      </c>
      <c r="E3020" s="9">
        <v>6475.54</v>
      </c>
      <c r="F3020" t="str">
        <f t="shared" si="94"/>
        <v>fevereiro</v>
      </c>
      <c r="G3020">
        <f t="shared" si="95"/>
        <v>2024</v>
      </c>
    </row>
    <row r="3021" spans="1:7" x14ac:dyDescent="0.25">
      <c r="A3021">
        <v>3020825</v>
      </c>
      <c r="B3021" s="25">
        <v>45323</v>
      </c>
      <c r="C3021" t="s">
        <v>848</v>
      </c>
      <c r="D3021" s="6">
        <v>750.47</v>
      </c>
      <c r="E3021" s="9">
        <v>3076.91</v>
      </c>
      <c r="F3021" t="str">
        <f t="shared" si="94"/>
        <v>fevereiro</v>
      </c>
      <c r="G3021">
        <f t="shared" si="95"/>
        <v>2024</v>
      </c>
    </row>
    <row r="3022" spans="1:7" x14ac:dyDescent="0.25">
      <c r="A3022">
        <v>3020924</v>
      </c>
      <c r="B3022" s="25">
        <v>45323</v>
      </c>
      <c r="C3022" t="s">
        <v>155</v>
      </c>
      <c r="D3022" s="6">
        <v>1028.06</v>
      </c>
      <c r="E3022" s="9">
        <v>3864.14</v>
      </c>
      <c r="F3022" t="str">
        <f t="shared" si="94"/>
        <v>fevereiro</v>
      </c>
      <c r="G3022">
        <f t="shared" si="95"/>
        <v>2024</v>
      </c>
    </row>
    <row r="3023" spans="1:7" x14ac:dyDescent="0.25">
      <c r="A3023">
        <v>3020925</v>
      </c>
      <c r="B3023" s="25">
        <v>45323</v>
      </c>
      <c r="C3023" t="s">
        <v>157</v>
      </c>
      <c r="D3023" s="6">
        <v>1320.84</v>
      </c>
      <c r="E3023" s="9">
        <v>4940.12</v>
      </c>
      <c r="F3023" t="str">
        <f t="shared" si="94"/>
        <v>fevereiro</v>
      </c>
      <c r="G3023">
        <f t="shared" si="95"/>
        <v>2024</v>
      </c>
    </row>
    <row r="3024" spans="1:7" x14ac:dyDescent="0.25">
      <c r="A3024">
        <v>3021436</v>
      </c>
      <c r="B3024" s="25">
        <v>45323</v>
      </c>
      <c r="C3024" t="s">
        <v>546</v>
      </c>
      <c r="D3024" s="6">
        <v>326.8</v>
      </c>
      <c r="E3024" s="9">
        <v>1058.3900000000001</v>
      </c>
      <c r="F3024" t="str">
        <f t="shared" si="94"/>
        <v>fevereiro</v>
      </c>
      <c r="G3024">
        <f t="shared" si="95"/>
        <v>2024</v>
      </c>
    </row>
    <row r="3025" spans="1:7" x14ac:dyDescent="0.25">
      <c r="A3025">
        <v>3021538</v>
      </c>
      <c r="B3025" s="25">
        <v>45323</v>
      </c>
      <c r="C3025" t="s">
        <v>918</v>
      </c>
      <c r="D3025" s="6">
        <v>182.55</v>
      </c>
      <c r="E3025" s="9">
        <v>535.19000000000005</v>
      </c>
      <c r="F3025" t="str">
        <f t="shared" si="94"/>
        <v>fevereiro</v>
      </c>
      <c r="G3025">
        <f t="shared" si="95"/>
        <v>2024</v>
      </c>
    </row>
    <row r="3026" spans="1:7" x14ac:dyDescent="0.25">
      <c r="A3026">
        <v>3021639</v>
      </c>
      <c r="B3026" s="25">
        <v>45323</v>
      </c>
      <c r="C3026" t="s">
        <v>919</v>
      </c>
      <c r="D3026" s="6">
        <v>16.600000000000001</v>
      </c>
      <c r="E3026" s="9">
        <v>51.46</v>
      </c>
      <c r="F3026" t="str">
        <f t="shared" si="94"/>
        <v>fevereiro</v>
      </c>
      <c r="G3026">
        <f t="shared" si="95"/>
        <v>2024</v>
      </c>
    </row>
    <row r="3027" spans="1:7" x14ac:dyDescent="0.25">
      <c r="A3027">
        <v>3021740</v>
      </c>
      <c r="B3027" s="25">
        <v>45323</v>
      </c>
      <c r="C3027" t="s">
        <v>920</v>
      </c>
      <c r="D3027" s="6">
        <v>74.62</v>
      </c>
      <c r="E3027" s="9">
        <v>223.59</v>
      </c>
      <c r="F3027" t="str">
        <f t="shared" si="94"/>
        <v>fevereiro</v>
      </c>
      <c r="G3027">
        <f t="shared" si="95"/>
        <v>2024</v>
      </c>
    </row>
    <row r="3028" spans="1:7" x14ac:dyDescent="0.25">
      <c r="A3028">
        <v>3021760</v>
      </c>
      <c r="B3028" s="25">
        <v>45323</v>
      </c>
      <c r="C3028" t="s">
        <v>167</v>
      </c>
      <c r="D3028" s="6">
        <v>9576.6299999999992</v>
      </c>
      <c r="E3028" s="9">
        <v>18794.61</v>
      </c>
      <c r="F3028" t="str">
        <f t="shared" si="94"/>
        <v>fevereiro</v>
      </c>
      <c r="G3028">
        <f t="shared" si="95"/>
        <v>2024</v>
      </c>
    </row>
    <row r="3029" spans="1:7" x14ac:dyDescent="0.25">
      <c r="A3029">
        <v>3021811</v>
      </c>
      <c r="B3029" s="25">
        <v>45323</v>
      </c>
      <c r="C3029" t="s">
        <v>169</v>
      </c>
      <c r="D3029" s="6">
        <v>389.2</v>
      </c>
      <c r="E3029" s="9">
        <v>861.04</v>
      </c>
      <c r="F3029" t="str">
        <f t="shared" si="94"/>
        <v>fevereiro</v>
      </c>
      <c r="G3029">
        <f t="shared" si="95"/>
        <v>2024</v>
      </c>
    </row>
    <row r="3030" spans="1:7" x14ac:dyDescent="0.25">
      <c r="A3030">
        <v>3021812</v>
      </c>
      <c r="B3030" s="25">
        <v>45323</v>
      </c>
      <c r="C3030" t="s">
        <v>921</v>
      </c>
      <c r="D3030" s="6">
        <v>2757.59</v>
      </c>
      <c r="E3030" s="9">
        <v>5250.41</v>
      </c>
      <c r="F3030" t="str">
        <f t="shared" si="94"/>
        <v>fevereiro</v>
      </c>
      <c r="G3030">
        <f t="shared" si="95"/>
        <v>2024</v>
      </c>
    </row>
    <row r="3031" spans="1:7" x14ac:dyDescent="0.25">
      <c r="A3031">
        <v>3022100</v>
      </c>
      <c r="B3031" s="25">
        <v>45323</v>
      </c>
      <c r="C3031" t="s">
        <v>922</v>
      </c>
      <c r="D3031" s="6">
        <v>48.93</v>
      </c>
      <c r="E3031" s="9">
        <v>191.85</v>
      </c>
      <c r="F3031" t="str">
        <f t="shared" si="94"/>
        <v>fevereiro</v>
      </c>
      <c r="G3031">
        <f t="shared" si="95"/>
        <v>2024</v>
      </c>
    </row>
    <row r="3032" spans="1:7" x14ac:dyDescent="0.25">
      <c r="A3032">
        <v>3022208</v>
      </c>
      <c r="B3032" s="25">
        <v>45323</v>
      </c>
      <c r="C3032" t="s">
        <v>307</v>
      </c>
      <c r="D3032" s="6">
        <v>52.45</v>
      </c>
      <c r="E3032" s="9">
        <v>202.48</v>
      </c>
      <c r="F3032" t="str">
        <f t="shared" si="94"/>
        <v>fevereiro</v>
      </c>
      <c r="G3032">
        <f t="shared" si="95"/>
        <v>2024</v>
      </c>
    </row>
    <row r="3033" spans="1:7" x14ac:dyDescent="0.25">
      <c r="A3033">
        <v>3022311</v>
      </c>
      <c r="B3033" s="25">
        <v>45323</v>
      </c>
      <c r="C3033" t="s">
        <v>176</v>
      </c>
      <c r="D3033" s="6">
        <v>1812.38</v>
      </c>
      <c r="E3033" s="9">
        <v>4370.3999999999996</v>
      </c>
      <c r="F3033" t="str">
        <f t="shared" si="94"/>
        <v>fevereiro</v>
      </c>
      <c r="G3033">
        <f t="shared" si="95"/>
        <v>2024</v>
      </c>
    </row>
    <row r="3034" spans="1:7" x14ac:dyDescent="0.25">
      <c r="A3034">
        <v>3022411</v>
      </c>
      <c r="B3034" s="25">
        <v>45323</v>
      </c>
      <c r="C3034" t="s">
        <v>178</v>
      </c>
      <c r="D3034" s="6">
        <v>84.88</v>
      </c>
      <c r="E3034" s="9">
        <v>234.06</v>
      </c>
      <c r="F3034" t="str">
        <f t="shared" si="94"/>
        <v>fevereiro</v>
      </c>
      <c r="G3034">
        <f t="shared" si="95"/>
        <v>2024</v>
      </c>
    </row>
    <row r="3035" spans="1:7" x14ac:dyDescent="0.25">
      <c r="A3035">
        <v>3022511</v>
      </c>
      <c r="B3035" s="25">
        <v>45323</v>
      </c>
      <c r="C3035" t="s">
        <v>180</v>
      </c>
      <c r="D3035" s="6">
        <v>5.19</v>
      </c>
      <c r="E3035" s="9">
        <v>13.61</v>
      </c>
      <c r="F3035" t="str">
        <f t="shared" si="94"/>
        <v>fevereiro</v>
      </c>
      <c r="G3035">
        <f t="shared" si="95"/>
        <v>2024</v>
      </c>
    </row>
    <row r="3036" spans="1:7" x14ac:dyDescent="0.25">
      <c r="A3036">
        <v>3022601</v>
      </c>
      <c r="B3036" s="25">
        <v>45323</v>
      </c>
      <c r="C3036" t="s">
        <v>182</v>
      </c>
      <c r="D3036" s="6">
        <v>317.5</v>
      </c>
      <c r="E3036" s="9">
        <v>1221.6300000000001</v>
      </c>
      <c r="F3036" t="str">
        <f t="shared" si="94"/>
        <v>fevereiro</v>
      </c>
      <c r="G3036">
        <f t="shared" si="95"/>
        <v>2024</v>
      </c>
    </row>
    <row r="3037" spans="1:7" x14ac:dyDescent="0.25">
      <c r="A3037">
        <v>3022703</v>
      </c>
      <c r="B3037" s="25">
        <v>45323</v>
      </c>
      <c r="C3037" t="s">
        <v>309</v>
      </c>
      <c r="D3037" s="6">
        <v>606</v>
      </c>
      <c r="E3037" s="9">
        <v>1675.25</v>
      </c>
      <c r="F3037" t="str">
        <f t="shared" si="94"/>
        <v>fevereiro</v>
      </c>
      <c r="G3037">
        <f t="shared" si="95"/>
        <v>2024</v>
      </c>
    </row>
    <row r="3038" spans="1:7" x14ac:dyDescent="0.25">
      <c r="A3038">
        <v>3022805</v>
      </c>
      <c r="B3038" s="25">
        <v>45323</v>
      </c>
      <c r="C3038" t="s">
        <v>186</v>
      </c>
      <c r="D3038" s="6">
        <v>1890</v>
      </c>
      <c r="E3038" s="9">
        <v>3979.15</v>
      </c>
      <c r="F3038" t="str">
        <f t="shared" si="94"/>
        <v>fevereiro</v>
      </c>
      <c r="G3038">
        <f t="shared" si="95"/>
        <v>2024</v>
      </c>
    </row>
    <row r="3039" spans="1:7" x14ac:dyDescent="0.25">
      <c r="A3039">
        <v>3022906</v>
      </c>
      <c r="B3039" s="25">
        <v>45323</v>
      </c>
      <c r="C3039" t="s">
        <v>188</v>
      </c>
      <c r="D3039" s="6">
        <v>2720</v>
      </c>
      <c r="E3039" s="9">
        <v>5526.33</v>
      </c>
      <c r="F3039" t="str">
        <f t="shared" si="94"/>
        <v>fevereiro</v>
      </c>
      <c r="G3039">
        <f t="shared" si="95"/>
        <v>2024</v>
      </c>
    </row>
    <row r="3040" spans="1:7" x14ac:dyDescent="0.25">
      <c r="A3040">
        <v>3023007</v>
      </c>
      <c r="B3040" s="25">
        <v>45323</v>
      </c>
      <c r="C3040" t="s">
        <v>190</v>
      </c>
      <c r="D3040" s="6">
        <v>1280</v>
      </c>
      <c r="E3040" s="9">
        <v>2622.1</v>
      </c>
      <c r="F3040" t="str">
        <f t="shared" si="94"/>
        <v>fevereiro</v>
      </c>
      <c r="G3040">
        <f t="shared" si="95"/>
        <v>2024</v>
      </c>
    </row>
    <row r="3041" spans="1:7" x14ac:dyDescent="0.25">
      <c r="A3041">
        <v>3024001</v>
      </c>
      <c r="B3041" s="25">
        <v>45323</v>
      </c>
      <c r="C3041" t="s">
        <v>192</v>
      </c>
      <c r="D3041" s="6">
        <v>1433.5</v>
      </c>
      <c r="E3041" s="9">
        <v>5450.79</v>
      </c>
      <c r="F3041" t="str">
        <f t="shared" si="94"/>
        <v>fevereiro</v>
      </c>
      <c r="G3041">
        <f t="shared" si="95"/>
        <v>2024</v>
      </c>
    </row>
    <row r="3042" spans="1:7" x14ac:dyDescent="0.25">
      <c r="A3042">
        <v>3024003</v>
      </c>
      <c r="B3042" s="25">
        <v>45323</v>
      </c>
      <c r="C3042" t="s">
        <v>196</v>
      </c>
      <c r="D3042" s="6">
        <v>335.34</v>
      </c>
      <c r="E3042" s="9">
        <v>947.85</v>
      </c>
      <c r="F3042" t="str">
        <f t="shared" si="94"/>
        <v>fevereiro</v>
      </c>
      <c r="G3042">
        <f t="shared" si="95"/>
        <v>2024</v>
      </c>
    </row>
    <row r="3043" spans="1:7" x14ac:dyDescent="0.25">
      <c r="A3043">
        <v>3024004</v>
      </c>
      <c r="B3043" s="25">
        <v>45323</v>
      </c>
      <c r="C3043" t="s">
        <v>198</v>
      </c>
      <c r="D3043" s="6">
        <v>1547.6</v>
      </c>
      <c r="E3043" s="9">
        <v>1585.6</v>
      </c>
      <c r="F3043" t="str">
        <f t="shared" si="94"/>
        <v>fevereiro</v>
      </c>
      <c r="G3043">
        <f t="shared" si="95"/>
        <v>2024</v>
      </c>
    </row>
    <row r="3044" spans="1:7" x14ac:dyDescent="0.25">
      <c r="A3044">
        <v>4030100</v>
      </c>
      <c r="B3044" s="25">
        <v>45323</v>
      </c>
      <c r="C3044" t="s">
        <v>200</v>
      </c>
      <c r="D3044" s="6">
        <v>384.86</v>
      </c>
      <c r="E3044" s="9">
        <v>2395.41</v>
      </c>
      <c r="F3044" t="str">
        <f t="shared" si="94"/>
        <v>fevereiro</v>
      </c>
      <c r="G3044">
        <f t="shared" si="95"/>
        <v>2024</v>
      </c>
    </row>
    <row r="3045" spans="1:7" x14ac:dyDescent="0.25">
      <c r="A3045">
        <v>4030211</v>
      </c>
      <c r="B3045" s="25">
        <v>45323</v>
      </c>
      <c r="C3045" t="s">
        <v>202</v>
      </c>
      <c r="D3045" s="6">
        <v>636.88</v>
      </c>
      <c r="E3045" s="9">
        <v>3755.03</v>
      </c>
      <c r="F3045" t="str">
        <f t="shared" si="94"/>
        <v>fevereiro</v>
      </c>
      <c r="G3045">
        <f t="shared" si="95"/>
        <v>2024</v>
      </c>
    </row>
    <row r="3046" spans="1:7" x14ac:dyDescent="0.25">
      <c r="A3046">
        <v>4030311</v>
      </c>
      <c r="B3046" s="25">
        <v>45323</v>
      </c>
      <c r="C3046" t="s">
        <v>311</v>
      </c>
      <c r="D3046" s="6">
        <v>516.42999999999995</v>
      </c>
      <c r="E3046" s="9">
        <v>3375.67</v>
      </c>
      <c r="F3046" t="str">
        <f t="shared" si="94"/>
        <v>fevereiro</v>
      </c>
      <c r="G3046">
        <f t="shared" si="95"/>
        <v>2024</v>
      </c>
    </row>
    <row r="3047" spans="1:7" x14ac:dyDescent="0.25">
      <c r="A3047">
        <v>4030401</v>
      </c>
      <c r="B3047" s="25">
        <v>45323</v>
      </c>
      <c r="C3047" t="s">
        <v>923</v>
      </c>
      <c r="D3047" s="6">
        <v>305.93</v>
      </c>
      <c r="E3047" s="9">
        <v>1511.84</v>
      </c>
      <c r="F3047" t="str">
        <f t="shared" si="94"/>
        <v>fevereiro</v>
      </c>
      <c r="G3047">
        <f t="shared" si="95"/>
        <v>2024</v>
      </c>
    </row>
    <row r="3048" spans="1:7" x14ac:dyDescent="0.25">
      <c r="A3048">
        <v>4030532</v>
      </c>
      <c r="B3048" s="25">
        <v>45323</v>
      </c>
      <c r="C3048" t="s">
        <v>924</v>
      </c>
      <c r="D3048" s="6">
        <v>302.33999999999997</v>
      </c>
      <c r="E3048" s="9">
        <v>1503.52</v>
      </c>
      <c r="F3048" t="str">
        <f t="shared" si="94"/>
        <v>fevereiro</v>
      </c>
      <c r="G3048">
        <f t="shared" si="95"/>
        <v>2024</v>
      </c>
    </row>
    <row r="3049" spans="1:7" x14ac:dyDescent="0.25">
      <c r="A3049">
        <v>4030600</v>
      </c>
      <c r="B3049" s="25">
        <v>45323</v>
      </c>
      <c r="C3049" t="s">
        <v>212</v>
      </c>
      <c r="D3049" s="6">
        <v>1187.83</v>
      </c>
      <c r="E3049" s="9">
        <v>3803.63</v>
      </c>
      <c r="F3049" t="str">
        <f t="shared" si="94"/>
        <v>fevereiro</v>
      </c>
      <c r="G3049">
        <f t="shared" si="95"/>
        <v>2024</v>
      </c>
    </row>
    <row r="3050" spans="1:7" x14ac:dyDescent="0.25">
      <c r="A3050">
        <v>4030711</v>
      </c>
      <c r="B3050" s="25">
        <v>45323</v>
      </c>
      <c r="C3050" t="s">
        <v>214</v>
      </c>
      <c r="D3050" s="6">
        <v>3651.24</v>
      </c>
      <c r="E3050" s="9">
        <v>11702.5</v>
      </c>
      <c r="F3050" t="str">
        <f t="shared" si="94"/>
        <v>fevereiro</v>
      </c>
      <c r="G3050">
        <f t="shared" si="95"/>
        <v>2024</v>
      </c>
    </row>
    <row r="3051" spans="1:7" x14ac:dyDescent="0.25">
      <c r="A3051">
        <v>4030811</v>
      </c>
      <c r="B3051" s="25">
        <v>45323</v>
      </c>
      <c r="C3051" t="s">
        <v>216</v>
      </c>
      <c r="D3051" s="6">
        <v>1326.12</v>
      </c>
      <c r="E3051" s="9">
        <v>4206.6899999999996</v>
      </c>
      <c r="F3051" t="str">
        <f t="shared" si="94"/>
        <v>fevereiro</v>
      </c>
      <c r="G3051">
        <f t="shared" si="95"/>
        <v>2024</v>
      </c>
    </row>
    <row r="3052" spans="1:7" x14ac:dyDescent="0.25">
      <c r="A3052">
        <v>4030813</v>
      </c>
      <c r="B3052" s="25">
        <v>45323</v>
      </c>
      <c r="C3052" t="s">
        <v>218</v>
      </c>
      <c r="D3052" s="6">
        <v>424.67</v>
      </c>
      <c r="E3052" s="9">
        <v>1180.5899999999999</v>
      </c>
      <c r="F3052" t="str">
        <f t="shared" si="94"/>
        <v>fevereiro</v>
      </c>
      <c r="G3052">
        <f t="shared" si="95"/>
        <v>2024</v>
      </c>
    </row>
    <row r="3053" spans="1:7" x14ac:dyDescent="0.25">
      <c r="A3053">
        <v>4030900</v>
      </c>
      <c r="B3053" s="25">
        <v>45323</v>
      </c>
      <c r="C3053" t="s">
        <v>220</v>
      </c>
      <c r="D3053" s="6">
        <v>5616.32</v>
      </c>
      <c r="E3053" s="9">
        <v>16883.16</v>
      </c>
      <c r="F3053" t="str">
        <f t="shared" si="94"/>
        <v>fevereiro</v>
      </c>
      <c r="G3053">
        <f t="shared" si="95"/>
        <v>2024</v>
      </c>
    </row>
    <row r="3054" spans="1:7" x14ac:dyDescent="0.25">
      <c r="A3054">
        <v>4030910</v>
      </c>
      <c r="B3054" s="25">
        <v>45323</v>
      </c>
      <c r="C3054" t="s">
        <v>222</v>
      </c>
      <c r="D3054" s="6">
        <v>86.93</v>
      </c>
      <c r="E3054" s="9">
        <v>277.17</v>
      </c>
      <c r="F3054" t="str">
        <f t="shared" si="94"/>
        <v>fevereiro</v>
      </c>
      <c r="G3054">
        <f t="shared" si="95"/>
        <v>2024</v>
      </c>
    </row>
    <row r="3055" spans="1:7" x14ac:dyDescent="0.25">
      <c r="A3055">
        <v>4031012</v>
      </c>
      <c r="B3055" s="25">
        <v>45323</v>
      </c>
      <c r="C3055" t="s">
        <v>925</v>
      </c>
      <c r="D3055" s="6">
        <v>1291.57</v>
      </c>
      <c r="E3055" s="9">
        <v>4032.58</v>
      </c>
      <c r="F3055" t="str">
        <f t="shared" si="94"/>
        <v>fevereiro</v>
      </c>
      <c r="G3055">
        <f t="shared" si="95"/>
        <v>2024</v>
      </c>
    </row>
    <row r="3056" spans="1:7" x14ac:dyDescent="0.25">
      <c r="A3056">
        <v>4031017</v>
      </c>
      <c r="B3056" s="25">
        <v>45323</v>
      </c>
      <c r="C3056" t="s">
        <v>926</v>
      </c>
      <c r="D3056" s="6">
        <v>344</v>
      </c>
      <c r="E3056" s="9">
        <v>237.72</v>
      </c>
      <c r="F3056" t="str">
        <f t="shared" si="94"/>
        <v>fevereiro</v>
      </c>
      <c r="G3056">
        <f t="shared" si="95"/>
        <v>2024</v>
      </c>
    </row>
    <row r="3057" spans="1:7" x14ac:dyDescent="0.25">
      <c r="A3057">
        <v>4031019</v>
      </c>
      <c r="B3057" s="25">
        <v>45323</v>
      </c>
      <c r="C3057" t="s">
        <v>226</v>
      </c>
      <c r="D3057" s="6">
        <v>1889</v>
      </c>
      <c r="E3057" s="9">
        <v>1208.96</v>
      </c>
      <c r="F3057" t="str">
        <f t="shared" si="94"/>
        <v>fevereiro</v>
      </c>
      <c r="G3057">
        <f t="shared" si="95"/>
        <v>2024</v>
      </c>
    </row>
    <row r="3058" spans="1:7" x14ac:dyDescent="0.25">
      <c r="A3058">
        <v>4031102</v>
      </c>
      <c r="B3058" s="25">
        <v>45323</v>
      </c>
      <c r="C3058" t="s">
        <v>228</v>
      </c>
      <c r="D3058" s="6">
        <v>10703.7</v>
      </c>
      <c r="E3058" s="9">
        <v>31570.959999999999</v>
      </c>
      <c r="F3058" t="str">
        <f t="shared" si="94"/>
        <v>fevereiro</v>
      </c>
      <c r="G3058">
        <f t="shared" si="95"/>
        <v>2024</v>
      </c>
    </row>
    <row r="3059" spans="1:7" x14ac:dyDescent="0.25">
      <c r="A3059">
        <v>4031200</v>
      </c>
      <c r="B3059" s="25">
        <v>45323</v>
      </c>
      <c r="C3059" t="s">
        <v>927</v>
      </c>
      <c r="D3059" s="6">
        <v>1153.4000000000001</v>
      </c>
      <c r="E3059" s="9">
        <v>3474.74</v>
      </c>
      <c r="F3059" t="str">
        <f t="shared" si="94"/>
        <v>fevereiro</v>
      </c>
      <c r="G3059">
        <f t="shared" si="95"/>
        <v>2024</v>
      </c>
    </row>
    <row r="3060" spans="1:7" x14ac:dyDescent="0.25">
      <c r="A3060">
        <v>4031304</v>
      </c>
      <c r="B3060" s="25">
        <v>45323</v>
      </c>
      <c r="C3060" t="s">
        <v>928</v>
      </c>
      <c r="D3060" s="6">
        <v>1143.05</v>
      </c>
      <c r="E3060" s="9">
        <v>3373.52</v>
      </c>
      <c r="F3060" t="str">
        <f t="shared" si="94"/>
        <v>fevereiro</v>
      </c>
      <c r="G3060">
        <f t="shared" si="95"/>
        <v>2024</v>
      </c>
    </row>
    <row r="3061" spans="1:7" x14ac:dyDescent="0.25">
      <c r="A3061">
        <v>4031411</v>
      </c>
      <c r="B3061" s="25">
        <v>45323</v>
      </c>
      <c r="C3061" t="s">
        <v>234</v>
      </c>
      <c r="D3061" s="6">
        <v>55.41</v>
      </c>
      <c r="E3061" s="9">
        <v>169.66</v>
      </c>
      <c r="F3061" t="str">
        <f t="shared" si="94"/>
        <v>fevereiro</v>
      </c>
      <c r="G3061">
        <f t="shared" si="95"/>
        <v>2024</v>
      </c>
    </row>
    <row r="3062" spans="1:7" x14ac:dyDescent="0.25">
      <c r="A3062">
        <v>4031500</v>
      </c>
      <c r="B3062" s="25">
        <v>45323</v>
      </c>
      <c r="C3062" t="s">
        <v>236</v>
      </c>
      <c r="D3062" s="6">
        <v>5660.28</v>
      </c>
      <c r="E3062" s="9">
        <v>16125.54</v>
      </c>
      <c r="F3062" t="str">
        <f t="shared" si="94"/>
        <v>fevereiro</v>
      </c>
      <c r="G3062">
        <f t="shared" si="95"/>
        <v>2024</v>
      </c>
    </row>
    <row r="3063" spans="1:7" x14ac:dyDescent="0.25">
      <c r="A3063">
        <v>4031604</v>
      </c>
      <c r="B3063" s="25">
        <v>45323</v>
      </c>
      <c r="C3063" t="s">
        <v>238</v>
      </c>
      <c r="D3063" s="6">
        <v>5581.18</v>
      </c>
      <c r="E3063" s="9">
        <v>15253.3</v>
      </c>
      <c r="F3063" t="str">
        <f t="shared" si="94"/>
        <v>fevereiro</v>
      </c>
      <c r="G3063">
        <f t="shared" si="95"/>
        <v>2024</v>
      </c>
    </row>
    <row r="3064" spans="1:7" x14ac:dyDescent="0.25">
      <c r="A3064">
        <v>4031605</v>
      </c>
      <c r="B3064" s="25">
        <v>45323</v>
      </c>
      <c r="C3064" t="s">
        <v>240</v>
      </c>
      <c r="D3064" s="6">
        <v>56.17</v>
      </c>
      <c r="E3064" s="9">
        <v>180.27</v>
      </c>
      <c r="F3064" t="str">
        <f t="shared" si="94"/>
        <v>fevereiro</v>
      </c>
      <c r="G3064">
        <f t="shared" si="95"/>
        <v>2024</v>
      </c>
    </row>
    <row r="3065" spans="1:7" x14ac:dyDescent="0.25">
      <c r="A3065">
        <v>4031700</v>
      </c>
      <c r="B3065" s="25">
        <v>45323</v>
      </c>
      <c r="C3065" t="s">
        <v>929</v>
      </c>
      <c r="D3065" s="6">
        <v>616.97</v>
      </c>
      <c r="E3065" s="9">
        <v>1842.29</v>
      </c>
      <c r="F3065" t="str">
        <f t="shared" si="94"/>
        <v>fevereiro</v>
      </c>
      <c r="G3065">
        <f t="shared" si="95"/>
        <v>2024</v>
      </c>
    </row>
    <row r="3066" spans="1:7" x14ac:dyDescent="0.25">
      <c r="A3066">
        <v>4031812</v>
      </c>
      <c r="B3066" s="25">
        <v>45323</v>
      </c>
      <c r="C3066" t="s">
        <v>930</v>
      </c>
      <c r="D3066" s="6">
        <v>458.12</v>
      </c>
      <c r="E3066" s="9">
        <v>1437.79</v>
      </c>
      <c r="F3066" t="str">
        <f t="shared" si="94"/>
        <v>fevereiro</v>
      </c>
      <c r="G3066">
        <f t="shared" si="95"/>
        <v>2024</v>
      </c>
    </row>
    <row r="3067" spans="1:7" x14ac:dyDescent="0.25">
      <c r="A3067">
        <v>4031813</v>
      </c>
      <c r="B3067" s="25">
        <v>45323</v>
      </c>
      <c r="C3067" t="s">
        <v>931</v>
      </c>
      <c r="D3067" s="6">
        <v>559</v>
      </c>
      <c r="E3067" s="9">
        <v>366.17</v>
      </c>
      <c r="F3067" t="str">
        <f t="shared" si="94"/>
        <v>fevereiro</v>
      </c>
      <c r="G3067">
        <f t="shared" si="95"/>
        <v>2024</v>
      </c>
    </row>
    <row r="3068" spans="1:7" x14ac:dyDescent="0.25">
      <c r="A3068">
        <v>4031904</v>
      </c>
      <c r="B3068" s="25">
        <v>45323</v>
      </c>
      <c r="C3068" t="s">
        <v>932</v>
      </c>
      <c r="D3068" s="6">
        <v>863.32</v>
      </c>
      <c r="E3068" s="9">
        <v>2549.25</v>
      </c>
      <c r="F3068" t="str">
        <f t="shared" si="94"/>
        <v>fevereiro</v>
      </c>
      <c r="G3068">
        <f t="shared" si="95"/>
        <v>2024</v>
      </c>
    </row>
    <row r="3069" spans="1:7" x14ac:dyDescent="0.25">
      <c r="A3069">
        <v>4032111</v>
      </c>
      <c r="B3069" s="25">
        <v>45323</v>
      </c>
      <c r="C3069" t="s">
        <v>314</v>
      </c>
      <c r="D3069" s="6">
        <v>2.74</v>
      </c>
      <c r="E3069" s="9">
        <v>14.66</v>
      </c>
      <c r="F3069" t="str">
        <f t="shared" si="94"/>
        <v>fevereiro</v>
      </c>
      <c r="G3069">
        <f t="shared" si="95"/>
        <v>2024</v>
      </c>
    </row>
    <row r="3070" spans="1:7" x14ac:dyDescent="0.25">
      <c r="A3070">
        <v>4032205</v>
      </c>
      <c r="B3070" s="25">
        <v>45323</v>
      </c>
      <c r="C3070" t="s">
        <v>553</v>
      </c>
      <c r="D3070" s="6">
        <v>188.41</v>
      </c>
      <c r="E3070" s="9">
        <v>980.02</v>
      </c>
      <c r="F3070" t="str">
        <f t="shared" si="94"/>
        <v>fevereiro</v>
      </c>
      <c r="G3070">
        <f t="shared" si="95"/>
        <v>2024</v>
      </c>
    </row>
    <row r="3071" spans="1:7" x14ac:dyDescent="0.25">
      <c r="A3071">
        <v>4032206</v>
      </c>
      <c r="B3071" s="25">
        <v>45323</v>
      </c>
      <c r="C3071" t="s">
        <v>555</v>
      </c>
      <c r="D3071" s="6">
        <v>72.209999999999994</v>
      </c>
      <c r="E3071" s="9">
        <v>359.96</v>
      </c>
      <c r="F3071" t="str">
        <f t="shared" si="94"/>
        <v>fevereiro</v>
      </c>
      <c r="G3071">
        <f t="shared" si="95"/>
        <v>2024</v>
      </c>
    </row>
    <row r="3072" spans="1:7" x14ac:dyDescent="0.25">
      <c r="A3072">
        <v>4032312</v>
      </c>
      <c r="B3072" s="25">
        <v>45323</v>
      </c>
      <c r="C3072" t="s">
        <v>252</v>
      </c>
      <c r="D3072" s="6">
        <v>477.57</v>
      </c>
      <c r="E3072" s="9">
        <v>1695.89</v>
      </c>
      <c r="F3072" t="str">
        <f t="shared" si="94"/>
        <v>fevereiro</v>
      </c>
      <c r="G3072">
        <f t="shared" si="95"/>
        <v>2024</v>
      </c>
    </row>
    <row r="3073" spans="1:7" x14ac:dyDescent="0.25">
      <c r="A3073">
        <v>4032404</v>
      </c>
      <c r="B3073" s="25">
        <v>45323</v>
      </c>
      <c r="C3073" t="s">
        <v>254</v>
      </c>
      <c r="D3073" s="6">
        <v>129.86000000000001</v>
      </c>
      <c r="E3073" s="9">
        <v>555.25</v>
      </c>
      <c r="F3073" t="str">
        <f t="shared" si="94"/>
        <v>fevereiro</v>
      </c>
      <c r="G3073">
        <f t="shared" si="95"/>
        <v>2024</v>
      </c>
    </row>
    <row r="3074" spans="1:7" x14ac:dyDescent="0.25">
      <c r="A3074">
        <v>4032500</v>
      </c>
      <c r="B3074" s="25">
        <v>45323</v>
      </c>
      <c r="C3074" t="s">
        <v>256</v>
      </c>
      <c r="D3074" s="6">
        <v>363.8</v>
      </c>
      <c r="E3074" s="9">
        <v>1048.71</v>
      </c>
      <c r="F3074" t="str">
        <f t="shared" si="94"/>
        <v>fevereiro</v>
      </c>
      <c r="G3074">
        <f t="shared" si="95"/>
        <v>2024</v>
      </c>
    </row>
    <row r="3075" spans="1:7" x14ac:dyDescent="0.25">
      <c r="A3075">
        <v>4032611</v>
      </c>
      <c r="B3075" s="25">
        <v>45323</v>
      </c>
      <c r="C3075" t="s">
        <v>258</v>
      </c>
      <c r="D3075" s="6">
        <v>81.36</v>
      </c>
      <c r="E3075" s="9">
        <v>253.26</v>
      </c>
      <c r="F3075" t="str">
        <f t="shared" ref="F3075:F3138" si="96">TEXT(B3075,"mmmm")</f>
        <v>fevereiro</v>
      </c>
      <c r="G3075">
        <f t="shared" ref="G3075:G3138" si="97">YEAR(B3075)</f>
        <v>2024</v>
      </c>
    </row>
    <row r="3076" spans="1:7" x14ac:dyDescent="0.25">
      <c r="A3076">
        <v>4032612</v>
      </c>
      <c r="B3076" s="25">
        <v>45323</v>
      </c>
      <c r="C3076" t="s">
        <v>933</v>
      </c>
      <c r="D3076" s="6">
        <v>127.54</v>
      </c>
      <c r="E3076" s="9">
        <v>68.87</v>
      </c>
      <c r="F3076" t="str">
        <f t="shared" si="96"/>
        <v>fevereiro</v>
      </c>
      <c r="G3076">
        <f t="shared" si="97"/>
        <v>2024</v>
      </c>
    </row>
    <row r="3077" spans="1:7" x14ac:dyDescent="0.25">
      <c r="A3077">
        <v>4032704</v>
      </c>
      <c r="B3077" s="25">
        <v>45323</v>
      </c>
      <c r="C3077" t="s">
        <v>260</v>
      </c>
      <c r="D3077" s="6">
        <v>490.21</v>
      </c>
      <c r="E3077" s="9">
        <v>1449.71</v>
      </c>
      <c r="F3077" t="str">
        <f t="shared" si="96"/>
        <v>fevereiro</v>
      </c>
      <c r="G3077">
        <f t="shared" si="97"/>
        <v>2024</v>
      </c>
    </row>
    <row r="3078" spans="1:7" x14ac:dyDescent="0.25">
      <c r="A3078">
        <v>4032800</v>
      </c>
      <c r="B3078" s="25">
        <v>45323</v>
      </c>
      <c r="C3078" t="s">
        <v>262</v>
      </c>
      <c r="D3078" s="6">
        <v>377.82</v>
      </c>
      <c r="E3078" s="9">
        <v>2019.46</v>
      </c>
      <c r="F3078" t="str">
        <f t="shared" si="96"/>
        <v>fevereiro</v>
      </c>
      <c r="G3078">
        <f t="shared" si="97"/>
        <v>2024</v>
      </c>
    </row>
    <row r="3079" spans="1:7" x14ac:dyDescent="0.25">
      <c r="A3079">
        <v>4032902</v>
      </c>
      <c r="B3079" s="25">
        <v>45323</v>
      </c>
      <c r="C3079" t="s">
        <v>264</v>
      </c>
      <c r="D3079" s="6">
        <v>687.8</v>
      </c>
      <c r="E3079" s="9">
        <v>3639.36</v>
      </c>
      <c r="F3079" t="str">
        <f t="shared" si="96"/>
        <v>fevereiro</v>
      </c>
      <c r="G3079">
        <f t="shared" si="97"/>
        <v>2024</v>
      </c>
    </row>
    <row r="3080" spans="1:7" x14ac:dyDescent="0.25">
      <c r="A3080">
        <v>4033011</v>
      </c>
      <c r="B3080" s="25">
        <v>45323</v>
      </c>
      <c r="C3080" t="s">
        <v>266</v>
      </c>
      <c r="D3080" s="6">
        <v>314.92</v>
      </c>
      <c r="E3080" s="9">
        <v>1602.26</v>
      </c>
      <c r="F3080" t="str">
        <f t="shared" si="96"/>
        <v>fevereiro</v>
      </c>
      <c r="G3080">
        <f t="shared" si="97"/>
        <v>2024</v>
      </c>
    </row>
    <row r="3081" spans="1:7" x14ac:dyDescent="0.25">
      <c r="A3081">
        <v>4033111</v>
      </c>
      <c r="B3081" s="25">
        <v>45323</v>
      </c>
      <c r="C3081" t="s">
        <v>268</v>
      </c>
      <c r="D3081" s="6">
        <v>710.46</v>
      </c>
      <c r="E3081" s="9">
        <v>3076.54</v>
      </c>
      <c r="F3081" t="str">
        <f t="shared" si="96"/>
        <v>fevereiro</v>
      </c>
      <c r="G3081">
        <f t="shared" si="97"/>
        <v>2024</v>
      </c>
    </row>
    <row r="3082" spans="1:7" x14ac:dyDescent="0.25">
      <c r="A3082">
        <v>4033211</v>
      </c>
      <c r="B3082" s="25">
        <v>45323</v>
      </c>
      <c r="C3082" t="s">
        <v>270</v>
      </c>
      <c r="D3082" s="6">
        <v>96.87</v>
      </c>
      <c r="E3082" s="9">
        <v>415.31</v>
      </c>
      <c r="F3082" t="str">
        <f t="shared" si="96"/>
        <v>fevereiro</v>
      </c>
      <c r="G3082">
        <f t="shared" si="97"/>
        <v>2024</v>
      </c>
    </row>
    <row r="3083" spans="1:7" x14ac:dyDescent="0.25">
      <c r="A3083">
        <v>4033311</v>
      </c>
      <c r="B3083" s="25">
        <v>45323</v>
      </c>
      <c r="C3083" t="s">
        <v>272</v>
      </c>
      <c r="D3083" s="6">
        <v>17.02</v>
      </c>
      <c r="E3083" s="9">
        <v>105.08</v>
      </c>
      <c r="F3083" t="str">
        <f t="shared" si="96"/>
        <v>fevereiro</v>
      </c>
      <c r="G3083">
        <f t="shared" si="97"/>
        <v>2024</v>
      </c>
    </row>
    <row r="3084" spans="1:7" x14ac:dyDescent="0.25">
      <c r="A3084">
        <v>4033400</v>
      </c>
      <c r="B3084" s="25">
        <v>45323</v>
      </c>
      <c r="C3084" t="s">
        <v>274</v>
      </c>
      <c r="D3084" s="6">
        <v>1072.4000000000001</v>
      </c>
      <c r="E3084" s="9">
        <v>3326.6</v>
      </c>
      <c r="F3084" t="str">
        <f t="shared" si="96"/>
        <v>fevereiro</v>
      </c>
      <c r="G3084">
        <f t="shared" si="97"/>
        <v>2024</v>
      </c>
    </row>
    <row r="3085" spans="1:7" x14ac:dyDescent="0.25">
      <c r="A3085">
        <v>4033511</v>
      </c>
      <c r="B3085" s="25">
        <v>45323</v>
      </c>
      <c r="C3085" t="s">
        <v>276</v>
      </c>
      <c r="D3085" s="6">
        <v>4269.75</v>
      </c>
      <c r="E3085" s="9">
        <v>13375.65</v>
      </c>
      <c r="F3085" t="str">
        <f t="shared" si="96"/>
        <v>fevereiro</v>
      </c>
      <c r="G3085">
        <f t="shared" si="97"/>
        <v>2024</v>
      </c>
    </row>
    <row r="3086" spans="1:7" x14ac:dyDescent="0.25">
      <c r="A3086">
        <v>4033900</v>
      </c>
      <c r="B3086" s="25">
        <v>45323</v>
      </c>
      <c r="C3086" t="s">
        <v>278</v>
      </c>
      <c r="D3086" s="6">
        <v>44.16</v>
      </c>
      <c r="E3086" s="9">
        <v>224.3</v>
      </c>
      <c r="F3086" t="str">
        <f t="shared" si="96"/>
        <v>fevereiro</v>
      </c>
      <c r="G3086">
        <f t="shared" si="97"/>
        <v>2024</v>
      </c>
    </row>
    <row r="3087" spans="1:7" x14ac:dyDescent="0.25">
      <c r="A3087">
        <v>4034011</v>
      </c>
      <c r="B3087" s="25">
        <v>45323</v>
      </c>
      <c r="C3087" t="s">
        <v>280</v>
      </c>
      <c r="D3087" s="6">
        <v>774.11</v>
      </c>
      <c r="E3087" s="9">
        <v>4048.97</v>
      </c>
      <c r="F3087" t="str">
        <f t="shared" si="96"/>
        <v>fevereiro</v>
      </c>
      <c r="G3087">
        <f t="shared" si="97"/>
        <v>2024</v>
      </c>
    </row>
    <row r="3088" spans="1:7" x14ac:dyDescent="0.25">
      <c r="A3088">
        <v>4034012</v>
      </c>
      <c r="B3088" s="25">
        <v>45323</v>
      </c>
      <c r="C3088" t="s">
        <v>934</v>
      </c>
      <c r="D3088" s="6">
        <v>1408.5</v>
      </c>
      <c r="E3088" s="9">
        <v>1806.59</v>
      </c>
      <c r="F3088" t="str">
        <f t="shared" si="96"/>
        <v>fevereiro</v>
      </c>
      <c r="G3088">
        <f t="shared" si="97"/>
        <v>2024</v>
      </c>
    </row>
    <row r="3089" spans="1:7" x14ac:dyDescent="0.25">
      <c r="A3089">
        <v>4034211</v>
      </c>
      <c r="B3089" s="25">
        <v>45323</v>
      </c>
      <c r="C3089" t="s">
        <v>282</v>
      </c>
      <c r="D3089" s="6">
        <v>200.69</v>
      </c>
      <c r="E3089" s="9">
        <v>865.81</v>
      </c>
      <c r="F3089" t="str">
        <f t="shared" si="96"/>
        <v>fevereiro</v>
      </c>
      <c r="G3089">
        <f t="shared" si="97"/>
        <v>2024</v>
      </c>
    </row>
    <row r="3090" spans="1:7" x14ac:dyDescent="0.25">
      <c r="A3090">
        <v>4034400</v>
      </c>
      <c r="B3090" s="25">
        <v>45323</v>
      </c>
      <c r="C3090" t="s">
        <v>284</v>
      </c>
      <c r="D3090" s="6">
        <v>257.88</v>
      </c>
      <c r="E3090" s="9">
        <v>690.66</v>
      </c>
      <c r="F3090" t="str">
        <f t="shared" si="96"/>
        <v>fevereiro</v>
      </c>
      <c r="G3090">
        <f t="shared" si="97"/>
        <v>2024</v>
      </c>
    </row>
    <row r="3091" spans="1:7" x14ac:dyDescent="0.25">
      <c r="A3091">
        <v>4034502</v>
      </c>
      <c r="B3091" s="25">
        <v>45323</v>
      </c>
      <c r="C3091" t="s">
        <v>286</v>
      </c>
      <c r="D3091" s="6">
        <v>359.25</v>
      </c>
      <c r="E3091" s="9">
        <v>1014.78</v>
      </c>
      <c r="F3091" t="str">
        <f t="shared" si="96"/>
        <v>fevereiro</v>
      </c>
      <c r="G3091">
        <f t="shared" si="97"/>
        <v>2024</v>
      </c>
    </row>
    <row r="3092" spans="1:7" x14ac:dyDescent="0.25">
      <c r="A3092">
        <v>8030004</v>
      </c>
      <c r="B3092" s="25">
        <v>45323</v>
      </c>
      <c r="C3092" t="s">
        <v>697</v>
      </c>
      <c r="D3092" s="6">
        <v>5</v>
      </c>
      <c r="E3092" s="9">
        <v>50</v>
      </c>
      <c r="F3092" t="str">
        <f t="shared" si="96"/>
        <v>fevereiro</v>
      </c>
      <c r="G3092">
        <f t="shared" si="97"/>
        <v>2024</v>
      </c>
    </row>
    <row r="3093" spans="1:7" x14ac:dyDescent="0.25">
      <c r="A3093">
        <v>8040008</v>
      </c>
      <c r="B3093" s="25">
        <v>45323</v>
      </c>
      <c r="C3093" t="s">
        <v>935</v>
      </c>
      <c r="D3093" s="6">
        <v>102.4</v>
      </c>
      <c r="E3093" s="9">
        <v>839.68</v>
      </c>
      <c r="F3093" t="str">
        <f t="shared" si="96"/>
        <v>fevereiro</v>
      </c>
      <c r="G3093">
        <f t="shared" si="97"/>
        <v>2024</v>
      </c>
    </row>
    <row r="3094" spans="1:7" x14ac:dyDescent="0.25">
      <c r="A3094">
        <v>8040011</v>
      </c>
      <c r="B3094" s="25">
        <v>45323</v>
      </c>
      <c r="C3094" t="s">
        <v>936</v>
      </c>
      <c r="D3094" s="6">
        <v>178</v>
      </c>
      <c r="E3094" s="9">
        <v>450.75</v>
      </c>
      <c r="F3094" t="str">
        <f t="shared" si="96"/>
        <v>fevereiro</v>
      </c>
      <c r="G3094">
        <f t="shared" si="97"/>
        <v>2024</v>
      </c>
    </row>
    <row r="3095" spans="1:7" x14ac:dyDescent="0.25">
      <c r="A3095">
        <v>8040012</v>
      </c>
      <c r="B3095" s="25">
        <v>45323</v>
      </c>
      <c r="C3095" t="s">
        <v>561</v>
      </c>
      <c r="D3095" s="6">
        <v>80</v>
      </c>
      <c r="E3095" s="9">
        <v>191.2</v>
      </c>
      <c r="F3095" t="str">
        <f t="shared" si="96"/>
        <v>fevereiro</v>
      </c>
      <c r="G3095">
        <f t="shared" si="97"/>
        <v>2024</v>
      </c>
    </row>
    <row r="3096" spans="1:7" x14ac:dyDescent="0.25">
      <c r="A3096">
        <v>8040037</v>
      </c>
      <c r="B3096" s="25">
        <v>45323</v>
      </c>
      <c r="C3096" t="s">
        <v>937</v>
      </c>
      <c r="D3096" s="6">
        <v>6.4</v>
      </c>
      <c r="E3096" s="9">
        <v>82.56</v>
      </c>
      <c r="F3096" t="str">
        <f t="shared" si="96"/>
        <v>fevereiro</v>
      </c>
      <c r="G3096">
        <f t="shared" si="97"/>
        <v>2024</v>
      </c>
    </row>
    <row r="3097" spans="1:7" x14ac:dyDescent="0.25">
      <c r="A3097">
        <v>8040048</v>
      </c>
      <c r="B3097" s="25">
        <v>45323</v>
      </c>
      <c r="C3097" t="s">
        <v>699</v>
      </c>
      <c r="D3097" s="6">
        <v>1280</v>
      </c>
      <c r="E3097" s="9">
        <v>3136</v>
      </c>
      <c r="F3097" t="str">
        <f t="shared" si="96"/>
        <v>fevereiro</v>
      </c>
      <c r="G3097">
        <f t="shared" si="97"/>
        <v>2024</v>
      </c>
    </row>
    <row r="3098" spans="1:7" x14ac:dyDescent="0.25">
      <c r="A3098">
        <v>8040053</v>
      </c>
      <c r="B3098" s="25">
        <v>45323</v>
      </c>
      <c r="C3098" t="s">
        <v>938</v>
      </c>
      <c r="D3098" s="6">
        <v>37.799999999999997</v>
      </c>
      <c r="E3098" s="9">
        <v>413.91</v>
      </c>
      <c r="F3098" t="str">
        <f t="shared" si="96"/>
        <v>fevereiro</v>
      </c>
      <c r="G3098">
        <f t="shared" si="97"/>
        <v>2024</v>
      </c>
    </row>
    <row r="3099" spans="1:7" x14ac:dyDescent="0.25">
      <c r="A3099">
        <v>8040063</v>
      </c>
      <c r="B3099" s="25">
        <v>45323</v>
      </c>
      <c r="C3099" t="s">
        <v>939</v>
      </c>
      <c r="D3099" s="6">
        <v>8</v>
      </c>
      <c r="E3099" s="9">
        <v>63.84</v>
      </c>
      <c r="F3099" t="str">
        <f t="shared" si="96"/>
        <v>fevereiro</v>
      </c>
      <c r="G3099">
        <f t="shared" si="97"/>
        <v>2024</v>
      </c>
    </row>
    <row r="3100" spans="1:7" x14ac:dyDescent="0.25">
      <c r="A3100">
        <v>8050008</v>
      </c>
      <c r="B3100" s="25">
        <v>45323</v>
      </c>
      <c r="C3100" t="s">
        <v>940</v>
      </c>
      <c r="D3100" s="6">
        <v>2</v>
      </c>
      <c r="E3100" s="9">
        <v>12</v>
      </c>
      <c r="F3100" t="str">
        <f t="shared" si="96"/>
        <v>fevereiro</v>
      </c>
      <c r="G3100">
        <f t="shared" si="97"/>
        <v>2024</v>
      </c>
    </row>
    <row r="3101" spans="1:7" x14ac:dyDescent="0.25">
      <c r="A3101">
        <v>8060001</v>
      </c>
      <c r="B3101" s="25">
        <v>45323</v>
      </c>
      <c r="C3101" t="s">
        <v>325</v>
      </c>
      <c r="D3101" s="6">
        <v>100</v>
      </c>
      <c r="E3101" s="9">
        <v>580</v>
      </c>
      <c r="F3101" t="str">
        <f t="shared" si="96"/>
        <v>fevereiro</v>
      </c>
      <c r="G3101">
        <f t="shared" si="97"/>
        <v>2024</v>
      </c>
    </row>
    <row r="3102" spans="1:7" x14ac:dyDescent="0.25">
      <c r="A3102">
        <v>8070013</v>
      </c>
      <c r="B3102" s="25">
        <v>45323</v>
      </c>
      <c r="C3102" t="s">
        <v>941</v>
      </c>
      <c r="D3102" s="6">
        <v>1.9</v>
      </c>
      <c r="E3102" s="9">
        <v>11.97</v>
      </c>
      <c r="F3102" t="str">
        <f t="shared" si="96"/>
        <v>fevereiro</v>
      </c>
      <c r="G3102">
        <f t="shared" si="97"/>
        <v>2024</v>
      </c>
    </row>
    <row r="3103" spans="1:7" x14ac:dyDescent="0.25">
      <c r="A3103">
        <v>8070029</v>
      </c>
      <c r="B3103" s="25">
        <v>45323</v>
      </c>
      <c r="C3103" t="s">
        <v>942</v>
      </c>
      <c r="D3103" s="6">
        <v>1.3</v>
      </c>
      <c r="E3103" s="9">
        <v>5.03</v>
      </c>
      <c r="F3103" t="str">
        <f t="shared" si="96"/>
        <v>fevereiro</v>
      </c>
      <c r="G3103">
        <f t="shared" si="97"/>
        <v>2024</v>
      </c>
    </row>
    <row r="3104" spans="1:7" x14ac:dyDescent="0.25">
      <c r="A3104">
        <v>8070052</v>
      </c>
      <c r="B3104" s="25">
        <v>45323</v>
      </c>
      <c r="C3104" t="s">
        <v>751</v>
      </c>
      <c r="D3104" s="6">
        <v>1.46</v>
      </c>
      <c r="E3104" s="9">
        <v>4.6900000000000004</v>
      </c>
      <c r="F3104" t="str">
        <f t="shared" si="96"/>
        <v>fevereiro</v>
      </c>
      <c r="G3104">
        <f t="shared" si="97"/>
        <v>2024</v>
      </c>
    </row>
    <row r="3105" spans="1:7" x14ac:dyDescent="0.25">
      <c r="A3105">
        <v>8070054</v>
      </c>
      <c r="B3105" s="25">
        <v>45323</v>
      </c>
      <c r="C3105" t="s">
        <v>943</v>
      </c>
      <c r="D3105" s="6">
        <v>3.3</v>
      </c>
      <c r="E3105" s="9">
        <v>26.37</v>
      </c>
      <c r="F3105" t="str">
        <f t="shared" si="96"/>
        <v>fevereiro</v>
      </c>
      <c r="G3105">
        <f t="shared" si="97"/>
        <v>2024</v>
      </c>
    </row>
    <row r="3106" spans="1:7" x14ac:dyDescent="0.25">
      <c r="A3106">
        <v>8070060</v>
      </c>
      <c r="B3106" s="25">
        <v>45323</v>
      </c>
      <c r="C3106" t="s">
        <v>701</v>
      </c>
      <c r="D3106" s="6">
        <v>310</v>
      </c>
      <c r="E3106" s="9">
        <v>661.5</v>
      </c>
      <c r="F3106" t="str">
        <f t="shared" si="96"/>
        <v>fevereiro</v>
      </c>
      <c r="G3106">
        <f t="shared" si="97"/>
        <v>2024</v>
      </c>
    </row>
    <row r="3107" spans="1:7" x14ac:dyDescent="0.25">
      <c r="A3107">
        <v>8070069</v>
      </c>
      <c r="B3107" s="25">
        <v>45323</v>
      </c>
      <c r="C3107" t="s">
        <v>944</v>
      </c>
      <c r="D3107" s="6">
        <v>504</v>
      </c>
      <c r="E3107" s="9">
        <v>604.17999999999995</v>
      </c>
      <c r="F3107" t="str">
        <f t="shared" si="96"/>
        <v>fevereiro</v>
      </c>
      <c r="G3107">
        <f t="shared" si="97"/>
        <v>2024</v>
      </c>
    </row>
    <row r="3108" spans="1:7" x14ac:dyDescent="0.25">
      <c r="A3108">
        <v>8070071</v>
      </c>
      <c r="B3108" s="25">
        <v>45323</v>
      </c>
      <c r="C3108" t="s">
        <v>945</v>
      </c>
      <c r="D3108" s="6">
        <v>7700</v>
      </c>
      <c r="E3108" s="9">
        <v>10934</v>
      </c>
      <c r="F3108" t="str">
        <f t="shared" si="96"/>
        <v>fevereiro</v>
      </c>
      <c r="G3108">
        <f t="shared" si="97"/>
        <v>2024</v>
      </c>
    </row>
    <row r="3109" spans="1:7" x14ac:dyDescent="0.25">
      <c r="A3109">
        <v>8080001</v>
      </c>
      <c r="B3109" s="25">
        <v>45323</v>
      </c>
      <c r="C3109" t="s">
        <v>946</v>
      </c>
      <c r="D3109" s="6">
        <v>1527.48</v>
      </c>
      <c r="E3109" s="9">
        <v>7637.4</v>
      </c>
      <c r="F3109" t="str">
        <f t="shared" si="96"/>
        <v>fevereiro</v>
      </c>
      <c r="G3109">
        <f t="shared" si="97"/>
        <v>2024</v>
      </c>
    </row>
    <row r="3110" spans="1:7" x14ac:dyDescent="0.25">
      <c r="A3110">
        <v>8120003</v>
      </c>
      <c r="B3110" s="25">
        <v>45323</v>
      </c>
      <c r="C3110" t="s">
        <v>376</v>
      </c>
      <c r="D3110" s="6">
        <v>343.7</v>
      </c>
      <c r="E3110" s="9">
        <v>921.9</v>
      </c>
      <c r="F3110" t="str">
        <f t="shared" si="96"/>
        <v>fevereiro</v>
      </c>
      <c r="G3110">
        <f t="shared" si="97"/>
        <v>2024</v>
      </c>
    </row>
    <row r="3111" spans="1:7" x14ac:dyDescent="0.25">
      <c r="A3111">
        <v>8120004</v>
      </c>
      <c r="B3111" s="25">
        <v>45323</v>
      </c>
      <c r="C3111" t="s">
        <v>947</v>
      </c>
      <c r="D3111" s="6">
        <v>2</v>
      </c>
      <c r="E3111" s="9">
        <v>13</v>
      </c>
      <c r="F3111" t="str">
        <f t="shared" si="96"/>
        <v>fevereiro</v>
      </c>
      <c r="G3111">
        <f t="shared" si="97"/>
        <v>2024</v>
      </c>
    </row>
    <row r="3112" spans="1:7" x14ac:dyDescent="0.25">
      <c r="A3112">
        <v>8120007</v>
      </c>
      <c r="B3112" s="25">
        <v>45323</v>
      </c>
      <c r="C3112" t="s">
        <v>377</v>
      </c>
      <c r="D3112" s="6">
        <v>3.14</v>
      </c>
      <c r="E3112" s="9">
        <v>29.92</v>
      </c>
      <c r="F3112" t="str">
        <f t="shared" si="96"/>
        <v>fevereiro</v>
      </c>
      <c r="G3112">
        <f t="shared" si="97"/>
        <v>2024</v>
      </c>
    </row>
    <row r="3113" spans="1:7" x14ac:dyDescent="0.25">
      <c r="A3113">
        <v>8120015</v>
      </c>
      <c r="B3113" s="25">
        <v>45323</v>
      </c>
      <c r="C3113" t="s">
        <v>1020</v>
      </c>
      <c r="D3113" s="6">
        <v>6480</v>
      </c>
      <c r="E3113" s="9">
        <v>17496</v>
      </c>
      <c r="F3113" t="str">
        <f t="shared" si="96"/>
        <v>fevereiro</v>
      </c>
      <c r="G3113">
        <f t="shared" si="97"/>
        <v>2024</v>
      </c>
    </row>
    <row r="3114" spans="1:7" x14ac:dyDescent="0.25">
      <c r="A3114">
        <v>8120039</v>
      </c>
      <c r="B3114" s="25">
        <v>45323</v>
      </c>
      <c r="C3114" t="s">
        <v>948</v>
      </c>
      <c r="D3114" s="6">
        <v>2</v>
      </c>
      <c r="E3114" s="9">
        <v>13</v>
      </c>
      <c r="F3114" t="str">
        <f t="shared" si="96"/>
        <v>fevereiro</v>
      </c>
      <c r="G3114">
        <f t="shared" si="97"/>
        <v>2024</v>
      </c>
    </row>
    <row r="3115" spans="1:7" x14ac:dyDescent="0.25">
      <c r="A3115">
        <v>8120052</v>
      </c>
      <c r="B3115" s="25">
        <v>45323</v>
      </c>
      <c r="C3115" t="s">
        <v>783</v>
      </c>
      <c r="D3115" s="6">
        <v>7.5</v>
      </c>
      <c r="E3115" s="9">
        <v>-3.51</v>
      </c>
      <c r="F3115" t="str">
        <f t="shared" si="96"/>
        <v>fevereiro</v>
      </c>
      <c r="G3115">
        <f t="shared" si="97"/>
        <v>2024</v>
      </c>
    </row>
    <row r="3116" spans="1:7" x14ac:dyDescent="0.25">
      <c r="A3116">
        <v>8120054</v>
      </c>
      <c r="B3116" s="25">
        <v>45323</v>
      </c>
      <c r="C3116" t="s">
        <v>949</v>
      </c>
      <c r="D3116" s="6">
        <v>14.78</v>
      </c>
      <c r="E3116" s="9">
        <v>101.98</v>
      </c>
      <c r="F3116" t="str">
        <f t="shared" si="96"/>
        <v>fevereiro</v>
      </c>
      <c r="G3116">
        <f t="shared" si="97"/>
        <v>2024</v>
      </c>
    </row>
    <row r="3117" spans="1:7" x14ac:dyDescent="0.25">
      <c r="A3117">
        <v>8120055</v>
      </c>
      <c r="B3117" s="25">
        <v>45323</v>
      </c>
      <c r="C3117" t="s">
        <v>950</v>
      </c>
      <c r="D3117" s="6">
        <v>9</v>
      </c>
      <c r="E3117" s="9">
        <v>65.7</v>
      </c>
      <c r="F3117" t="str">
        <f t="shared" si="96"/>
        <v>fevereiro</v>
      </c>
      <c r="G3117">
        <f t="shared" si="97"/>
        <v>2024</v>
      </c>
    </row>
    <row r="3118" spans="1:7" x14ac:dyDescent="0.25">
      <c r="A3118">
        <v>8130001</v>
      </c>
      <c r="B3118" s="25">
        <v>45323</v>
      </c>
      <c r="C3118" t="s">
        <v>380</v>
      </c>
      <c r="D3118" s="6">
        <v>1</v>
      </c>
      <c r="E3118" s="9">
        <v>2.4</v>
      </c>
      <c r="F3118" t="str">
        <f t="shared" si="96"/>
        <v>fevereiro</v>
      </c>
      <c r="G3118">
        <f t="shared" si="97"/>
        <v>2024</v>
      </c>
    </row>
    <row r="3119" spans="1:7" x14ac:dyDescent="0.25">
      <c r="A3119">
        <v>8130014</v>
      </c>
      <c r="B3119" s="25">
        <v>45323</v>
      </c>
      <c r="C3119" t="s">
        <v>951</v>
      </c>
      <c r="D3119" s="6">
        <v>24</v>
      </c>
      <c r="E3119" s="9">
        <v>75.28</v>
      </c>
      <c r="F3119" t="str">
        <f t="shared" si="96"/>
        <v>fevereiro</v>
      </c>
      <c r="G3119">
        <f t="shared" si="97"/>
        <v>2024</v>
      </c>
    </row>
    <row r="3120" spans="1:7" x14ac:dyDescent="0.25">
      <c r="A3120">
        <v>8130015</v>
      </c>
      <c r="B3120" s="25">
        <v>45323</v>
      </c>
      <c r="C3120" t="s">
        <v>952</v>
      </c>
      <c r="D3120" s="6">
        <v>70</v>
      </c>
      <c r="E3120" s="9">
        <v>251.74</v>
      </c>
      <c r="F3120" t="str">
        <f t="shared" si="96"/>
        <v>fevereiro</v>
      </c>
      <c r="G3120">
        <f t="shared" si="97"/>
        <v>2024</v>
      </c>
    </row>
    <row r="3121" spans="1:7" x14ac:dyDescent="0.25">
      <c r="A3121">
        <v>8140006</v>
      </c>
      <c r="B3121" s="25">
        <v>45323</v>
      </c>
      <c r="C3121" t="s">
        <v>423</v>
      </c>
      <c r="D3121" s="6">
        <v>8</v>
      </c>
      <c r="E3121" s="9">
        <v>22.8</v>
      </c>
      <c r="F3121" t="str">
        <f t="shared" si="96"/>
        <v>fevereiro</v>
      </c>
      <c r="G3121">
        <f t="shared" si="97"/>
        <v>2024</v>
      </c>
    </row>
    <row r="3122" spans="1:7" x14ac:dyDescent="0.25">
      <c r="A3122">
        <v>8140013</v>
      </c>
      <c r="B3122" s="25">
        <v>45323</v>
      </c>
      <c r="C3122" t="s">
        <v>674</v>
      </c>
      <c r="D3122" s="6">
        <v>480</v>
      </c>
      <c r="E3122" s="9">
        <v>259.2</v>
      </c>
      <c r="F3122" t="str">
        <f t="shared" si="96"/>
        <v>fevereiro</v>
      </c>
      <c r="G3122">
        <f t="shared" si="97"/>
        <v>2024</v>
      </c>
    </row>
    <row r="3123" spans="1:7" x14ac:dyDescent="0.25">
      <c r="A3123">
        <v>8140015</v>
      </c>
      <c r="B3123" s="25">
        <v>45323</v>
      </c>
      <c r="C3123" t="s">
        <v>676</v>
      </c>
      <c r="D3123" s="6">
        <v>84</v>
      </c>
      <c r="E3123" s="9">
        <v>80.08</v>
      </c>
      <c r="F3123" t="str">
        <f t="shared" si="96"/>
        <v>fevereiro</v>
      </c>
      <c r="G3123">
        <f t="shared" si="97"/>
        <v>2024</v>
      </c>
    </row>
    <row r="3124" spans="1:7" x14ac:dyDescent="0.25">
      <c r="A3124">
        <v>8140016</v>
      </c>
      <c r="B3124" s="25">
        <v>45323</v>
      </c>
      <c r="C3124" t="s">
        <v>953</v>
      </c>
      <c r="D3124" s="6">
        <v>5</v>
      </c>
      <c r="E3124" s="9">
        <v>24.95</v>
      </c>
      <c r="F3124" t="str">
        <f t="shared" si="96"/>
        <v>fevereiro</v>
      </c>
      <c r="G3124">
        <f t="shared" si="97"/>
        <v>2024</v>
      </c>
    </row>
    <row r="3125" spans="1:7" x14ac:dyDescent="0.25">
      <c r="A3125">
        <v>8140019</v>
      </c>
      <c r="B3125" s="25">
        <v>45323</v>
      </c>
      <c r="C3125" t="s">
        <v>954</v>
      </c>
      <c r="D3125" s="6">
        <v>1</v>
      </c>
      <c r="E3125" s="9">
        <v>5.5</v>
      </c>
      <c r="F3125" t="str">
        <f t="shared" si="96"/>
        <v>fevereiro</v>
      </c>
      <c r="G3125">
        <f t="shared" si="97"/>
        <v>2024</v>
      </c>
    </row>
    <row r="3126" spans="1:7" x14ac:dyDescent="0.25">
      <c r="A3126">
        <v>8150001</v>
      </c>
      <c r="B3126" s="25">
        <v>45323</v>
      </c>
      <c r="C3126" t="s">
        <v>382</v>
      </c>
      <c r="D3126" s="6">
        <v>50</v>
      </c>
      <c r="E3126" s="9">
        <v>617.5</v>
      </c>
      <c r="F3126" t="str">
        <f t="shared" si="96"/>
        <v>fevereiro</v>
      </c>
      <c r="G3126">
        <f t="shared" si="97"/>
        <v>2024</v>
      </c>
    </row>
    <row r="3127" spans="1:7" x14ac:dyDescent="0.25">
      <c r="A3127">
        <v>8150002</v>
      </c>
      <c r="B3127" s="25">
        <v>45323</v>
      </c>
      <c r="C3127" t="s">
        <v>955</v>
      </c>
      <c r="D3127" s="6">
        <v>54</v>
      </c>
      <c r="E3127" s="9">
        <v>432</v>
      </c>
      <c r="F3127" t="str">
        <f t="shared" si="96"/>
        <v>fevereiro</v>
      </c>
      <c r="G3127">
        <f t="shared" si="97"/>
        <v>2024</v>
      </c>
    </row>
    <row r="3128" spans="1:7" x14ac:dyDescent="0.25">
      <c r="A3128">
        <v>8150004</v>
      </c>
      <c r="B3128" s="25">
        <v>45323</v>
      </c>
      <c r="C3128" t="s">
        <v>956</v>
      </c>
      <c r="D3128" s="6">
        <v>1872</v>
      </c>
      <c r="E3128" s="9">
        <v>11206.2</v>
      </c>
      <c r="F3128" t="str">
        <f t="shared" si="96"/>
        <v>fevereiro</v>
      </c>
      <c r="G3128">
        <f t="shared" si="97"/>
        <v>2024</v>
      </c>
    </row>
    <row r="3129" spans="1:7" x14ac:dyDescent="0.25">
      <c r="A3129">
        <v>8150005</v>
      </c>
      <c r="B3129" s="25">
        <v>45323</v>
      </c>
      <c r="C3129" t="s">
        <v>957</v>
      </c>
      <c r="D3129" s="6">
        <v>3530</v>
      </c>
      <c r="E3129" s="9">
        <v>18031</v>
      </c>
      <c r="F3129" t="str">
        <f t="shared" si="96"/>
        <v>fevereiro</v>
      </c>
      <c r="G3129">
        <f t="shared" si="97"/>
        <v>2024</v>
      </c>
    </row>
    <row r="3130" spans="1:7" x14ac:dyDescent="0.25">
      <c r="A3130">
        <v>8150006</v>
      </c>
      <c r="B3130" s="25">
        <v>45323</v>
      </c>
      <c r="C3130" t="s">
        <v>958</v>
      </c>
      <c r="D3130" s="6">
        <v>2830</v>
      </c>
      <c r="E3130" s="9">
        <v>13585.5</v>
      </c>
      <c r="F3130" t="str">
        <f t="shared" si="96"/>
        <v>fevereiro</v>
      </c>
      <c r="G3130">
        <f t="shared" si="97"/>
        <v>2024</v>
      </c>
    </row>
    <row r="3131" spans="1:7" x14ac:dyDescent="0.25">
      <c r="A3131">
        <v>8150009</v>
      </c>
      <c r="B3131" s="25">
        <v>45323</v>
      </c>
      <c r="C3131" t="s">
        <v>678</v>
      </c>
      <c r="D3131" s="6">
        <v>2</v>
      </c>
      <c r="E3131" s="9">
        <v>41.34</v>
      </c>
      <c r="F3131" t="str">
        <f t="shared" si="96"/>
        <v>fevereiro</v>
      </c>
      <c r="G3131">
        <f t="shared" si="97"/>
        <v>2024</v>
      </c>
    </row>
    <row r="3132" spans="1:7" x14ac:dyDescent="0.25">
      <c r="A3132">
        <v>8150012</v>
      </c>
      <c r="B3132" s="25">
        <v>45323</v>
      </c>
      <c r="C3132" t="s">
        <v>959</v>
      </c>
      <c r="D3132" s="6">
        <v>1</v>
      </c>
      <c r="E3132" s="9">
        <v>6.5</v>
      </c>
      <c r="F3132" t="str">
        <f t="shared" si="96"/>
        <v>fevereiro</v>
      </c>
      <c r="G3132">
        <f t="shared" si="97"/>
        <v>2024</v>
      </c>
    </row>
    <row r="3133" spans="1:7" x14ac:dyDescent="0.25">
      <c r="A3133">
        <v>8150013</v>
      </c>
      <c r="B3133" s="25">
        <v>45323</v>
      </c>
      <c r="C3133" t="s">
        <v>960</v>
      </c>
      <c r="D3133" s="6">
        <v>1</v>
      </c>
      <c r="E3133" s="9">
        <v>5.7</v>
      </c>
      <c r="F3133" t="str">
        <f t="shared" si="96"/>
        <v>fevereiro</v>
      </c>
      <c r="G3133">
        <f t="shared" si="97"/>
        <v>2024</v>
      </c>
    </row>
    <row r="3134" spans="1:7" x14ac:dyDescent="0.25">
      <c r="A3134">
        <v>8150014</v>
      </c>
      <c r="B3134" s="25">
        <v>45323</v>
      </c>
      <c r="C3134" t="s">
        <v>538</v>
      </c>
      <c r="D3134" s="6">
        <v>31</v>
      </c>
      <c r="E3134" s="9">
        <v>126.49</v>
      </c>
      <c r="F3134" t="str">
        <f t="shared" si="96"/>
        <v>fevereiro</v>
      </c>
      <c r="G3134">
        <f t="shared" si="97"/>
        <v>2024</v>
      </c>
    </row>
    <row r="3135" spans="1:7" x14ac:dyDescent="0.25">
      <c r="A3135">
        <v>8150019</v>
      </c>
      <c r="B3135" s="25">
        <v>45323</v>
      </c>
      <c r="C3135" t="s">
        <v>961</v>
      </c>
      <c r="D3135" s="6">
        <v>18</v>
      </c>
      <c r="E3135" s="9">
        <v>201.3</v>
      </c>
      <c r="F3135" t="str">
        <f t="shared" si="96"/>
        <v>fevereiro</v>
      </c>
      <c r="G3135">
        <f t="shared" si="97"/>
        <v>2024</v>
      </c>
    </row>
    <row r="3136" spans="1:7" x14ac:dyDescent="0.25">
      <c r="A3136">
        <v>8150025</v>
      </c>
      <c r="B3136" s="25">
        <v>45323</v>
      </c>
      <c r="C3136" t="s">
        <v>962</v>
      </c>
      <c r="D3136" s="6">
        <v>720</v>
      </c>
      <c r="E3136" s="9">
        <v>6840</v>
      </c>
      <c r="F3136" t="str">
        <f t="shared" si="96"/>
        <v>fevereiro</v>
      </c>
      <c r="G3136">
        <f t="shared" si="97"/>
        <v>2024</v>
      </c>
    </row>
    <row r="3137" spans="1:7" x14ac:dyDescent="0.25">
      <c r="A3137">
        <v>8150027</v>
      </c>
      <c r="B3137" s="25">
        <v>45323</v>
      </c>
      <c r="C3137" t="s">
        <v>963</v>
      </c>
      <c r="D3137" s="6">
        <v>100</v>
      </c>
      <c r="E3137" s="9">
        <v>435</v>
      </c>
      <c r="F3137" t="str">
        <f t="shared" si="96"/>
        <v>fevereiro</v>
      </c>
      <c r="G3137">
        <f t="shared" si="97"/>
        <v>2024</v>
      </c>
    </row>
    <row r="3138" spans="1:7" x14ac:dyDescent="0.25">
      <c r="A3138">
        <v>8170001</v>
      </c>
      <c r="B3138" s="25">
        <v>45323</v>
      </c>
      <c r="C3138" t="s">
        <v>964</v>
      </c>
      <c r="D3138" s="6">
        <v>108.75</v>
      </c>
      <c r="E3138" s="9">
        <v>571.61</v>
      </c>
      <c r="F3138" t="str">
        <f t="shared" si="96"/>
        <v>fevereiro</v>
      </c>
      <c r="G3138">
        <f t="shared" si="97"/>
        <v>2024</v>
      </c>
    </row>
    <row r="3139" spans="1:7" x14ac:dyDescent="0.25">
      <c r="A3139">
        <v>1010200</v>
      </c>
      <c r="B3139" s="25">
        <v>45352</v>
      </c>
      <c r="C3139" t="s">
        <v>331</v>
      </c>
      <c r="D3139" s="6">
        <v>827.6</v>
      </c>
      <c r="E3139" s="9">
        <v>248.28</v>
      </c>
      <c r="F3139" t="str">
        <f t="shared" ref="F3139:F3202" si="98">TEXT(B3139,"mmmm")</f>
        <v>março</v>
      </c>
      <c r="G3139">
        <f t="shared" ref="G3139:G3202" si="99">YEAR(B3139)</f>
        <v>2024</v>
      </c>
    </row>
    <row r="3140" spans="1:7" x14ac:dyDescent="0.25">
      <c r="A3140">
        <v>1010500</v>
      </c>
      <c r="B3140" s="25">
        <v>45352</v>
      </c>
      <c r="C3140" t="s">
        <v>6</v>
      </c>
      <c r="D3140" s="6">
        <v>2158.8000000000002</v>
      </c>
      <c r="E3140" s="9">
        <v>1602.82</v>
      </c>
      <c r="F3140" t="str">
        <f t="shared" si="98"/>
        <v>março</v>
      </c>
      <c r="G3140">
        <f t="shared" si="99"/>
        <v>2024</v>
      </c>
    </row>
    <row r="3141" spans="1:7" x14ac:dyDescent="0.25">
      <c r="A3141">
        <v>1010600</v>
      </c>
      <c r="B3141" s="25">
        <v>45352</v>
      </c>
      <c r="C3141" t="s">
        <v>334</v>
      </c>
      <c r="D3141" s="6">
        <v>5587.5</v>
      </c>
      <c r="E3141" s="9">
        <v>4348.33</v>
      </c>
      <c r="F3141" t="str">
        <f t="shared" si="98"/>
        <v>março</v>
      </c>
      <c r="G3141">
        <f t="shared" si="99"/>
        <v>2024</v>
      </c>
    </row>
    <row r="3142" spans="1:7" x14ac:dyDescent="0.25">
      <c r="A3142">
        <v>1010700</v>
      </c>
      <c r="B3142" s="25">
        <v>45352</v>
      </c>
      <c r="C3142" t="s">
        <v>335</v>
      </c>
      <c r="D3142" s="6">
        <v>471.58</v>
      </c>
      <c r="E3142" s="9">
        <v>979.14</v>
      </c>
      <c r="F3142" t="str">
        <f t="shared" si="98"/>
        <v>março</v>
      </c>
      <c r="G3142">
        <f t="shared" si="99"/>
        <v>2024</v>
      </c>
    </row>
    <row r="3143" spans="1:7" x14ac:dyDescent="0.25">
      <c r="A3143">
        <v>1010701</v>
      </c>
      <c r="B3143" s="25">
        <v>45352</v>
      </c>
      <c r="C3143" t="s">
        <v>12</v>
      </c>
      <c r="D3143" s="6">
        <v>247.7</v>
      </c>
      <c r="E3143" s="9">
        <v>1866.74</v>
      </c>
      <c r="F3143" t="str">
        <f t="shared" si="98"/>
        <v>março</v>
      </c>
      <c r="G3143">
        <f t="shared" si="99"/>
        <v>2024</v>
      </c>
    </row>
    <row r="3144" spans="1:7" x14ac:dyDescent="0.25">
      <c r="A3144">
        <v>1010732</v>
      </c>
      <c r="B3144" s="25">
        <v>45352</v>
      </c>
      <c r="C3144" t="s">
        <v>14</v>
      </c>
      <c r="D3144" s="6">
        <v>300</v>
      </c>
      <c r="E3144" s="9">
        <v>2205</v>
      </c>
      <c r="F3144" t="str">
        <f t="shared" si="98"/>
        <v>março</v>
      </c>
      <c r="G3144">
        <f t="shared" si="99"/>
        <v>2024</v>
      </c>
    </row>
    <row r="3145" spans="1:7" x14ac:dyDescent="0.25">
      <c r="A3145">
        <v>1010900</v>
      </c>
      <c r="B3145" s="25">
        <v>45352</v>
      </c>
      <c r="C3145" t="s">
        <v>336</v>
      </c>
      <c r="D3145" s="6">
        <v>11.4</v>
      </c>
      <c r="E3145" s="9">
        <v>19.59</v>
      </c>
      <c r="F3145" t="str">
        <f t="shared" si="98"/>
        <v>março</v>
      </c>
      <c r="G3145">
        <f t="shared" si="99"/>
        <v>2024</v>
      </c>
    </row>
    <row r="3146" spans="1:7" x14ac:dyDescent="0.25">
      <c r="A3146">
        <v>1010902</v>
      </c>
      <c r="B3146" s="25">
        <v>45352</v>
      </c>
      <c r="C3146" t="s">
        <v>431</v>
      </c>
      <c r="D3146" s="6">
        <v>844.62</v>
      </c>
      <c r="E3146" s="9">
        <v>1091.5899999999999</v>
      </c>
      <c r="F3146" t="str">
        <f t="shared" si="98"/>
        <v>março</v>
      </c>
      <c r="G3146">
        <f t="shared" si="99"/>
        <v>2024</v>
      </c>
    </row>
    <row r="3147" spans="1:7" x14ac:dyDescent="0.25">
      <c r="A3147">
        <v>1010903</v>
      </c>
      <c r="B3147" s="25">
        <v>45352</v>
      </c>
      <c r="C3147" t="s">
        <v>629</v>
      </c>
      <c r="D3147" s="6">
        <v>350.9</v>
      </c>
      <c r="E3147" s="9">
        <v>338.88</v>
      </c>
      <c r="F3147" t="str">
        <f t="shared" si="98"/>
        <v>março</v>
      </c>
      <c r="G3147">
        <f t="shared" si="99"/>
        <v>2024</v>
      </c>
    </row>
    <row r="3148" spans="1:7" x14ac:dyDescent="0.25">
      <c r="A3148">
        <v>1011000</v>
      </c>
      <c r="B3148" s="25">
        <v>45352</v>
      </c>
      <c r="C3148" t="s">
        <v>20</v>
      </c>
      <c r="D3148" s="6">
        <v>1220.7</v>
      </c>
      <c r="E3148" s="9">
        <v>880.09</v>
      </c>
      <c r="F3148" t="str">
        <f t="shared" si="98"/>
        <v>março</v>
      </c>
      <c r="G3148">
        <f t="shared" si="99"/>
        <v>2024</v>
      </c>
    </row>
    <row r="3149" spans="1:7" x14ac:dyDescent="0.25">
      <c r="A3149">
        <v>1011100</v>
      </c>
      <c r="B3149" s="25">
        <v>45352</v>
      </c>
      <c r="C3149" t="s">
        <v>293</v>
      </c>
      <c r="D3149" s="6">
        <v>111.3</v>
      </c>
      <c r="E3149" s="9">
        <v>48.63</v>
      </c>
      <c r="F3149" t="str">
        <f t="shared" si="98"/>
        <v>março</v>
      </c>
      <c r="G3149">
        <f t="shared" si="99"/>
        <v>2024</v>
      </c>
    </row>
    <row r="3150" spans="1:7" x14ac:dyDescent="0.25">
      <c r="A3150">
        <v>1011200</v>
      </c>
      <c r="B3150" s="25">
        <v>45352</v>
      </c>
      <c r="C3150" t="s">
        <v>24</v>
      </c>
      <c r="D3150" s="6">
        <v>58.3</v>
      </c>
      <c r="E3150" s="9">
        <v>79.81</v>
      </c>
      <c r="F3150" t="str">
        <f t="shared" si="98"/>
        <v>março</v>
      </c>
      <c r="G3150">
        <f t="shared" si="99"/>
        <v>2024</v>
      </c>
    </row>
    <row r="3151" spans="1:7" x14ac:dyDescent="0.25">
      <c r="A3151">
        <v>1011201</v>
      </c>
      <c r="B3151" s="25">
        <v>45352</v>
      </c>
      <c r="C3151" t="s">
        <v>338</v>
      </c>
      <c r="D3151" s="6">
        <v>114.3</v>
      </c>
      <c r="E3151" s="9">
        <v>308.61</v>
      </c>
      <c r="F3151" t="str">
        <f t="shared" si="98"/>
        <v>março</v>
      </c>
      <c r="G3151">
        <f t="shared" si="99"/>
        <v>2024</v>
      </c>
    </row>
    <row r="3152" spans="1:7" x14ac:dyDescent="0.25">
      <c r="A3152">
        <v>1011202</v>
      </c>
      <c r="B3152" s="25">
        <v>45352</v>
      </c>
      <c r="C3152" t="s">
        <v>340</v>
      </c>
      <c r="D3152" s="6">
        <v>445.9</v>
      </c>
      <c r="E3152" s="9">
        <v>89.18</v>
      </c>
      <c r="F3152" t="str">
        <f t="shared" si="98"/>
        <v>março</v>
      </c>
      <c r="G3152">
        <f t="shared" si="99"/>
        <v>2024</v>
      </c>
    </row>
    <row r="3153" spans="1:7" x14ac:dyDescent="0.25">
      <c r="A3153">
        <v>1011203</v>
      </c>
      <c r="B3153" s="25">
        <v>45352</v>
      </c>
      <c r="C3153" t="s">
        <v>342</v>
      </c>
      <c r="D3153" s="6">
        <v>125</v>
      </c>
      <c r="E3153" s="9">
        <v>75</v>
      </c>
      <c r="F3153" t="str">
        <f t="shared" si="98"/>
        <v>março</v>
      </c>
      <c r="G3153">
        <f t="shared" si="99"/>
        <v>2024</v>
      </c>
    </row>
    <row r="3154" spans="1:7" x14ac:dyDescent="0.25">
      <c r="A3154">
        <v>1011204</v>
      </c>
      <c r="B3154" s="25">
        <v>45352</v>
      </c>
      <c r="C3154" t="s">
        <v>344</v>
      </c>
      <c r="D3154" s="6">
        <v>117.9</v>
      </c>
      <c r="E3154" s="9">
        <v>200.43</v>
      </c>
      <c r="F3154" t="str">
        <f t="shared" si="98"/>
        <v>março</v>
      </c>
      <c r="G3154">
        <f t="shared" si="99"/>
        <v>2024</v>
      </c>
    </row>
    <row r="3155" spans="1:7" x14ac:dyDescent="0.25">
      <c r="A3155">
        <v>1011211</v>
      </c>
      <c r="B3155" s="25">
        <v>45352</v>
      </c>
      <c r="C3155" t="s">
        <v>685</v>
      </c>
      <c r="D3155" s="6">
        <v>226.6</v>
      </c>
      <c r="E3155" s="9">
        <v>79.319999999999993</v>
      </c>
      <c r="F3155" t="str">
        <f t="shared" si="98"/>
        <v>março</v>
      </c>
      <c r="G3155">
        <f t="shared" si="99"/>
        <v>2024</v>
      </c>
    </row>
    <row r="3156" spans="1:7" x14ac:dyDescent="0.25">
      <c r="A3156">
        <v>1011300</v>
      </c>
      <c r="B3156" s="25">
        <v>45352</v>
      </c>
      <c r="C3156" t="s">
        <v>295</v>
      </c>
      <c r="D3156" s="6">
        <v>8740.1</v>
      </c>
      <c r="E3156" s="9">
        <v>2638.26</v>
      </c>
      <c r="F3156" t="str">
        <f t="shared" si="98"/>
        <v>março</v>
      </c>
      <c r="G3156">
        <f t="shared" si="99"/>
        <v>2024</v>
      </c>
    </row>
    <row r="3157" spans="1:7" x14ac:dyDescent="0.25">
      <c r="A3157">
        <v>1011400</v>
      </c>
      <c r="B3157" s="25">
        <v>45352</v>
      </c>
      <c r="C3157" t="s">
        <v>25</v>
      </c>
      <c r="D3157" s="6">
        <v>3</v>
      </c>
      <c r="E3157" s="9">
        <v>7.5</v>
      </c>
      <c r="F3157" t="str">
        <f t="shared" si="98"/>
        <v>março</v>
      </c>
      <c r="G3157">
        <f t="shared" si="99"/>
        <v>2024</v>
      </c>
    </row>
    <row r="3158" spans="1:7" x14ac:dyDescent="0.25">
      <c r="A3158">
        <v>1011500</v>
      </c>
      <c r="B3158" s="25">
        <v>45352</v>
      </c>
      <c r="C3158" t="s">
        <v>27</v>
      </c>
      <c r="D3158" s="6">
        <v>1395.66</v>
      </c>
      <c r="E3158" s="9">
        <v>1076.18</v>
      </c>
      <c r="F3158" t="str">
        <f t="shared" si="98"/>
        <v>março</v>
      </c>
      <c r="G3158">
        <f t="shared" si="99"/>
        <v>2024</v>
      </c>
    </row>
    <row r="3159" spans="1:7" x14ac:dyDescent="0.25">
      <c r="A3159">
        <v>1011604</v>
      </c>
      <c r="B3159" s="25">
        <v>45352</v>
      </c>
      <c r="C3159" t="s">
        <v>29</v>
      </c>
      <c r="D3159" s="6">
        <v>25275</v>
      </c>
      <c r="E3159" s="9">
        <v>2022</v>
      </c>
      <c r="F3159" t="str">
        <f t="shared" si="98"/>
        <v>março</v>
      </c>
      <c r="G3159">
        <f t="shared" si="99"/>
        <v>2024</v>
      </c>
    </row>
    <row r="3160" spans="1:7" x14ac:dyDescent="0.25">
      <c r="A3160">
        <v>1011700</v>
      </c>
      <c r="B3160" s="25">
        <v>45352</v>
      </c>
      <c r="C3160" t="s">
        <v>31</v>
      </c>
      <c r="D3160" s="6">
        <v>270.98</v>
      </c>
      <c r="E3160" s="9">
        <v>443.64</v>
      </c>
      <c r="F3160" t="str">
        <f t="shared" si="98"/>
        <v>março</v>
      </c>
      <c r="G3160">
        <f t="shared" si="99"/>
        <v>2024</v>
      </c>
    </row>
    <row r="3161" spans="1:7" x14ac:dyDescent="0.25">
      <c r="A3161">
        <v>1011800</v>
      </c>
      <c r="B3161" s="25">
        <v>45352</v>
      </c>
      <c r="C3161" t="s">
        <v>33</v>
      </c>
      <c r="D3161" s="6">
        <v>2309.38</v>
      </c>
      <c r="E3161" s="9">
        <v>3960.31</v>
      </c>
      <c r="F3161" t="str">
        <f t="shared" si="98"/>
        <v>março</v>
      </c>
      <c r="G3161">
        <f t="shared" si="99"/>
        <v>2024</v>
      </c>
    </row>
    <row r="3162" spans="1:7" x14ac:dyDescent="0.25">
      <c r="A3162">
        <v>1011801</v>
      </c>
      <c r="B3162" s="25">
        <v>45352</v>
      </c>
      <c r="C3162" t="s">
        <v>35</v>
      </c>
      <c r="D3162" s="6">
        <v>46.8</v>
      </c>
      <c r="E3162" s="9">
        <v>77.02</v>
      </c>
      <c r="F3162" t="str">
        <f t="shared" si="98"/>
        <v>março</v>
      </c>
      <c r="G3162">
        <f t="shared" si="99"/>
        <v>2024</v>
      </c>
    </row>
    <row r="3163" spans="1:7" x14ac:dyDescent="0.25">
      <c r="A3163">
        <v>1011901</v>
      </c>
      <c r="B3163" s="25">
        <v>45352</v>
      </c>
      <c r="C3163" t="s">
        <v>37</v>
      </c>
      <c r="D3163" s="6">
        <v>137.9</v>
      </c>
      <c r="E3163" s="9">
        <v>92.22</v>
      </c>
      <c r="F3163" t="str">
        <f t="shared" si="98"/>
        <v>março</v>
      </c>
      <c r="G3163">
        <f t="shared" si="99"/>
        <v>2024</v>
      </c>
    </row>
    <row r="3164" spans="1:7" x14ac:dyDescent="0.25">
      <c r="A3164">
        <v>1012100</v>
      </c>
      <c r="B3164" s="25">
        <v>45352</v>
      </c>
      <c r="C3164" t="s">
        <v>302</v>
      </c>
      <c r="D3164" s="6">
        <v>471.6</v>
      </c>
      <c r="E3164" s="9">
        <v>1320.48</v>
      </c>
      <c r="F3164" t="str">
        <f t="shared" si="98"/>
        <v>março</v>
      </c>
      <c r="G3164">
        <f t="shared" si="99"/>
        <v>2024</v>
      </c>
    </row>
    <row r="3165" spans="1:7" x14ac:dyDescent="0.25">
      <c r="A3165">
        <v>1012200</v>
      </c>
      <c r="B3165" s="25">
        <v>45352</v>
      </c>
      <c r="C3165" t="s">
        <v>39</v>
      </c>
      <c r="D3165" s="6">
        <v>981.1</v>
      </c>
      <c r="E3165" s="9">
        <v>1681.19</v>
      </c>
      <c r="F3165" t="str">
        <f t="shared" si="98"/>
        <v>março</v>
      </c>
      <c r="G3165">
        <f t="shared" si="99"/>
        <v>2024</v>
      </c>
    </row>
    <row r="3166" spans="1:7" x14ac:dyDescent="0.25">
      <c r="A3166">
        <v>1012201</v>
      </c>
      <c r="B3166" s="25">
        <v>45352</v>
      </c>
      <c r="C3166" t="s">
        <v>41</v>
      </c>
      <c r="D3166" s="6">
        <v>327.2</v>
      </c>
      <c r="E3166" s="9">
        <v>691.28</v>
      </c>
      <c r="F3166" t="str">
        <f t="shared" si="98"/>
        <v>março</v>
      </c>
      <c r="G3166">
        <f t="shared" si="99"/>
        <v>2024</v>
      </c>
    </row>
    <row r="3167" spans="1:7" x14ac:dyDescent="0.25">
      <c r="A3167">
        <v>1012203</v>
      </c>
      <c r="B3167" s="25">
        <v>45352</v>
      </c>
      <c r="C3167" t="s">
        <v>43</v>
      </c>
      <c r="D3167" s="6">
        <v>1592.18</v>
      </c>
      <c r="E3167" s="9">
        <v>2918.71</v>
      </c>
      <c r="F3167" t="str">
        <f t="shared" si="98"/>
        <v>março</v>
      </c>
      <c r="G3167">
        <f t="shared" si="99"/>
        <v>2024</v>
      </c>
    </row>
    <row r="3168" spans="1:7" x14ac:dyDescent="0.25">
      <c r="A3168">
        <v>1012205</v>
      </c>
      <c r="B3168" s="25">
        <v>45352</v>
      </c>
      <c r="C3168" t="s">
        <v>741</v>
      </c>
      <c r="D3168" s="6">
        <v>4958.17</v>
      </c>
      <c r="E3168" s="9">
        <v>6086.51</v>
      </c>
      <c r="F3168" t="str">
        <f t="shared" si="98"/>
        <v>março</v>
      </c>
      <c r="G3168">
        <f t="shared" si="99"/>
        <v>2024</v>
      </c>
    </row>
    <row r="3169" spans="1:7" x14ac:dyDescent="0.25">
      <c r="A3169">
        <v>1012206</v>
      </c>
      <c r="B3169" s="25">
        <v>45352</v>
      </c>
      <c r="C3169" t="s">
        <v>763</v>
      </c>
      <c r="D3169" s="6">
        <v>2881.2</v>
      </c>
      <c r="E3169" s="9">
        <v>4033.69</v>
      </c>
      <c r="F3169" t="str">
        <f t="shared" si="98"/>
        <v>março</v>
      </c>
      <c r="G3169">
        <f t="shared" si="99"/>
        <v>2024</v>
      </c>
    </row>
    <row r="3170" spans="1:7" x14ac:dyDescent="0.25">
      <c r="A3170">
        <v>1012207</v>
      </c>
      <c r="B3170" s="25">
        <v>45352</v>
      </c>
      <c r="C3170" t="s">
        <v>810</v>
      </c>
      <c r="D3170" s="6">
        <v>80</v>
      </c>
      <c r="E3170" s="9">
        <v>136</v>
      </c>
      <c r="F3170" t="str">
        <f t="shared" si="98"/>
        <v>março</v>
      </c>
      <c r="G3170">
        <f t="shared" si="99"/>
        <v>2024</v>
      </c>
    </row>
    <row r="3171" spans="1:7" x14ac:dyDescent="0.25">
      <c r="A3171">
        <v>1012300</v>
      </c>
      <c r="B3171" s="25">
        <v>45352</v>
      </c>
      <c r="C3171" t="s">
        <v>45</v>
      </c>
      <c r="D3171" s="6">
        <v>420.1</v>
      </c>
      <c r="E3171" s="9">
        <v>615.36</v>
      </c>
      <c r="F3171" t="str">
        <f t="shared" si="98"/>
        <v>março</v>
      </c>
      <c r="G3171">
        <f t="shared" si="99"/>
        <v>2024</v>
      </c>
    </row>
    <row r="3172" spans="1:7" x14ac:dyDescent="0.25">
      <c r="A3172">
        <v>1012301</v>
      </c>
      <c r="B3172" s="25">
        <v>45352</v>
      </c>
      <c r="C3172" t="s">
        <v>47</v>
      </c>
      <c r="D3172" s="6">
        <v>130</v>
      </c>
      <c r="E3172" s="9">
        <v>162.5</v>
      </c>
      <c r="F3172" t="str">
        <f t="shared" si="98"/>
        <v>março</v>
      </c>
      <c r="G3172">
        <f t="shared" si="99"/>
        <v>2024</v>
      </c>
    </row>
    <row r="3173" spans="1:7" x14ac:dyDescent="0.25">
      <c r="A3173">
        <v>1012400</v>
      </c>
      <c r="B3173" s="25">
        <v>45352</v>
      </c>
      <c r="C3173" t="s">
        <v>49</v>
      </c>
      <c r="D3173" s="6">
        <v>1114.17</v>
      </c>
      <c r="E3173" s="9">
        <v>1943.76</v>
      </c>
      <c r="F3173" t="str">
        <f t="shared" si="98"/>
        <v>março</v>
      </c>
      <c r="G3173">
        <f t="shared" si="99"/>
        <v>2024</v>
      </c>
    </row>
    <row r="3174" spans="1:7" x14ac:dyDescent="0.25">
      <c r="A3174">
        <v>1012401</v>
      </c>
      <c r="B3174" s="25">
        <v>45352</v>
      </c>
      <c r="C3174" t="s">
        <v>51</v>
      </c>
      <c r="D3174" s="6">
        <v>29.17</v>
      </c>
      <c r="E3174" s="9">
        <v>42.66</v>
      </c>
      <c r="F3174" t="str">
        <f t="shared" si="98"/>
        <v>março</v>
      </c>
      <c r="G3174">
        <f t="shared" si="99"/>
        <v>2024</v>
      </c>
    </row>
    <row r="3175" spans="1:7" x14ac:dyDescent="0.25">
      <c r="A3175">
        <v>1012500</v>
      </c>
      <c r="B3175" s="25">
        <v>45352</v>
      </c>
      <c r="C3175" t="s">
        <v>53</v>
      </c>
      <c r="D3175" s="6">
        <v>1251.5</v>
      </c>
      <c r="E3175" s="9">
        <v>320.57</v>
      </c>
      <c r="F3175" t="str">
        <f t="shared" si="98"/>
        <v>março</v>
      </c>
      <c r="G3175">
        <f t="shared" si="99"/>
        <v>2024</v>
      </c>
    </row>
    <row r="3176" spans="1:7" x14ac:dyDescent="0.25">
      <c r="A3176">
        <v>1012501</v>
      </c>
      <c r="B3176" s="25">
        <v>45352</v>
      </c>
      <c r="C3176" t="s">
        <v>388</v>
      </c>
      <c r="D3176" s="6">
        <v>74.3</v>
      </c>
      <c r="E3176" s="9">
        <v>18.579999999999998</v>
      </c>
      <c r="F3176" t="str">
        <f t="shared" si="98"/>
        <v>março</v>
      </c>
      <c r="G3176">
        <f t="shared" si="99"/>
        <v>2024</v>
      </c>
    </row>
    <row r="3177" spans="1:7" x14ac:dyDescent="0.25">
      <c r="A3177">
        <v>1012601</v>
      </c>
      <c r="B3177" s="25">
        <v>45352</v>
      </c>
      <c r="C3177" t="s">
        <v>55</v>
      </c>
      <c r="D3177" s="6">
        <v>116</v>
      </c>
      <c r="E3177" s="9">
        <v>116</v>
      </c>
      <c r="F3177" t="str">
        <f t="shared" si="98"/>
        <v>março</v>
      </c>
      <c r="G3177">
        <f t="shared" si="99"/>
        <v>2024</v>
      </c>
    </row>
    <row r="3178" spans="1:7" x14ac:dyDescent="0.25">
      <c r="A3178">
        <v>1012800</v>
      </c>
      <c r="B3178" s="25">
        <v>45352</v>
      </c>
      <c r="C3178" t="s">
        <v>439</v>
      </c>
      <c r="D3178" s="6">
        <v>120</v>
      </c>
      <c r="E3178" s="9">
        <v>156</v>
      </c>
      <c r="F3178" t="str">
        <f t="shared" si="98"/>
        <v>março</v>
      </c>
      <c r="G3178">
        <f t="shared" si="99"/>
        <v>2024</v>
      </c>
    </row>
    <row r="3179" spans="1:7" x14ac:dyDescent="0.25">
      <c r="A3179">
        <v>1012801</v>
      </c>
      <c r="B3179" s="25">
        <v>45352</v>
      </c>
      <c r="C3179" t="s">
        <v>390</v>
      </c>
      <c r="D3179" s="6">
        <v>8462</v>
      </c>
      <c r="E3179" s="9">
        <v>5500.3</v>
      </c>
      <c r="F3179" t="str">
        <f t="shared" si="98"/>
        <v>março</v>
      </c>
      <c r="G3179">
        <f t="shared" si="99"/>
        <v>2024</v>
      </c>
    </row>
    <row r="3180" spans="1:7" x14ac:dyDescent="0.25">
      <c r="A3180">
        <v>1013100</v>
      </c>
      <c r="B3180" s="25">
        <v>45352</v>
      </c>
      <c r="C3180" t="s">
        <v>57</v>
      </c>
      <c r="D3180" s="6">
        <v>137.80000000000001</v>
      </c>
      <c r="E3180" s="9">
        <v>170.7</v>
      </c>
      <c r="F3180" t="str">
        <f t="shared" si="98"/>
        <v>março</v>
      </c>
      <c r="G3180">
        <f t="shared" si="99"/>
        <v>2024</v>
      </c>
    </row>
    <row r="3181" spans="1:7" x14ac:dyDescent="0.25">
      <c r="A3181">
        <v>1013101</v>
      </c>
      <c r="B3181" s="25">
        <v>45352</v>
      </c>
      <c r="C3181" t="s">
        <v>346</v>
      </c>
      <c r="D3181" s="6">
        <v>4383</v>
      </c>
      <c r="E3181" s="9">
        <v>2629.8</v>
      </c>
      <c r="F3181" t="str">
        <f t="shared" si="98"/>
        <v>março</v>
      </c>
      <c r="G3181">
        <f t="shared" si="99"/>
        <v>2024</v>
      </c>
    </row>
    <row r="3182" spans="1:7" x14ac:dyDescent="0.25">
      <c r="A3182">
        <v>1013200</v>
      </c>
      <c r="B3182" s="25">
        <v>45352</v>
      </c>
      <c r="C3182" t="s">
        <v>59</v>
      </c>
      <c r="D3182" s="6">
        <v>1311.1</v>
      </c>
      <c r="E3182" s="9">
        <v>1327.23</v>
      </c>
      <c r="F3182" t="str">
        <f t="shared" si="98"/>
        <v>março</v>
      </c>
      <c r="G3182">
        <f t="shared" si="99"/>
        <v>2024</v>
      </c>
    </row>
    <row r="3183" spans="1:7" x14ac:dyDescent="0.25">
      <c r="A3183">
        <v>1013300</v>
      </c>
      <c r="B3183" s="25">
        <v>45352</v>
      </c>
      <c r="C3183" t="s">
        <v>348</v>
      </c>
      <c r="D3183" s="6">
        <v>772.3</v>
      </c>
      <c r="E3183" s="9">
        <v>231.69</v>
      </c>
      <c r="F3183" t="str">
        <f t="shared" si="98"/>
        <v>março</v>
      </c>
      <c r="G3183">
        <f t="shared" si="99"/>
        <v>2024</v>
      </c>
    </row>
    <row r="3184" spans="1:7" x14ac:dyDescent="0.25">
      <c r="A3184">
        <v>1013400</v>
      </c>
      <c r="B3184" s="25">
        <v>45352</v>
      </c>
      <c r="C3184" t="s">
        <v>788</v>
      </c>
      <c r="D3184" s="6">
        <v>3.8</v>
      </c>
      <c r="E3184" s="9">
        <v>1.9</v>
      </c>
      <c r="F3184" t="str">
        <f t="shared" si="98"/>
        <v>março</v>
      </c>
      <c r="G3184">
        <f t="shared" si="99"/>
        <v>2024</v>
      </c>
    </row>
    <row r="3185" spans="1:7" x14ac:dyDescent="0.25">
      <c r="A3185">
        <v>1013500</v>
      </c>
      <c r="B3185" s="25">
        <v>45352</v>
      </c>
      <c r="C3185" t="s">
        <v>61</v>
      </c>
      <c r="D3185" s="6">
        <v>14</v>
      </c>
      <c r="E3185" s="9">
        <v>7</v>
      </c>
      <c r="F3185" t="str">
        <f t="shared" si="98"/>
        <v>março</v>
      </c>
      <c r="G3185">
        <f t="shared" si="99"/>
        <v>2024</v>
      </c>
    </row>
    <row r="3186" spans="1:7" x14ac:dyDescent="0.25">
      <c r="A3186">
        <v>1100100</v>
      </c>
      <c r="B3186" s="25">
        <v>45352</v>
      </c>
      <c r="C3186" t="s">
        <v>63</v>
      </c>
      <c r="D3186" s="6">
        <v>65058.25</v>
      </c>
      <c r="E3186" s="9">
        <v>174090.91</v>
      </c>
      <c r="F3186" t="str">
        <f t="shared" si="98"/>
        <v>março</v>
      </c>
      <c r="G3186">
        <f t="shared" si="99"/>
        <v>2024</v>
      </c>
    </row>
    <row r="3187" spans="1:7" x14ac:dyDescent="0.25">
      <c r="A3187">
        <v>1100101</v>
      </c>
      <c r="B3187" s="25">
        <v>45352</v>
      </c>
      <c r="C3187" t="s">
        <v>65</v>
      </c>
      <c r="D3187" s="6">
        <v>359.8</v>
      </c>
      <c r="E3187" s="9">
        <v>975.53</v>
      </c>
      <c r="F3187" t="str">
        <f t="shared" si="98"/>
        <v>março</v>
      </c>
      <c r="G3187">
        <f t="shared" si="99"/>
        <v>2024</v>
      </c>
    </row>
    <row r="3188" spans="1:7" x14ac:dyDescent="0.25">
      <c r="A3188">
        <v>1100102</v>
      </c>
      <c r="B3188" s="25">
        <v>45352</v>
      </c>
      <c r="C3188" t="s">
        <v>789</v>
      </c>
      <c r="D3188" s="6">
        <v>88.2</v>
      </c>
      <c r="E3188" s="9">
        <v>651.79999999999995</v>
      </c>
      <c r="F3188" t="str">
        <f t="shared" si="98"/>
        <v>março</v>
      </c>
      <c r="G3188">
        <f t="shared" si="99"/>
        <v>2024</v>
      </c>
    </row>
    <row r="3189" spans="1:7" x14ac:dyDescent="0.25">
      <c r="A3189">
        <v>1100103</v>
      </c>
      <c r="B3189" s="25">
        <v>45352</v>
      </c>
      <c r="C3189" t="s">
        <v>965</v>
      </c>
      <c r="D3189" s="6">
        <v>8</v>
      </c>
      <c r="E3189" s="9">
        <v>440</v>
      </c>
      <c r="F3189" t="str">
        <f t="shared" si="98"/>
        <v>março</v>
      </c>
      <c r="G3189">
        <f t="shared" si="99"/>
        <v>2024</v>
      </c>
    </row>
    <row r="3190" spans="1:7" x14ac:dyDescent="0.25">
      <c r="A3190">
        <v>1100200</v>
      </c>
      <c r="B3190" s="25">
        <v>45352</v>
      </c>
      <c r="C3190" t="s">
        <v>67</v>
      </c>
      <c r="D3190" s="6">
        <v>11478.07</v>
      </c>
      <c r="E3190" s="9">
        <v>37068.99</v>
      </c>
      <c r="F3190" t="str">
        <f t="shared" si="98"/>
        <v>março</v>
      </c>
      <c r="G3190">
        <f t="shared" si="99"/>
        <v>2024</v>
      </c>
    </row>
    <row r="3191" spans="1:7" x14ac:dyDescent="0.25">
      <c r="A3191">
        <v>1100300</v>
      </c>
      <c r="B3191" s="25">
        <v>45352</v>
      </c>
      <c r="C3191" t="s">
        <v>69</v>
      </c>
      <c r="D3191" s="6">
        <v>2985.89</v>
      </c>
      <c r="E3191" s="9">
        <v>9461.25</v>
      </c>
      <c r="F3191" t="str">
        <f t="shared" si="98"/>
        <v>março</v>
      </c>
      <c r="G3191">
        <f t="shared" si="99"/>
        <v>2024</v>
      </c>
    </row>
    <row r="3192" spans="1:7" x14ac:dyDescent="0.25">
      <c r="A3192">
        <v>1100400</v>
      </c>
      <c r="B3192" s="25">
        <v>45352</v>
      </c>
      <c r="C3192" t="s">
        <v>73</v>
      </c>
      <c r="D3192" s="6">
        <v>16722.23</v>
      </c>
      <c r="E3192" s="9">
        <v>45344.41</v>
      </c>
      <c r="F3192" t="str">
        <f t="shared" si="98"/>
        <v>março</v>
      </c>
      <c r="G3192">
        <f t="shared" si="99"/>
        <v>2024</v>
      </c>
    </row>
    <row r="3193" spans="1:7" x14ac:dyDescent="0.25">
      <c r="A3193">
        <v>1100500</v>
      </c>
      <c r="B3193" s="25">
        <v>45352</v>
      </c>
      <c r="C3193" t="s">
        <v>75</v>
      </c>
      <c r="D3193" s="6">
        <v>214.4</v>
      </c>
      <c r="E3193" s="9">
        <v>636.21</v>
      </c>
      <c r="F3193" t="str">
        <f t="shared" si="98"/>
        <v>março</v>
      </c>
      <c r="G3193">
        <f t="shared" si="99"/>
        <v>2024</v>
      </c>
    </row>
    <row r="3194" spans="1:7" x14ac:dyDescent="0.25">
      <c r="A3194">
        <v>1100600</v>
      </c>
      <c r="B3194" s="25">
        <v>45352</v>
      </c>
      <c r="C3194" t="s">
        <v>77</v>
      </c>
      <c r="D3194" s="6">
        <v>16609.93</v>
      </c>
      <c r="E3194" s="9">
        <v>56114.94</v>
      </c>
      <c r="F3194" t="str">
        <f t="shared" si="98"/>
        <v>março</v>
      </c>
      <c r="G3194">
        <f t="shared" si="99"/>
        <v>2024</v>
      </c>
    </row>
    <row r="3195" spans="1:7" x14ac:dyDescent="0.25">
      <c r="A3195">
        <v>1100602</v>
      </c>
      <c r="B3195" s="25">
        <v>45352</v>
      </c>
      <c r="C3195" t="s">
        <v>79</v>
      </c>
      <c r="D3195" s="6">
        <v>862.68</v>
      </c>
      <c r="E3195" s="9">
        <v>4684.71</v>
      </c>
      <c r="F3195" t="str">
        <f t="shared" si="98"/>
        <v>março</v>
      </c>
      <c r="G3195">
        <f t="shared" si="99"/>
        <v>2024</v>
      </c>
    </row>
    <row r="3196" spans="1:7" x14ac:dyDescent="0.25">
      <c r="A3196">
        <v>1100603</v>
      </c>
      <c r="B3196" s="25">
        <v>45352</v>
      </c>
      <c r="C3196" t="s">
        <v>304</v>
      </c>
      <c r="D3196" s="6">
        <v>330</v>
      </c>
      <c r="E3196" s="9">
        <v>1781.2</v>
      </c>
      <c r="F3196" t="str">
        <f t="shared" si="98"/>
        <v>março</v>
      </c>
      <c r="G3196">
        <f t="shared" si="99"/>
        <v>2024</v>
      </c>
    </row>
    <row r="3197" spans="1:7" x14ac:dyDescent="0.25">
      <c r="A3197">
        <v>1100605</v>
      </c>
      <c r="B3197" s="25">
        <v>45352</v>
      </c>
      <c r="C3197" t="s">
        <v>631</v>
      </c>
      <c r="D3197" s="6">
        <v>12037.2</v>
      </c>
      <c r="E3197" s="9">
        <v>37350.42</v>
      </c>
      <c r="F3197" t="str">
        <f t="shared" si="98"/>
        <v>março</v>
      </c>
      <c r="G3197">
        <f t="shared" si="99"/>
        <v>2024</v>
      </c>
    </row>
    <row r="3198" spans="1:7" x14ac:dyDescent="0.25">
      <c r="A3198">
        <v>1100608</v>
      </c>
      <c r="B3198" s="25">
        <v>45352</v>
      </c>
      <c r="C3198" t="s">
        <v>349</v>
      </c>
      <c r="D3198" s="6">
        <v>6054</v>
      </c>
      <c r="E3198" s="9">
        <v>19752.599999999999</v>
      </c>
      <c r="F3198" t="str">
        <f t="shared" si="98"/>
        <v>março</v>
      </c>
      <c r="G3198">
        <f t="shared" si="99"/>
        <v>2024</v>
      </c>
    </row>
    <row r="3199" spans="1:7" x14ac:dyDescent="0.25">
      <c r="A3199">
        <v>1100611</v>
      </c>
      <c r="B3199" s="25">
        <v>45352</v>
      </c>
      <c r="C3199" t="s">
        <v>966</v>
      </c>
      <c r="D3199" s="6">
        <v>29.31</v>
      </c>
      <c r="E3199" s="9">
        <v>118.41</v>
      </c>
      <c r="F3199" t="str">
        <f t="shared" si="98"/>
        <v>março</v>
      </c>
      <c r="G3199">
        <f t="shared" si="99"/>
        <v>2024</v>
      </c>
    </row>
    <row r="3200" spans="1:7" x14ac:dyDescent="0.25">
      <c r="A3200">
        <v>1100700</v>
      </c>
      <c r="B3200" s="25">
        <v>45352</v>
      </c>
      <c r="C3200" t="s">
        <v>83</v>
      </c>
      <c r="D3200" s="6">
        <v>10137.9</v>
      </c>
      <c r="E3200" s="9">
        <v>35979.25</v>
      </c>
      <c r="F3200" t="str">
        <f t="shared" si="98"/>
        <v>março</v>
      </c>
      <c r="G3200">
        <f t="shared" si="99"/>
        <v>2024</v>
      </c>
    </row>
    <row r="3201" spans="1:7" x14ac:dyDescent="0.25">
      <c r="A3201">
        <v>1100701</v>
      </c>
      <c r="B3201" s="25">
        <v>45352</v>
      </c>
      <c r="C3201" t="s">
        <v>84</v>
      </c>
      <c r="D3201" s="6">
        <v>44.5</v>
      </c>
      <c r="E3201" s="9">
        <v>183.31</v>
      </c>
      <c r="F3201" t="str">
        <f t="shared" si="98"/>
        <v>março</v>
      </c>
      <c r="G3201">
        <f t="shared" si="99"/>
        <v>2024</v>
      </c>
    </row>
    <row r="3202" spans="1:7" x14ac:dyDescent="0.25">
      <c r="A3202">
        <v>1100703</v>
      </c>
      <c r="B3202" s="25">
        <v>45352</v>
      </c>
      <c r="C3202" t="s">
        <v>86</v>
      </c>
      <c r="D3202" s="6">
        <v>1305</v>
      </c>
      <c r="E3202" s="9">
        <v>4993.49</v>
      </c>
      <c r="F3202" t="str">
        <f t="shared" si="98"/>
        <v>março</v>
      </c>
      <c r="G3202">
        <f t="shared" si="99"/>
        <v>2024</v>
      </c>
    </row>
    <row r="3203" spans="1:7" x14ac:dyDescent="0.25">
      <c r="A3203">
        <v>1100704</v>
      </c>
      <c r="B3203" s="25">
        <v>45352</v>
      </c>
      <c r="C3203" t="s">
        <v>718</v>
      </c>
      <c r="D3203" s="6">
        <v>38.6</v>
      </c>
      <c r="E3203" s="9">
        <v>179.75</v>
      </c>
      <c r="F3203" t="str">
        <f t="shared" ref="F3203:F3266" si="100">TEXT(B3203,"mmmm")</f>
        <v>março</v>
      </c>
      <c r="G3203">
        <f t="shared" ref="G3203:G3266" si="101">YEAR(B3203)</f>
        <v>2024</v>
      </c>
    </row>
    <row r="3204" spans="1:7" x14ac:dyDescent="0.25">
      <c r="A3204">
        <v>1100705</v>
      </c>
      <c r="B3204" s="25">
        <v>45352</v>
      </c>
      <c r="C3204" t="s">
        <v>88</v>
      </c>
      <c r="D3204" s="6">
        <v>221.18</v>
      </c>
      <c r="E3204" s="9">
        <v>448.35</v>
      </c>
      <c r="F3204" t="str">
        <f t="shared" si="100"/>
        <v>março</v>
      </c>
      <c r="G3204">
        <f t="shared" si="101"/>
        <v>2024</v>
      </c>
    </row>
    <row r="3205" spans="1:7" x14ac:dyDescent="0.25">
      <c r="A3205">
        <v>1100707</v>
      </c>
      <c r="B3205" s="25">
        <v>45352</v>
      </c>
      <c r="C3205" t="s">
        <v>686</v>
      </c>
      <c r="D3205" s="6">
        <v>1335.2</v>
      </c>
      <c r="E3205" s="9">
        <v>5079.96</v>
      </c>
      <c r="F3205" t="str">
        <f t="shared" si="100"/>
        <v>março</v>
      </c>
      <c r="G3205">
        <f t="shared" si="101"/>
        <v>2024</v>
      </c>
    </row>
    <row r="3206" spans="1:7" x14ac:dyDescent="0.25">
      <c r="A3206">
        <v>1100708</v>
      </c>
      <c r="B3206" s="25">
        <v>45352</v>
      </c>
      <c r="C3206" t="s">
        <v>790</v>
      </c>
      <c r="D3206" s="6">
        <v>12.1</v>
      </c>
      <c r="E3206" s="9">
        <v>64.14</v>
      </c>
      <c r="F3206" t="str">
        <f t="shared" si="100"/>
        <v>março</v>
      </c>
      <c r="G3206">
        <f t="shared" si="101"/>
        <v>2024</v>
      </c>
    </row>
    <row r="3207" spans="1:7" x14ac:dyDescent="0.25">
      <c r="A3207">
        <v>1100709</v>
      </c>
      <c r="B3207" s="25">
        <v>45352</v>
      </c>
      <c r="C3207" t="s">
        <v>764</v>
      </c>
      <c r="D3207" s="6">
        <v>725.93</v>
      </c>
      <c r="E3207" s="9">
        <v>2794.85</v>
      </c>
      <c r="F3207" t="str">
        <f t="shared" si="100"/>
        <v>março</v>
      </c>
      <c r="G3207">
        <f t="shared" si="101"/>
        <v>2024</v>
      </c>
    </row>
    <row r="3208" spans="1:7" x14ac:dyDescent="0.25">
      <c r="A3208">
        <v>1100800</v>
      </c>
      <c r="B3208" s="25">
        <v>45352</v>
      </c>
      <c r="C3208" t="s">
        <v>90</v>
      </c>
      <c r="D3208" s="6">
        <v>21523.98</v>
      </c>
      <c r="E3208" s="9">
        <v>67538.7</v>
      </c>
      <c r="F3208" t="str">
        <f t="shared" si="100"/>
        <v>março</v>
      </c>
      <c r="G3208">
        <f t="shared" si="101"/>
        <v>2024</v>
      </c>
    </row>
    <row r="3209" spans="1:7" x14ac:dyDescent="0.25">
      <c r="A3209">
        <v>1100801</v>
      </c>
      <c r="B3209" s="25">
        <v>45352</v>
      </c>
      <c r="C3209" t="s">
        <v>92</v>
      </c>
      <c r="D3209" s="6">
        <v>4489</v>
      </c>
      <c r="E3209" s="9">
        <v>13467</v>
      </c>
      <c r="F3209" t="str">
        <f t="shared" si="100"/>
        <v>março</v>
      </c>
      <c r="G3209">
        <f t="shared" si="101"/>
        <v>2024</v>
      </c>
    </row>
    <row r="3210" spans="1:7" x14ac:dyDescent="0.25">
      <c r="A3210">
        <v>1100802</v>
      </c>
      <c r="B3210" s="25">
        <v>45352</v>
      </c>
      <c r="C3210" t="s">
        <v>306</v>
      </c>
      <c r="D3210" s="6">
        <v>55.8</v>
      </c>
      <c r="E3210" s="9">
        <v>181.38</v>
      </c>
      <c r="F3210" t="str">
        <f t="shared" si="100"/>
        <v>março</v>
      </c>
      <c r="G3210">
        <f t="shared" si="101"/>
        <v>2024</v>
      </c>
    </row>
    <row r="3211" spans="1:7" x14ac:dyDescent="0.25">
      <c r="A3211">
        <v>1100900</v>
      </c>
      <c r="B3211" s="25">
        <v>45352</v>
      </c>
      <c r="C3211" t="s">
        <v>94</v>
      </c>
      <c r="D3211" s="6">
        <v>1380.63</v>
      </c>
      <c r="E3211" s="9">
        <v>7334.88</v>
      </c>
      <c r="F3211" t="str">
        <f t="shared" si="100"/>
        <v>março</v>
      </c>
      <c r="G3211">
        <f t="shared" si="101"/>
        <v>2024</v>
      </c>
    </row>
    <row r="3212" spans="1:7" x14ac:dyDescent="0.25">
      <c r="A3212">
        <v>1100901</v>
      </c>
      <c r="B3212" s="25">
        <v>45352</v>
      </c>
      <c r="C3212" t="s">
        <v>791</v>
      </c>
      <c r="D3212" s="6">
        <v>1125.6600000000001</v>
      </c>
      <c r="E3212" s="9">
        <v>4518.8599999999997</v>
      </c>
      <c r="F3212" t="str">
        <f t="shared" si="100"/>
        <v>março</v>
      </c>
      <c r="G3212">
        <f t="shared" si="101"/>
        <v>2024</v>
      </c>
    </row>
    <row r="3213" spans="1:7" x14ac:dyDescent="0.25">
      <c r="A3213">
        <v>1101000</v>
      </c>
      <c r="B3213" s="25">
        <v>45352</v>
      </c>
      <c r="C3213" t="s">
        <v>96</v>
      </c>
      <c r="D3213" s="6">
        <v>18742.5</v>
      </c>
      <c r="E3213" s="9">
        <v>67775</v>
      </c>
      <c r="F3213" t="str">
        <f t="shared" si="100"/>
        <v>março</v>
      </c>
      <c r="G3213">
        <f t="shared" si="101"/>
        <v>2024</v>
      </c>
    </row>
    <row r="3214" spans="1:7" x14ac:dyDescent="0.25">
      <c r="A3214">
        <v>1101001</v>
      </c>
      <c r="B3214" s="25">
        <v>45352</v>
      </c>
      <c r="C3214" t="s">
        <v>98</v>
      </c>
      <c r="D3214" s="6">
        <v>158.6</v>
      </c>
      <c r="E3214" s="9">
        <v>723.24</v>
      </c>
      <c r="F3214" t="str">
        <f t="shared" si="100"/>
        <v>março</v>
      </c>
      <c r="G3214">
        <f t="shared" si="101"/>
        <v>2024</v>
      </c>
    </row>
    <row r="3215" spans="1:7" x14ac:dyDescent="0.25">
      <c r="A3215">
        <v>1101002</v>
      </c>
      <c r="B3215" s="25">
        <v>45352</v>
      </c>
      <c r="C3215" t="s">
        <v>687</v>
      </c>
      <c r="D3215" s="6">
        <v>1522.85</v>
      </c>
      <c r="E3215" s="9">
        <v>6102.34</v>
      </c>
      <c r="F3215" t="str">
        <f t="shared" si="100"/>
        <v>março</v>
      </c>
      <c r="G3215">
        <f t="shared" si="101"/>
        <v>2024</v>
      </c>
    </row>
    <row r="3216" spans="1:7" x14ac:dyDescent="0.25">
      <c r="A3216">
        <v>1101003</v>
      </c>
      <c r="B3216" s="25">
        <v>45352</v>
      </c>
      <c r="C3216" t="s">
        <v>779</v>
      </c>
      <c r="D3216" s="6">
        <v>50</v>
      </c>
      <c r="E3216" s="9">
        <v>190</v>
      </c>
      <c r="F3216" t="str">
        <f t="shared" si="100"/>
        <v>março</v>
      </c>
      <c r="G3216">
        <f t="shared" si="101"/>
        <v>2024</v>
      </c>
    </row>
    <row r="3217" spans="1:7" x14ac:dyDescent="0.25">
      <c r="A3217">
        <v>1101100</v>
      </c>
      <c r="B3217" s="25">
        <v>45352</v>
      </c>
      <c r="C3217" t="s">
        <v>100</v>
      </c>
      <c r="D3217" s="6">
        <v>21247.87</v>
      </c>
      <c r="E3217" s="9">
        <v>73822.63</v>
      </c>
      <c r="F3217" t="str">
        <f t="shared" si="100"/>
        <v>março</v>
      </c>
      <c r="G3217">
        <f t="shared" si="101"/>
        <v>2024</v>
      </c>
    </row>
    <row r="3218" spans="1:7" x14ac:dyDescent="0.25">
      <c r="A3218">
        <v>1101102</v>
      </c>
      <c r="B3218" s="25">
        <v>45352</v>
      </c>
      <c r="C3218" t="s">
        <v>742</v>
      </c>
      <c r="D3218" s="6">
        <v>1421.6</v>
      </c>
      <c r="E3218" s="9">
        <v>4549.8</v>
      </c>
      <c r="F3218" t="str">
        <f t="shared" si="100"/>
        <v>março</v>
      </c>
      <c r="G3218">
        <f t="shared" si="101"/>
        <v>2024</v>
      </c>
    </row>
    <row r="3219" spans="1:7" x14ac:dyDescent="0.25">
      <c r="A3219">
        <v>1101103</v>
      </c>
      <c r="B3219" s="25">
        <v>45352</v>
      </c>
      <c r="C3219" t="s">
        <v>350</v>
      </c>
      <c r="D3219" s="6">
        <v>2204.4</v>
      </c>
      <c r="E3219" s="9">
        <v>7198.16</v>
      </c>
      <c r="F3219" t="str">
        <f t="shared" si="100"/>
        <v>março</v>
      </c>
      <c r="G3219">
        <f t="shared" si="101"/>
        <v>2024</v>
      </c>
    </row>
    <row r="3220" spans="1:7" x14ac:dyDescent="0.25">
      <c r="A3220">
        <v>1101108</v>
      </c>
      <c r="B3220" s="25">
        <v>45352</v>
      </c>
      <c r="C3220" t="s">
        <v>743</v>
      </c>
      <c r="D3220" s="6">
        <v>231.97</v>
      </c>
      <c r="E3220" s="9">
        <v>585.29999999999995</v>
      </c>
      <c r="F3220" t="str">
        <f t="shared" si="100"/>
        <v>março</v>
      </c>
      <c r="G3220">
        <f t="shared" si="101"/>
        <v>2024</v>
      </c>
    </row>
    <row r="3221" spans="1:7" x14ac:dyDescent="0.25">
      <c r="A3221">
        <v>1101300</v>
      </c>
      <c r="B3221" s="25">
        <v>45352</v>
      </c>
      <c r="C3221" t="s">
        <v>102</v>
      </c>
      <c r="D3221" s="6">
        <v>769.7</v>
      </c>
      <c r="E3221" s="9">
        <v>2519.7199999999998</v>
      </c>
      <c r="F3221" t="str">
        <f t="shared" si="100"/>
        <v>março</v>
      </c>
      <c r="G3221">
        <f t="shared" si="101"/>
        <v>2024</v>
      </c>
    </row>
    <row r="3222" spans="1:7" x14ac:dyDescent="0.25">
      <c r="A3222">
        <v>1101400</v>
      </c>
      <c r="B3222" s="25">
        <v>45352</v>
      </c>
      <c r="C3222" t="s">
        <v>104</v>
      </c>
      <c r="D3222" s="6">
        <v>15463.92</v>
      </c>
      <c r="E3222" s="9">
        <v>44145.06</v>
      </c>
      <c r="F3222" t="str">
        <f t="shared" si="100"/>
        <v>março</v>
      </c>
      <c r="G3222">
        <f t="shared" si="101"/>
        <v>2024</v>
      </c>
    </row>
    <row r="3223" spans="1:7" x14ac:dyDescent="0.25">
      <c r="A3223">
        <v>1101500</v>
      </c>
      <c r="B3223" s="25">
        <v>45352</v>
      </c>
      <c r="C3223" t="s">
        <v>106</v>
      </c>
      <c r="D3223" s="6">
        <v>761.3</v>
      </c>
      <c r="E3223" s="9">
        <v>2223.38</v>
      </c>
      <c r="F3223" t="str">
        <f t="shared" si="100"/>
        <v>março</v>
      </c>
      <c r="G3223">
        <f t="shared" si="101"/>
        <v>2024</v>
      </c>
    </row>
    <row r="3224" spans="1:7" x14ac:dyDescent="0.25">
      <c r="A3224">
        <v>1101600</v>
      </c>
      <c r="B3224" s="25">
        <v>45352</v>
      </c>
      <c r="C3224" t="s">
        <v>108</v>
      </c>
      <c r="D3224" s="6">
        <v>157.19999999999999</v>
      </c>
      <c r="E3224" s="9">
        <v>465.72</v>
      </c>
      <c r="F3224" t="str">
        <f t="shared" si="100"/>
        <v>março</v>
      </c>
      <c r="G3224">
        <f t="shared" si="101"/>
        <v>2024</v>
      </c>
    </row>
    <row r="3225" spans="1:7" x14ac:dyDescent="0.25">
      <c r="A3225">
        <v>1101700</v>
      </c>
      <c r="B3225" s="25">
        <v>45352</v>
      </c>
      <c r="C3225" t="s">
        <v>110</v>
      </c>
      <c r="D3225" s="6">
        <v>221.3</v>
      </c>
      <c r="E3225" s="9">
        <v>628.52</v>
      </c>
      <c r="F3225" t="str">
        <f t="shared" si="100"/>
        <v>março</v>
      </c>
      <c r="G3225">
        <f t="shared" si="101"/>
        <v>2024</v>
      </c>
    </row>
    <row r="3226" spans="1:7" x14ac:dyDescent="0.25">
      <c r="A3226">
        <v>1101801</v>
      </c>
      <c r="B3226" s="25">
        <v>45352</v>
      </c>
      <c r="C3226" t="s">
        <v>112</v>
      </c>
      <c r="D3226" s="6">
        <v>898.23</v>
      </c>
      <c r="E3226" s="9">
        <v>2570.5500000000002</v>
      </c>
      <c r="F3226" t="str">
        <f t="shared" si="100"/>
        <v>março</v>
      </c>
      <c r="G3226">
        <f t="shared" si="101"/>
        <v>2024</v>
      </c>
    </row>
    <row r="3227" spans="1:7" x14ac:dyDescent="0.25">
      <c r="A3227">
        <v>1101900</v>
      </c>
      <c r="B3227" s="25">
        <v>45352</v>
      </c>
      <c r="C3227" t="s">
        <v>114</v>
      </c>
      <c r="D3227" s="6">
        <v>2756.3</v>
      </c>
      <c r="E3227" s="9">
        <v>10010.4</v>
      </c>
      <c r="F3227" t="str">
        <f t="shared" si="100"/>
        <v>março</v>
      </c>
      <c r="G3227">
        <f t="shared" si="101"/>
        <v>2024</v>
      </c>
    </row>
    <row r="3228" spans="1:7" x14ac:dyDescent="0.25">
      <c r="A3228">
        <v>1101901</v>
      </c>
      <c r="B3228" s="25">
        <v>45352</v>
      </c>
      <c r="C3228" t="s">
        <v>448</v>
      </c>
      <c r="D3228" s="6">
        <v>615.63</v>
      </c>
      <c r="E3228" s="9">
        <v>2227.59</v>
      </c>
      <c r="F3228" t="str">
        <f t="shared" si="100"/>
        <v>março</v>
      </c>
      <c r="G3228">
        <f t="shared" si="101"/>
        <v>2024</v>
      </c>
    </row>
    <row r="3229" spans="1:7" x14ac:dyDescent="0.25">
      <c r="A3229">
        <v>1101902</v>
      </c>
      <c r="B3229" s="25">
        <v>45352</v>
      </c>
      <c r="C3229" t="s">
        <v>351</v>
      </c>
      <c r="D3229" s="6">
        <v>630.24</v>
      </c>
      <c r="E3229" s="9">
        <v>2623.3</v>
      </c>
      <c r="F3229" t="str">
        <f t="shared" si="100"/>
        <v>março</v>
      </c>
      <c r="G3229">
        <f t="shared" si="101"/>
        <v>2024</v>
      </c>
    </row>
    <row r="3230" spans="1:7" x14ac:dyDescent="0.25">
      <c r="A3230">
        <v>1101904</v>
      </c>
      <c r="B3230" s="25">
        <v>45352</v>
      </c>
      <c r="C3230" t="s">
        <v>765</v>
      </c>
      <c r="D3230" s="6">
        <v>12.9</v>
      </c>
      <c r="E3230" s="9">
        <v>54.18</v>
      </c>
      <c r="F3230" t="str">
        <f t="shared" si="100"/>
        <v>março</v>
      </c>
      <c r="G3230">
        <f t="shared" si="101"/>
        <v>2024</v>
      </c>
    </row>
    <row r="3231" spans="1:7" x14ac:dyDescent="0.25">
      <c r="A3231">
        <v>1102000</v>
      </c>
      <c r="B3231" s="25">
        <v>45352</v>
      </c>
      <c r="C3231" t="s">
        <v>115</v>
      </c>
      <c r="D3231" s="6">
        <v>228.5</v>
      </c>
      <c r="E3231" s="9">
        <v>1022.35</v>
      </c>
      <c r="F3231" t="str">
        <f t="shared" si="100"/>
        <v>março</v>
      </c>
      <c r="G3231">
        <f t="shared" si="101"/>
        <v>2024</v>
      </c>
    </row>
    <row r="3232" spans="1:7" x14ac:dyDescent="0.25">
      <c r="A3232">
        <v>1102100</v>
      </c>
      <c r="B3232" s="25">
        <v>45352</v>
      </c>
      <c r="C3232" t="s">
        <v>688</v>
      </c>
      <c r="D3232" s="6">
        <v>50.6</v>
      </c>
      <c r="E3232" s="9">
        <v>167.67</v>
      </c>
      <c r="F3232" t="str">
        <f t="shared" si="100"/>
        <v>março</v>
      </c>
      <c r="G3232">
        <f t="shared" si="101"/>
        <v>2024</v>
      </c>
    </row>
    <row r="3233" spans="1:7" x14ac:dyDescent="0.25">
      <c r="A3233">
        <v>1102200</v>
      </c>
      <c r="B3233" s="25">
        <v>45352</v>
      </c>
      <c r="C3233" t="s">
        <v>117</v>
      </c>
      <c r="D3233" s="6">
        <v>40</v>
      </c>
      <c r="E3233" s="9">
        <v>146.03</v>
      </c>
      <c r="F3233" t="str">
        <f t="shared" si="100"/>
        <v>março</v>
      </c>
      <c r="G3233">
        <f t="shared" si="101"/>
        <v>2024</v>
      </c>
    </row>
    <row r="3234" spans="1:7" x14ac:dyDescent="0.25">
      <c r="A3234">
        <v>1102300</v>
      </c>
      <c r="B3234" s="25">
        <v>45352</v>
      </c>
      <c r="C3234" t="s">
        <v>119</v>
      </c>
      <c r="D3234" s="6">
        <v>3399.1</v>
      </c>
      <c r="E3234" s="9">
        <v>10070.42</v>
      </c>
      <c r="F3234" t="str">
        <f t="shared" si="100"/>
        <v>março</v>
      </c>
      <c r="G3234">
        <f t="shared" si="101"/>
        <v>2024</v>
      </c>
    </row>
    <row r="3235" spans="1:7" x14ac:dyDescent="0.25">
      <c r="A3235">
        <v>1103000</v>
      </c>
      <c r="B3235" s="25">
        <v>45352</v>
      </c>
      <c r="C3235" t="s">
        <v>121</v>
      </c>
      <c r="D3235" s="6">
        <v>416.08</v>
      </c>
      <c r="E3235" s="9">
        <v>969.74</v>
      </c>
      <c r="F3235" t="str">
        <f t="shared" si="100"/>
        <v>março</v>
      </c>
      <c r="G3235">
        <f t="shared" si="101"/>
        <v>2024</v>
      </c>
    </row>
    <row r="3236" spans="1:7" x14ac:dyDescent="0.25">
      <c r="A3236">
        <v>1103001</v>
      </c>
      <c r="B3236" s="25">
        <v>45352</v>
      </c>
      <c r="C3236" t="s">
        <v>123</v>
      </c>
      <c r="D3236" s="6">
        <v>7.6</v>
      </c>
      <c r="E3236" s="9">
        <v>18.239999999999998</v>
      </c>
      <c r="F3236" t="str">
        <f t="shared" si="100"/>
        <v>março</v>
      </c>
      <c r="G3236">
        <f t="shared" si="101"/>
        <v>2024</v>
      </c>
    </row>
    <row r="3237" spans="1:7" x14ac:dyDescent="0.25">
      <c r="A3237">
        <v>1300001</v>
      </c>
      <c r="B3237" s="25">
        <v>45352</v>
      </c>
      <c r="C3237" t="s">
        <v>967</v>
      </c>
      <c r="D3237" s="6">
        <v>87.01</v>
      </c>
      <c r="E3237" s="9">
        <v>469.88</v>
      </c>
      <c r="F3237" t="str">
        <f t="shared" si="100"/>
        <v>março</v>
      </c>
      <c r="G3237">
        <f t="shared" si="101"/>
        <v>2024</v>
      </c>
    </row>
    <row r="3238" spans="1:7" x14ac:dyDescent="0.25">
      <c r="A3238">
        <v>1300002</v>
      </c>
      <c r="B3238" s="25">
        <v>45352</v>
      </c>
      <c r="C3238" t="s">
        <v>968</v>
      </c>
      <c r="D3238" s="6">
        <v>331.1</v>
      </c>
      <c r="E3238" s="9">
        <v>2383.96</v>
      </c>
      <c r="F3238" t="str">
        <f t="shared" si="100"/>
        <v>março</v>
      </c>
      <c r="G3238">
        <f t="shared" si="101"/>
        <v>2024</v>
      </c>
    </row>
    <row r="3239" spans="1:7" x14ac:dyDescent="0.25">
      <c r="A3239">
        <v>1300003</v>
      </c>
      <c r="B3239" s="25">
        <v>45352</v>
      </c>
      <c r="C3239" t="s">
        <v>969</v>
      </c>
      <c r="D3239" s="6">
        <v>193.43</v>
      </c>
      <c r="E3239" s="9">
        <v>1218.6099999999999</v>
      </c>
      <c r="F3239" t="str">
        <f t="shared" si="100"/>
        <v>março</v>
      </c>
      <c r="G3239">
        <f t="shared" si="101"/>
        <v>2024</v>
      </c>
    </row>
    <row r="3240" spans="1:7" x14ac:dyDescent="0.25">
      <c r="A3240">
        <v>1300004</v>
      </c>
      <c r="B3240" s="25">
        <v>45352</v>
      </c>
      <c r="C3240" t="s">
        <v>970</v>
      </c>
      <c r="D3240" s="6">
        <v>60.57</v>
      </c>
      <c r="E3240" s="9">
        <v>345.25</v>
      </c>
      <c r="F3240" t="str">
        <f t="shared" si="100"/>
        <v>março</v>
      </c>
      <c r="G3240">
        <f t="shared" si="101"/>
        <v>2024</v>
      </c>
    </row>
    <row r="3241" spans="1:7" x14ac:dyDescent="0.25">
      <c r="A3241">
        <v>1300005</v>
      </c>
      <c r="B3241" s="25">
        <v>45352</v>
      </c>
      <c r="C3241" t="s">
        <v>971</v>
      </c>
      <c r="D3241" s="6">
        <v>40.29</v>
      </c>
      <c r="E3241" s="9">
        <v>342.51</v>
      </c>
      <c r="F3241" t="str">
        <f t="shared" si="100"/>
        <v>março</v>
      </c>
      <c r="G3241">
        <f t="shared" si="101"/>
        <v>2024</v>
      </c>
    </row>
    <row r="3242" spans="1:7" x14ac:dyDescent="0.25">
      <c r="A3242">
        <v>1300006</v>
      </c>
      <c r="B3242" s="25">
        <v>45352</v>
      </c>
      <c r="C3242" t="s">
        <v>972</v>
      </c>
      <c r="D3242" s="6">
        <v>175.16</v>
      </c>
      <c r="E3242" s="9">
        <v>1243.67</v>
      </c>
      <c r="F3242" t="str">
        <f t="shared" si="100"/>
        <v>março</v>
      </c>
      <c r="G3242">
        <f t="shared" si="101"/>
        <v>2024</v>
      </c>
    </row>
    <row r="3243" spans="1:7" x14ac:dyDescent="0.25">
      <c r="A3243">
        <v>1300007</v>
      </c>
      <c r="B3243" s="25">
        <v>45352</v>
      </c>
      <c r="C3243" t="s">
        <v>973</v>
      </c>
      <c r="D3243" s="6">
        <v>12.72</v>
      </c>
      <c r="E3243" s="9">
        <v>137.38</v>
      </c>
      <c r="F3243" t="str">
        <f t="shared" si="100"/>
        <v>março</v>
      </c>
      <c r="G3243">
        <f t="shared" si="101"/>
        <v>2024</v>
      </c>
    </row>
    <row r="3244" spans="1:7" x14ac:dyDescent="0.25">
      <c r="A3244">
        <v>1300008</v>
      </c>
      <c r="B3244" s="25">
        <v>45352</v>
      </c>
      <c r="C3244" t="s">
        <v>974</v>
      </c>
      <c r="D3244" s="6">
        <v>78.510000000000005</v>
      </c>
      <c r="E3244" s="9">
        <v>510.35</v>
      </c>
      <c r="F3244" t="str">
        <f t="shared" si="100"/>
        <v>março</v>
      </c>
      <c r="G3244">
        <f t="shared" si="101"/>
        <v>2024</v>
      </c>
    </row>
    <row r="3245" spans="1:7" x14ac:dyDescent="0.25">
      <c r="A3245">
        <v>1300009</v>
      </c>
      <c r="B3245" s="25">
        <v>45352</v>
      </c>
      <c r="C3245" t="s">
        <v>975</v>
      </c>
      <c r="D3245" s="6">
        <v>107.3</v>
      </c>
      <c r="E3245" s="9">
        <v>697.45</v>
      </c>
      <c r="F3245" t="str">
        <f t="shared" si="100"/>
        <v>março</v>
      </c>
      <c r="G3245">
        <f t="shared" si="101"/>
        <v>2024</v>
      </c>
    </row>
    <row r="3246" spans="1:7" x14ac:dyDescent="0.25">
      <c r="A3246">
        <v>1300010</v>
      </c>
      <c r="B3246" s="25">
        <v>45352</v>
      </c>
      <c r="C3246" t="s">
        <v>976</v>
      </c>
      <c r="D3246" s="6">
        <v>5.47</v>
      </c>
      <c r="E3246" s="9">
        <v>71.11</v>
      </c>
      <c r="F3246" t="str">
        <f t="shared" si="100"/>
        <v>março</v>
      </c>
      <c r="G3246">
        <f t="shared" si="101"/>
        <v>2024</v>
      </c>
    </row>
    <row r="3247" spans="1:7" x14ac:dyDescent="0.25">
      <c r="A3247">
        <v>1300011</v>
      </c>
      <c r="B3247" s="25">
        <v>45352</v>
      </c>
      <c r="C3247" t="s">
        <v>977</v>
      </c>
      <c r="D3247" s="6">
        <v>8.7799999999999994</v>
      </c>
      <c r="E3247" s="9">
        <v>86.92</v>
      </c>
      <c r="F3247" t="str">
        <f t="shared" si="100"/>
        <v>março</v>
      </c>
      <c r="G3247">
        <f t="shared" si="101"/>
        <v>2024</v>
      </c>
    </row>
    <row r="3248" spans="1:7" x14ac:dyDescent="0.25">
      <c r="A3248">
        <v>1300012</v>
      </c>
      <c r="B3248" s="25">
        <v>45352</v>
      </c>
      <c r="C3248" t="s">
        <v>978</v>
      </c>
      <c r="D3248" s="6">
        <v>33.11</v>
      </c>
      <c r="E3248" s="9">
        <v>413.94</v>
      </c>
      <c r="F3248" t="str">
        <f t="shared" si="100"/>
        <v>março</v>
      </c>
      <c r="G3248">
        <f t="shared" si="101"/>
        <v>2024</v>
      </c>
    </row>
    <row r="3249" spans="1:7" x14ac:dyDescent="0.25">
      <c r="A3249">
        <v>1300013</v>
      </c>
      <c r="B3249" s="25">
        <v>45352</v>
      </c>
      <c r="C3249" t="s">
        <v>979</v>
      </c>
      <c r="D3249" s="6">
        <v>164.22</v>
      </c>
      <c r="E3249" s="9">
        <v>968.9</v>
      </c>
      <c r="F3249" t="str">
        <f t="shared" si="100"/>
        <v>março</v>
      </c>
      <c r="G3249">
        <f t="shared" si="101"/>
        <v>2024</v>
      </c>
    </row>
    <row r="3250" spans="1:7" x14ac:dyDescent="0.25">
      <c r="A3250">
        <v>2010904</v>
      </c>
      <c r="B3250" s="25">
        <v>45352</v>
      </c>
      <c r="C3250" t="s">
        <v>633</v>
      </c>
      <c r="D3250" s="6">
        <v>337</v>
      </c>
      <c r="E3250" s="9">
        <v>341</v>
      </c>
      <c r="F3250" t="str">
        <f t="shared" si="100"/>
        <v>março</v>
      </c>
      <c r="G3250">
        <f t="shared" si="101"/>
        <v>2024</v>
      </c>
    </row>
    <row r="3251" spans="1:7" x14ac:dyDescent="0.25">
      <c r="A3251">
        <v>2010905</v>
      </c>
      <c r="B3251" s="25">
        <v>45352</v>
      </c>
      <c r="C3251" t="s">
        <v>544</v>
      </c>
      <c r="D3251" s="6">
        <v>510</v>
      </c>
      <c r="E3251" s="9">
        <v>423</v>
      </c>
      <c r="F3251" t="str">
        <f t="shared" si="100"/>
        <v>março</v>
      </c>
      <c r="G3251">
        <f t="shared" si="101"/>
        <v>2024</v>
      </c>
    </row>
    <row r="3252" spans="1:7" x14ac:dyDescent="0.25">
      <c r="A3252">
        <v>2011700</v>
      </c>
      <c r="B3252" s="25">
        <v>45352</v>
      </c>
      <c r="C3252" t="s">
        <v>129</v>
      </c>
      <c r="D3252" s="6">
        <v>176.6</v>
      </c>
      <c r="E3252" s="9">
        <v>428.99</v>
      </c>
      <c r="F3252" t="str">
        <f t="shared" si="100"/>
        <v>março</v>
      </c>
      <c r="G3252">
        <f t="shared" si="101"/>
        <v>2024</v>
      </c>
    </row>
    <row r="3253" spans="1:7" x14ac:dyDescent="0.25">
      <c r="A3253">
        <v>2090002</v>
      </c>
      <c r="B3253" s="25">
        <v>45352</v>
      </c>
      <c r="C3253" t="s">
        <v>451</v>
      </c>
      <c r="D3253" s="6">
        <v>144.75</v>
      </c>
      <c r="E3253" s="9">
        <v>749.19</v>
      </c>
      <c r="F3253" t="str">
        <f t="shared" si="100"/>
        <v>março</v>
      </c>
      <c r="G3253">
        <f t="shared" si="101"/>
        <v>2024</v>
      </c>
    </row>
    <row r="3254" spans="1:7" x14ac:dyDescent="0.25">
      <c r="A3254">
        <v>2101100</v>
      </c>
      <c r="B3254" s="25">
        <v>45352</v>
      </c>
      <c r="C3254" t="s">
        <v>453</v>
      </c>
      <c r="D3254" s="6">
        <v>65</v>
      </c>
      <c r="E3254" s="9">
        <v>254.15</v>
      </c>
      <c r="F3254" t="str">
        <f t="shared" si="100"/>
        <v>março</v>
      </c>
      <c r="G3254">
        <f t="shared" si="101"/>
        <v>2024</v>
      </c>
    </row>
    <row r="3255" spans="1:7" x14ac:dyDescent="0.25">
      <c r="A3255">
        <v>3020103</v>
      </c>
      <c r="B3255" s="25">
        <v>45352</v>
      </c>
      <c r="C3255" t="s">
        <v>131</v>
      </c>
      <c r="D3255" s="6">
        <v>5327</v>
      </c>
      <c r="E3255" s="9">
        <v>17789.349999999999</v>
      </c>
      <c r="F3255" t="str">
        <f t="shared" si="100"/>
        <v>março</v>
      </c>
      <c r="G3255">
        <f t="shared" si="101"/>
        <v>2024</v>
      </c>
    </row>
    <row r="3256" spans="1:7" x14ac:dyDescent="0.25">
      <c r="A3256">
        <v>3020212</v>
      </c>
      <c r="B3256" s="25">
        <v>45352</v>
      </c>
      <c r="C3256" t="s">
        <v>133</v>
      </c>
      <c r="D3256" s="6">
        <v>1690.64</v>
      </c>
      <c r="E3256" s="9">
        <v>6378.8</v>
      </c>
      <c r="F3256" t="str">
        <f t="shared" si="100"/>
        <v>março</v>
      </c>
      <c r="G3256">
        <f t="shared" si="101"/>
        <v>2024</v>
      </c>
    </row>
    <row r="3257" spans="1:7" x14ac:dyDescent="0.25">
      <c r="A3257">
        <v>3020214</v>
      </c>
      <c r="B3257" s="25">
        <v>45352</v>
      </c>
      <c r="C3257" t="s">
        <v>135</v>
      </c>
      <c r="D3257" s="6">
        <v>547</v>
      </c>
      <c r="E3257" s="9">
        <v>1984.23</v>
      </c>
      <c r="F3257" t="str">
        <f t="shared" si="100"/>
        <v>março</v>
      </c>
      <c r="G3257">
        <f t="shared" si="101"/>
        <v>2024</v>
      </c>
    </row>
    <row r="3258" spans="1:7" x14ac:dyDescent="0.25">
      <c r="A3258">
        <v>3020315</v>
      </c>
      <c r="B3258" s="25">
        <v>45352</v>
      </c>
      <c r="C3258" t="s">
        <v>137</v>
      </c>
      <c r="D3258" s="6">
        <v>2508.84</v>
      </c>
      <c r="E3258" s="9">
        <v>9080.4599999999991</v>
      </c>
      <c r="F3258" t="str">
        <f t="shared" si="100"/>
        <v>março</v>
      </c>
      <c r="G3258">
        <f t="shared" si="101"/>
        <v>2024</v>
      </c>
    </row>
    <row r="3259" spans="1:7" x14ac:dyDescent="0.25">
      <c r="A3259">
        <v>3020316</v>
      </c>
      <c r="B3259" s="25">
        <v>45352</v>
      </c>
      <c r="C3259" t="s">
        <v>139</v>
      </c>
      <c r="D3259" s="6">
        <v>203.4</v>
      </c>
      <c r="E3259" s="9">
        <v>661.06</v>
      </c>
      <c r="F3259" t="str">
        <f t="shared" si="100"/>
        <v>março</v>
      </c>
      <c r="G3259">
        <f t="shared" si="101"/>
        <v>2024</v>
      </c>
    </row>
    <row r="3260" spans="1:7" x14ac:dyDescent="0.25">
      <c r="A3260">
        <v>3020317</v>
      </c>
      <c r="B3260" s="25">
        <v>45352</v>
      </c>
      <c r="C3260" t="s">
        <v>845</v>
      </c>
      <c r="D3260" s="6">
        <v>69</v>
      </c>
      <c r="E3260" s="9">
        <v>241.5</v>
      </c>
      <c r="F3260" t="str">
        <f t="shared" si="100"/>
        <v>março</v>
      </c>
      <c r="G3260">
        <f t="shared" si="101"/>
        <v>2024</v>
      </c>
    </row>
    <row r="3261" spans="1:7" x14ac:dyDescent="0.25">
      <c r="A3261">
        <v>3020318</v>
      </c>
      <c r="B3261" s="25">
        <v>45352</v>
      </c>
      <c r="C3261" t="s">
        <v>847</v>
      </c>
      <c r="D3261" s="6">
        <v>34.5</v>
      </c>
      <c r="E3261" s="9">
        <v>120.75</v>
      </c>
      <c r="F3261" t="str">
        <f t="shared" si="100"/>
        <v>março</v>
      </c>
      <c r="G3261">
        <f t="shared" si="101"/>
        <v>2024</v>
      </c>
    </row>
    <row r="3262" spans="1:7" x14ac:dyDescent="0.25">
      <c r="A3262">
        <v>3020402</v>
      </c>
      <c r="B3262" s="25">
        <v>45352</v>
      </c>
      <c r="C3262" t="s">
        <v>141</v>
      </c>
      <c r="D3262" s="6">
        <v>1983.76</v>
      </c>
      <c r="E3262" s="9">
        <v>7196.6</v>
      </c>
      <c r="F3262" t="str">
        <f t="shared" si="100"/>
        <v>março</v>
      </c>
      <c r="G3262">
        <f t="shared" si="101"/>
        <v>2024</v>
      </c>
    </row>
    <row r="3263" spans="1:7" x14ac:dyDescent="0.25">
      <c r="A3263">
        <v>3020504</v>
      </c>
      <c r="B3263" s="25">
        <v>45352</v>
      </c>
      <c r="C3263" t="s">
        <v>143</v>
      </c>
      <c r="D3263" s="6">
        <v>435.86</v>
      </c>
      <c r="E3263" s="9">
        <v>1688.22</v>
      </c>
      <c r="F3263" t="str">
        <f t="shared" si="100"/>
        <v>março</v>
      </c>
      <c r="G3263">
        <f t="shared" si="101"/>
        <v>2024</v>
      </c>
    </row>
    <row r="3264" spans="1:7" x14ac:dyDescent="0.25">
      <c r="A3264">
        <v>3020622</v>
      </c>
      <c r="B3264" s="25">
        <v>45352</v>
      </c>
      <c r="C3264" t="s">
        <v>145</v>
      </c>
      <c r="D3264" s="6">
        <v>7633.5</v>
      </c>
      <c r="E3264" s="9">
        <v>28036.86</v>
      </c>
      <c r="F3264" t="str">
        <f t="shared" si="100"/>
        <v>março</v>
      </c>
      <c r="G3264">
        <f t="shared" si="101"/>
        <v>2024</v>
      </c>
    </row>
    <row r="3265" spans="1:7" x14ac:dyDescent="0.25">
      <c r="A3265">
        <v>3020623</v>
      </c>
      <c r="B3265" s="25">
        <v>45352</v>
      </c>
      <c r="C3265" t="s">
        <v>147</v>
      </c>
      <c r="D3265" s="6">
        <v>621.29999999999995</v>
      </c>
      <c r="E3265" s="9">
        <v>2400.5100000000002</v>
      </c>
      <c r="F3265" t="str">
        <f t="shared" si="100"/>
        <v>março</v>
      </c>
      <c r="G3265">
        <f t="shared" si="101"/>
        <v>2024</v>
      </c>
    </row>
    <row r="3266" spans="1:7" x14ac:dyDescent="0.25">
      <c r="A3266">
        <v>3020725</v>
      </c>
      <c r="B3266" s="25">
        <v>45352</v>
      </c>
      <c r="C3266" t="s">
        <v>149</v>
      </c>
      <c r="D3266" s="6">
        <v>338.57</v>
      </c>
      <c r="E3266" s="9">
        <v>1282.01</v>
      </c>
      <c r="F3266" t="str">
        <f t="shared" si="100"/>
        <v>março</v>
      </c>
      <c r="G3266">
        <f t="shared" si="101"/>
        <v>2024</v>
      </c>
    </row>
    <row r="3267" spans="1:7" x14ac:dyDescent="0.25">
      <c r="A3267">
        <v>3020823</v>
      </c>
      <c r="B3267" s="25">
        <v>45352</v>
      </c>
      <c r="C3267" t="s">
        <v>151</v>
      </c>
      <c r="D3267" s="6">
        <v>2185.09</v>
      </c>
      <c r="E3267" s="9">
        <v>8253.27</v>
      </c>
      <c r="F3267" t="str">
        <f t="shared" ref="F3267:F3330" si="102">TEXT(B3267,"mmmm")</f>
        <v>março</v>
      </c>
      <c r="G3267">
        <f t="shared" ref="G3267:G3330" si="103">YEAR(B3267)</f>
        <v>2024</v>
      </c>
    </row>
    <row r="3268" spans="1:7" x14ac:dyDescent="0.25">
      <c r="A3268">
        <v>3020824</v>
      </c>
      <c r="B3268" s="25">
        <v>45352</v>
      </c>
      <c r="C3268" t="s">
        <v>153</v>
      </c>
      <c r="D3268" s="6">
        <v>1552.09</v>
      </c>
      <c r="E3268" s="9">
        <v>5792.89</v>
      </c>
      <c r="F3268" t="str">
        <f t="shared" si="102"/>
        <v>março</v>
      </c>
      <c r="G3268">
        <f t="shared" si="103"/>
        <v>2024</v>
      </c>
    </row>
    <row r="3269" spans="1:7" x14ac:dyDescent="0.25">
      <c r="A3269">
        <v>3020825</v>
      </c>
      <c r="B3269" s="25">
        <v>45352</v>
      </c>
      <c r="C3269" t="s">
        <v>455</v>
      </c>
      <c r="D3269" s="6">
        <v>737.93</v>
      </c>
      <c r="E3269" s="9">
        <v>3025.54</v>
      </c>
      <c r="F3269" t="str">
        <f t="shared" si="102"/>
        <v>março</v>
      </c>
      <c r="G3269">
        <f t="shared" si="103"/>
        <v>2024</v>
      </c>
    </row>
    <row r="3270" spans="1:7" x14ac:dyDescent="0.25">
      <c r="A3270">
        <v>3020924</v>
      </c>
      <c r="B3270" s="25">
        <v>45352</v>
      </c>
      <c r="C3270" t="s">
        <v>155</v>
      </c>
      <c r="D3270" s="6">
        <v>1097.71</v>
      </c>
      <c r="E3270" s="9">
        <v>4186.79</v>
      </c>
      <c r="F3270" t="str">
        <f t="shared" si="102"/>
        <v>março</v>
      </c>
      <c r="G3270">
        <f t="shared" si="103"/>
        <v>2024</v>
      </c>
    </row>
    <row r="3271" spans="1:7" x14ac:dyDescent="0.25">
      <c r="A3271">
        <v>3020925</v>
      </c>
      <c r="B3271" s="25">
        <v>45352</v>
      </c>
      <c r="C3271" t="s">
        <v>157</v>
      </c>
      <c r="D3271" s="6">
        <v>1263.24</v>
      </c>
      <c r="E3271" s="9">
        <v>4694.12</v>
      </c>
      <c r="F3271" t="str">
        <f t="shared" si="102"/>
        <v>março</v>
      </c>
      <c r="G3271">
        <f t="shared" si="103"/>
        <v>2024</v>
      </c>
    </row>
    <row r="3272" spans="1:7" x14ac:dyDescent="0.25">
      <c r="A3272">
        <v>3021436</v>
      </c>
      <c r="B3272" s="25">
        <v>45352</v>
      </c>
      <c r="C3272" t="s">
        <v>546</v>
      </c>
      <c r="D3272" s="6">
        <v>362.79</v>
      </c>
      <c r="E3272" s="9">
        <v>1180.2</v>
      </c>
      <c r="F3272" t="str">
        <f t="shared" si="102"/>
        <v>março</v>
      </c>
      <c r="G3272">
        <f t="shared" si="103"/>
        <v>2024</v>
      </c>
    </row>
    <row r="3273" spans="1:7" x14ac:dyDescent="0.25">
      <c r="A3273">
        <v>3021538</v>
      </c>
      <c r="B3273" s="25">
        <v>45352</v>
      </c>
      <c r="C3273" t="s">
        <v>548</v>
      </c>
      <c r="D3273" s="6">
        <v>409.25</v>
      </c>
      <c r="E3273" s="9">
        <v>1202.08</v>
      </c>
      <c r="F3273" t="str">
        <f t="shared" si="102"/>
        <v>março</v>
      </c>
      <c r="G3273">
        <f t="shared" si="103"/>
        <v>2024</v>
      </c>
    </row>
    <row r="3274" spans="1:7" x14ac:dyDescent="0.25">
      <c r="A3274">
        <v>3021639</v>
      </c>
      <c r="B3274" s="25">
        <v>45352</v>
      </c>
      <c r="C3274" t="s">
        <v>457</v>
      </c>
      <c r="D3274" s="6">
        <v>19.72</v>
      </c>
      <c r="E3274" s="9">
        <v>61.13</v>
      </c>
      <c r="F3274" t="str">
        <f t="shared" si="102"/>
        <v>março</v>
      </c>
      <c r="G3274">
        <f t="shared" si="103"/>
        <v>2024</v>
      </c>
    </row>
    <row r="3275" spans="1:7" x14ac:dyDescent="0.25">
      <c r="A3275">
        <v>3021739</v>
      </c>
      <c r="B3275" s="25">
        <v>45352</v>
      </c>
      <c r="C3275" t="s">
        <v>165</v>
      </c>
      <c r="D3275" s="6">
        <v>-11.5</v>
      </c>
      <c r="E3275" s="9">
        <v>-32.200000000000003</v>
      </c>
      <c r="F3275" t="str">
        <f t="shared" si="102"/>
        <v>março</v>
      </c>
      <c r="G3275">
        <f t="shared" si="103"/>
        <v>2024</v>
      </c>
    </row>
    <row r="3276" spans="1:7" x14ac:dyDescent="0.25">
      <c r="A3276">
        <v>3021740</v>
      </c>
      <c r="B3276" s="25">
        <v>45352</v>
      </c>
      <c r="C3276" t="s">
        <v>459</v>
      </c>
      <c r="D3276" s="6">
        <v>106.46</v>
      </c>
      <c r="E3276" s="9">
        <v>311.76</v>
      </c>
      <c r="F3276" t="str">
        <f t="shared" si="102"/>
        <v>março</v>
      </c>
      <c r="G3276">
        <f t="shared" si="103"/>
        <v>2024</v>
      </c>
    </row>
    <row r="3277" spans="1:7" x14ac:dyDescent="0.25">
      <c r="A3277">
        <v>3021760</v>
      </c>
      <c r="B3277" s="25">
        <v>45352</v>
      </c>
      <c r="C3277" t="s">
        <v>167</v>
      </c>
      <c r="D3277" s="6">
        <v>5827.88</v>
      </c>
      <c r="E3277" s="9">
        <v>11218.86</v>
      </c>
      <c r="F3277" t="str">
        <f t="shared" si="102"/>
        <v>março</v>
      </c>
      <c r="G3277">
        <f t="shared" si="103"/>
        <v>2024</v>
      </c>
    </row>
    <row r="3278" spans="1:7" x14ac:dyDescent="0.25">
      <c r="A3278">
        <v>3021811</v>
      </c>
      <c r="B3278" s="25">
        <v>45352</v>
      </c>
      <c r="C3278" t="s">
        <v>169</v>
      </c>
      <c r="D3278" s="6">
        <v>1241</v>
      </c>
      <c r="E3278" s="9">
        <v>2561.96</v>
      </c>
      <c r="F3278" t="str">
        <f t="shared" si="102"/>
        <v>março</v>
      </c>
      <c r="G3278">
        <f t="shared" si="103"/>
        <v>2024</v>
      </c>
    </row>
    <row r="3279" spans="1:7" x14ac:dyDescent="0.25">
      <c r="A3279">
        <v>3021812</v>
      </c>
      <c r="B3279" s="25">
        <v>45352</v>
      </c>
      <c r="C3279" t="s">
        <v>171</v>
      </c>
      <c r="D3279" s="6">
        <v>5639.52</v>
      </c>
      <c r="E3279" s="9">
        <v>10571.1</v>
      </c>
      <c r="F3279" t="str">
        <f t="shared" si="102"/>
        <v>março</v>
      </c>
      <c r="G3279">
        <f t="shared" si="103"/>
        <v>2024</v>
      </c>
    </row>
    <row r="3280" spans="1:7" x14ac:dyDescent="0.25">
      <c r="A3280">
        <v>3022100</v>
      </c>
      <c r="B3280" s="25">
        <v>45352</v>
      </c>
      <c r="C3280" t="s">
        <v>173</v>
      </c>
      <c r="D3280" s="6">
        <v>85.36</v>
      </c>
      <c r="E3280" s="9">
        <v>338.07</v>
      </c>
      <c r="F3280" t="str">
        <f t="shared" si="102"/>
        <v>março</v>
      </c>
      <c r="G3280">
        <f t="shared" si="103"/>
        <v>2024</v>
      </c>
    </row>
    <row r="3281" spans="1:7" x14ac:dyDescent="0.25">
      <c r="A3281">
        <v>3022208</v>
      </c>
      <c r="B3281" s="25">
        <v>45352</v>
      </c>
      <c r="C3281" t="s">
        <v>307</v>
      </c>
      <c r="D3281" s="6">
        <v>113.4</v>
      </c>
      <c r="E3281" s="9">
        <v>445.21</v>
      </c>
      <c r="F3281" t="str">
        <f t="shared" si="102"/>
        <v>março</v>
      </c>
      <c r="G3281">
        <f t="shared" si="103"/>
        <v>2024</v>
      </c>
    </row>
    <row r="3282" spans="1:7" x14ac:dyDescent="0.25">
      <c r="A3282">
        <v>3022311</v>
      </c>
      <c r="B3282" s="25">
        <v>45352</v>
      </c>
      <c r="C3282" t="s">
        <v>176</v>
      </c>
      <c r="D3282" s="6">
        <v>2290.6</v>
      </c>
      <c r="E3282" s="9">
        <v>5686.7</v>
      </c>
      <c r="F3282" t="str">
        <f t="shared" si="102"/>
        <v>março</v>
      </c>
      <c r="G3282">
        <f t="shared" si="103"/>
        <v>2024</v>
      </c>
    </row>
    <row r="3283" spans="1:7" x14ac:dyDescent="0.25">
      <c r="A3283">
        <v>3022411</v>
      </c>
      <c r="B3283" s="25">
        <v>45352</v>
      </c>
      <c r="C3283" t="s">
        <v>178</v>
      </c>
      <c r="D3283" s="6">
        <v>145.05000000000001</v>
      </c>
      <c r="E3283" s="9">
        <v>393.78</v>
      </c>
      <c r="F3283" t="str">
        <f t="shared" si="102"/>
        <v>março</v>
      </c>
      <c r="G3283">
        <f t="shared" si="103"/>
        <v>2024</v>
      </c>
    </row>
    <row r="3284" spans="1:7" x14ac:dyDescent="0.25">
      <c r="A3284">
        <v>3022511</v>
      </c>
      <c r="B3284" s="25">
        <v>45352</v>
      </c>
      <c r="C3284" t="s">
        <v>180</v>
      </c>
      <c r="D3284" s="6">
        <v>3.7</v>
      </c>
      <c r="E3284" s="9">
        <v>9.6199999999999992</v>
      </c>
      <c r="F3284" t="str">
        <f t="shared" si="102"/>
        <v>março</v>
      </c>
      <c r="G3284">
        <f t="shared" si="103"/>
        <v>2024</v>
      </c>
    </row>
    <row r="3285" spans="1:7" x14ac:dyDescent="0.25">
      <c r="A3285">
        <v>3022601</v>
      </c>
      <c r="B3285" s="25">
        <v>45352</v>
      </c>
      <c r="C3285" t="s">
        <v>182</v>
      </c>
      <c r="D3285" s="6">
        <v>323</v>
      </c>
      <c r="E3285" s="9">
        <v>1247.3599999999999</v>
      </c>
      <c r="F3285" t="str">
        <f t="shared" si="102"/>
        <v>março</v>
      </c>
      <c r="G3285">
        <f t="shared" si="103"/>
        <v>2024</v>
      </c>
    </row>
    <row r="3286" spans="1:7" x14ac:dyDescent="0.25">
      <c r="A3286">
        <v>3022703</v>
      </c>
      <c r="B3286" s="25">
        <v>45352</v>
      </c>
      <c r="C3286" t="s">
        <v>309</v>
      </c>
      <c r="D3286" s="6">
        <v>742</v>
      </c>
      <c r="E3286" s="9">
        <v>2039.6</v>
      </c>
      <c r="F3286" t="str">
        <f t="shared" si="102"/>
        <v>março</v>
      </c>
      <c r="G3286">
        <f t="shared" si="103"/>
        <v>2024</v>
      </c>
    </row>
    <row r="3287" spans="1:7" x14ac:dyDescent="0.25">
      <c r="A3287">
        <v>3022805</v>
      </c>
      <c r="B3287" s="25">
        <v>45352</v>
      </c>
      <c r="C3287" t="s">
        <v>186</v>
      </c>
      <c r="D3287" s="6">
        <v>2160</v>
      </c>
      <c r="E3287" s="9">
        <v>4521.8500000000004</v>
      </c>
      <c r="F3287" t="str">
        <f t="shared" si="102"/>
        <v>março</v>
      </c>
      <c r="G3287">
        <f t="shared" si="103"/>
        <v>2024</v>
      </c>
    </row>
    <row r="3288" spans="1:7" x14ac:dyDescent="0.25">
      <c r="A3288">
        <v>3022906</v>
      </c>
      <c r="B3288" s="25">
        <v>45352</v>
      </c>
      <c r="C3288" t="s">
        <v>188</v>
      </c>
      <c r="D3288" s="6">
        <v>2680</v>
      </c>
      <c r="E3288" s="9">
        <v>5453.76</v>
      </c>
      <c r="F3288" t="str">
        <f t="shared" si="102"/>
        <v>março</v>
      </c>
      <c r="G3288">
        <f t="shared" si="103"/>
        <v>2024</v>
      </c>
    </row>
    <row r="3289" spans="1:7" x14ac:dyDescent="0.25">
      <c r="A3289">
        <v>3023007</v>
      </c>
      <c r="B3289" s="25">
        <v>45352</v>
      </c>
      <c r="C3289" t="s">
        <v>190</v>
      </c>
      <c r="D3289" s="6">
        <v>1300</v>
      </c>
      <c r="E3289" s="9">
        <v>2635.6</v>
      </c>
      <c r="F3289" t="str">
        <f t="shared" si="102"/>
        <v>março</v>
      </c>
      <c r="G3289">
        <f t="shared" si="103"/>
        <v>2024</v>
      </c>
    </row>
    <row r="3290" spans="1:7" x14ac:dyDescent="0.25">
      <c r="A3290">
        <v>3024001</v>
      </c>
      <c r="B3290" s="25">
        <v>45352</v>
      </c>
      <c r="C3290" t="s">
        <v>192</v>
      </c>
      <c r="D3290" s="6">
        <v>1404.65</v>
      </c>
      <c r="E3290" s="9">
        <v>5352.67</v>
      </c>
      <c r="F3290" t="str">
        <f t="shared" si="102"/>
        <v>março</v>
      </c>
      <c r="G3290">
        <f t="shared" si="103"/>
        <v>2024</v>
      </c>
    </row>
    <row r="3291" spans="1:7" x14ac:dyDescent="0.25">
      <c r="A3291">
        <v>3024003</v>
      </c>
      <c r="B3291" s="25">
        <v>45352</v>
      </c>
      <c r="C3291" t="s">
        <v>196</v>
      </c>
      <c r="D3291" s="6">
        <v>335.5</v>
      </c>
      <c r="E3291" s="9">
        <v>948.39</v>
      </c>
      <c r="F3291" t="str">
        <f t="shared" si="102"/>
        <v>março</v>
      </c>
      <c r="G3291">
        <f t="shared" si="103"/>
        <v>2024</v>
      </c>
    </row>
    <row r="3292" spans="1:7" x14ac:dyDescent="0.25">
      <c r="A3292">
        <v>3024004</v>
      </c>
      <c r="B3292" s="25">
        <v>45352</v>
      </c>
      <c r="C3292" t="s">
        <v>198</v>
      </c>
      <c r="D3292" s="6">
        <v>1567.3</v>
      </c>
      <c r="E3292" s="9">
        <v>1598.4</v>
      </c>
      <c r="F3292" t="str">
        <f t="shared" si="102"/>
        <v>março</v>
      </c>
      <c r="G3292">
        <f t="shared" si="103"/>
        <v>2024</v>
      </c>
    </row>
    <row r="3293" spans="1:7" x14ac:dyDescent="0.25">
      <c r="A3293">
        <v>4030100</v>
      </c>
      <c r="B3293" s="25">
        <v>45352</v>
      </c>
      <c r="C3293" t="s">
        <v>200</v>
      </c>
      <c r="D3293" s="6">
        <v>308.3</v>
      </c>
      <c r="E3293" s="9">
        <v>1905.69</v>
      </c>
      <c r="F3293" t="str">
        <f t="shared" si="102"/>
        <v>março</v>
      </c>
      <c r="G3293">
        <f t="shared" si="103"/>
        <v>2024</v>
      </c>
    </row>
    <row r="3294" spans="1:7" x14ac:dyDescent="0.25">
      <c r="A3294">
        <v>4030211</v>
      </c>
      <c r="B3294" s="25">
        <v>45352</v>
      </c>
      <c r="C3294" t="s">
        <v>202</v>
      </c>
      <c r="D3294" s="6">
        <v>965.5</v>
      </c>
      <c r="E3294" s="9">
        <v>5586.25</v>
      </c>
      <c r="F3294" t="str">
        <f t="shared" si="102"/>
        <v>março</v>
      </c>
      <c r="G3294">
        <f t="shared" si="103"/>
        <v>2024</v>
      </c>
    </row>
    <row r="3295" spans="1:7" x14ac:dyDescent="0.25">
      <c r="A3295">
        <v>4030311</v>
      </c>
      <c r="B3295" s="25">
        <v>45352</v>
      </c>
      <c r="C3295" t="s">
        <v>311</v>
      </c>
      <c r="D3295" s="6">
        <v>559.62</v>
      </c>
      <c r="E3295" s="9">
        <v>3662.11</v>
      </c>
      <c r="F3295" t="str">
        <f t="shared" si="102"/>
        <v>março</v>
      </c>
      <c r="G3295">
        <f t="shared" si="103"/>
        <v>2024</v>
      </c>
    </row>
    <row r="3296" spans="1:7" x14ac:dyDescent="0.25">
      <c r="A3296">
        <v>4030401</v>
      </c>
      <c r="B3296" s="25">
        <v>45352</v>
      </c>
      <c r="C3296" t="s">
        <v>461</v>
      </c>
      <c r="D3296" s="6">
        <v>160.68</v>
      </c>
      <c r="E3296" s="9">
        <v>797.4</v>
      </c>
      <c r="F3296" t="str">
        <f t="shared" si="102"/>
        <v>março</v>
      </c>
      <c r="G3296">
        <f t="shared" si="103"/>
        <v>2024</v>
      </c>
    </row>
    <row r="3297" spans="1:7" x14ac:dyDescent="0.25">
      <c r="A3297">
        <v>4030511</v>
      </c>
      <c r="B3297" s="25">
        <v>45352</v>
      </c>
      <c r="C3297" t="s">
        <v>208</v>
      </c>
      <c r="D3297" s="6">
        <v>9.81</v>
      </c>
      <c r="E3297" s="9">
        <v>51.5</v>
      </c>
      <c r="F3297" t="str">
        <f t="shared" si="102"/>
        <v>março</v>
      </c>
      <c r="G3297">
        <f t="shared" si="103"/>
        <v>2024</v>
      </c>
    </row>
    <row r="3298" spans="1:7" x14ac:dyDescent="0.25">
      <c r="A3298">
        <v>4030532</v>
      </c>
      <c r="B3298" s="25">
        <v>45352</v>
      </c>
      <c r="C3298" t="s">
        <v>210</v>
      </c>
      <c r="D3298" s="6">
        <v>724.93</v>
      </c>
      <c r="E3298" s="9">
        <v>3611.61</v>
      </c>
      <c r="F3298" t="str">
        <f t="shared" si="102"/>
        <v>março</v>
      </c>
      <c r="G3298">
        <f t="shared" si="103"/>
        <v>2024</v>
      </c>
    </row>
    <row r="3299" spans="1:7" x14ac:dyDescent="0.25">
      <c r="A3299">
        <v>4030600</v>
      </c>
      <c r="B3299" s="25">
        <v>45352</v>
      </c>
      <c r="C3299" t="s">
        <v>212</v>
      </c>
      <c r="D3299" s="6">
        <v>400.9</v>
      </c>
      <c r="E3299" s="9">
        <v>1263.05</v>
      </c>
      <c r="F3299" t="str">
        <f t="shared" si="102"/>
        <v>março</v>
      </c>
      <c r="G3299">
        <f t="shared" si="103"/>
        <v>2024</v>
      </c>
    </row>
    <row r="3300" spans="1:7" x14ac:dyDescent="0.25">
      <c r="A3300">
        <v>4030711</v>
      </c>
      <c r="B3300" s="25">
        <v>45352</v>
      </c>
      <c r="C3300" t="s">
        <v>214</v>
      </c>
      <c r="D3300" s="6">
        <v>1030.52</v>
      </c>
      <c r="E3300" s="9">
        <v>3463.58</v>
      </c>
      <c r="F3300" t="str">
        <f t="shared" si="102"/>
        <v>março</v>
      </c>
      <c r="G3300">
        <f t="shared" si="103"/>
        <v>2024</v>
      </c>
    </row>
    <row r="3301" spans="1:7" x14ac:dyDescent="0.25">
      <c r="A3301">
        <v>4030811</v>
      </c>
      <c r="B3301" s="25">
        <v>45352</v>
      </c>
      <c r="C3301" t="s">
        <v>216</v>
      </c>
      <c r="D3301" s="6">
        <v>1818.45</v>
      </c>
      <c r="E3301" s="9">
        <v>5886.27</v>
      </c>
      <c r="F3301" t="str">
        <f t="shared" si="102"/>
        <v>março</v>
      </c>
      <c r="G3301">
        <f t="shared" si="103"/>
        <v>2024</v>
      </c>
    </row>
    <row r="3302" spans="1:7" x14ac:dyDescent="0.25">
      <c r="A3302">
        <v>4030813</v>
      </c>
      <c r="B3302" s="25">
        <v>45352</v>
      </c>
      <c r="C3302" t="s">
        <v>218</v>
      </c>
      <c r="D3302" s="6">
        <v>835.5</v>
      </c>
      <c r="E3302" s="9">
        <v>2322.6799999999998</v>
      </c>
      <c r="F3302" t="str">
        <f t="shared" si="102"/>
        <v>março</v>
      </c>
      <c r="G3302">
        <f t="shared" si="103"/>
        <v>2024</v>
      </c>
    </row>
    <row r="3303" spans="1:7" x14ac:dyDescent="0.25">
      <c r="A3303">
        <v>4030900</v>
      </c>
      <c r="B3303" s="25">
        <v>45352</v>
      </c>
      <c r="C3303" t="s">
        <v>220</v>
      </c>
      <c r="D3303" s="6">
        <v>4427.1400000000003</v>
      </c>
      <c r="E3303" s="9">
        <v>13763.11</v>
      </c>
      <c r="F3303" t="str">
        <f t="shared" si="102"/>
        <v>março</v>
      </c>
      <c r="G3303">
        <f t="shared" si="103"/>
        <v>2024</v>
      </c>
    </row>
    <row r="3304" spans="1:7" x14ac:dyDescent="0.25">
      <c r="A3304">
        <v>4030910</v>
      </c>
      <c r="B3304" s="25">
        <v>45352</v>
      </c>
      <c r="C3304" t="s">
        <v>222</v>
      </c>
      <c r="D3304" s="6">
        <v>127.02</v>
      </c>
      <c r="E3304" s="9">
        <v>418.2</v>
      </c>
      <c r="F3304" t="str">
        <f t="shared" si="102"/>
        <v>março</v>
      </c>
      <c r="G3304">
        <f t="shared" si="103"/>
        <v>2024</v>
      </c>
    </row>
    <row r="3305" spans="1:7" x14ac:dyDescent="0.25">
      <c r="A3305">
        <v>4031012</v>
      </c>
      <c r="B3305" s="25">
        <v>45352</v>
      </c>
      <c r="C3305" t="s">
        <v>224</v>
      </c>
      <c r="D3305" s="6">
        <v>1373.78</v>
      </c>
      <c r="E3305" s="9">
        <v>4413.41</v>
      </c>
      <c r="F3305" t="str">
        <f t="shared" si="102"/>
        <v>março</v>
      </c>
      <c r="G3305">
        <f t="shared" si="103"/>
        <v>2024</v>
      </c>
    </row>
    <row r="3306" spans="1:7" x14ac:dyDescent="0.25">
      <c r="A3306">
        <v>4031017</v>
      </c>
      <c r="B3306" s="25">
        <v>45352</v>
      </c>
      <c r="C3306" t="s">
        <v>226</v>
      </c>
      <c r="D3306" s="6">
        <v>350</v>
      </c>
      <c r="E3306" s="9">
        <v>252</v>
      </c>
      <c r="F3306" t="str">
        <f t="shared" si="102"/>
        <v>março</v>
      </c>
      <c r="G3306">
        <f t="shared" si="103"/>
        <v>2024</v>
      </c>
    </row>
    <row r="3307" spans="1:7" x14ac:dyDescent="0.25">
      <c r="A3307">
        <v>4031019</v>
      </c>
      <c r="B3307" s="25">
        <v>45352</v>
      </c>
      <c r="C3307" t="s">
        <v>226</v>
      </c>
      <c r="D3307" s="6">
        <v>1890</v>
      </c>
      <c r="E3307" s="9">
        <v>1266.3</v>
      </c>
      <c r="F3307" t="str">
        <f t="shared" si="102"/>
        <v>março</v>
      </c>
      <c r="G3307">
        <f t="shared" si="103"/>
        <v>2024</v>
      </c>
    </row>
    <row r="3308" spans="1:7" x14ac:dyDescent="0.25">
      <c r="A3308">
        <v>4031102</v>
      </c>
      <c r="B3308" s="25">
        <v>45352</v>
      </c>
      <c r="C3308" t="s">
        <v>228</v>
      </c>
      <c r="D3308" s="6">
        <v>10468.43</v>
      </c>
      <c r="E3308" s="9">
        <v>31043.7</v>
      </c>
      <c r="F3308" t="str">
        <f t="shared" si="102"/>
        <v>março</v>
      </c>
      <c r="G3308">
        <f t="shared" si="103"/>
        <v>2024</v>
      </c>
    </row>
    <row r="3309" spans="1:7" x14ac:dyDescent="0.25">
      <c r="A3309">
        <v>4031103</v>
      </c>
      <c r="B3309" s="25">
        <v>45352</v>
      </c>
      <c r="C3309" t="s">
        <v>980</v>
      </c>
      <c r="D3309" s="6">
        <v>394.75</v>
      </c>
      <c r="E3309" s="9">
        <v>1263.2</v>
      </c>
      <c r="F3309" t="str">
        <f t="shared" si="102"/>
        <v>março</v>
      </c>
      <c r="G3309">
        <f t="shared" si="103"/>
        <v>2024</v>
      </c>
    </row>
    <row r="3310" spans="1:7" x14ac:dyDescent="0.25">
      <c r="A3310">
        <v>4031200</v>
      </c>
      <c r="B3310" s="25">
        <v>45352</v>
      </c>
      <c r="C3310" t="s">
        <v>230</v>
      </c>
      <c r="D3310" s="6">
        <v>870.4</v>
      </c>
      <c r="E3310" s="9">
        <v>2698.83</v>
      </c>
      <c r="F3310" t="str">
        <f t="shared" si="102"/>
        <v>março</v>
      </c>
      <c r="G3310">
        <f t="shared" si="103"/>
        <v>2024</v>
      </c>
    </row>
    <row r="3311" spans="1:7" x14ac:dyDescent="0.25">
      <c r="A3311">
        <v>4031304</v>
      </c>
      <c r="B3311" s="25">
        <v>45352</v>
      </c>
      <c r="C3311" t="s">
        <v>232</v>
      </c>
      <c r="D3311" s="6">
        <v>1286.2</v>
      </c>
      <c r="E3311" s="9">
        <v>3894.01</v>
      </c>
      <c r="F3311" t="str">
        <f t="shared" si="102"/>
        <v>março</v>
      </c>
      <c r="G3311">
        <f t="shared" si="103"/>
        <v>2024</v>
      </c>
    </row>
    <row r="3312" spans="1:7" x14ac:dyDescent="0.25">
      <c r="A3312">
        <v>4031411</v>
      </c>
      <c r="B3312" s="25">
        <v>45352</v>
      </c>
      <c r="C3312" t="s">
        <v>234</v>
      </c>
      <c r="D3312" s="6">
        <v>144.63</v>
      </c>
      <c r="E3312" s="9">
        <v>461.19</v>
      </c>
      <c r="F3312" t="str">
        <f t="shared" si="102"/>
        <v>março</v>
      </c>
      <c r="G3312">
        <f t="shared" si="103"/>
        <v>2024</v>
      </c>
    </row>
    <row r="3313" spans="1:7" x14ac:dyDescent="0.25">
      <c r="A3313">
        <v>4031500</v>
      </c>
      <c r="B3313" s="25">
        <v>45352</v>
      </c>
      <c r="C3313" t="s">
        <v>236</v>
      </c>
      <c r="D3313" s="6">
        <v>4599.9399999999996</v>
      </c>
      <c r="E3313" s="9">
        <v>13452.76</v>
      </c>
      <c r="F3313" t="str">
        <f t="shared" si="102"/>
        <v>março</v>
      </c>
      <c r="G3313">
        <f t="shared" si="103"/>
        <v>2024</v>
      </c>
    </row>
    <row r="3314" spans="1:7" x14ac:dyDescent="0.25">
      <c r="A3314">
        <v>4031604</v>
      </c>
      <c r="B3314" s="25">
        <v>45352</v>
      </c>
      <c r="C3314" t="s">
        <v>238</v>
      </c>
      <c r="D3314" s="6">
        <v>5672.17</v>
      </c>
      <c r="E3314" s="9">
        <v>15845.35</v>
      </c>
      <c r="F3314" t="str">
        <f t="shared" si="102"/>
        <v>março</v>
      </c>
      <c r="G3314">
        <f t="shared" si="103"/>
        <v>2024</v>
      </c>
    </row>
    <row r="3315" spans="1:7" x14ac:dyDescent="0.25">
      <c r="A3315">
        <v>4031605</v>
      </c>
      <c r="B3315" s="25">
        <v>45352</v>
      </c>
      <c r="C3315" t="s">
        <v>240</v>
      </c>
      <c r="D3315" s="6">
        <v>48.03</v>
      </c>
      <c r="E3315" s="9">
        <v>162.16</v>
      </c>
      <c r="F3315" t="str">
        <f t="shared" si="102"/>
        <v>março</v>
      </c>
      <c r="G3315">
        <f t="shared" si="103"/>
        <v>2024</v>
      </c>
    </row>
    <row r="3316" spans="1:7" x14ac:dyDescent="0.25">
      <c r="A3316">
        <v>4031700</v>
      </c>
      <c r="B3316" s="25">
        <v>45352</v>
      </c>
      <c r="C3316" t="s">
        <v>242</v>
      </c>
      <c r="D3316" s="6">
        <v>395.8</v>
      </c>
      <c r="E3316" s="9">
        <v>1245.05</v>
      </c>
      <c r="F3316" t="str">
        <f t="shared" si="102"/>
        <v>março</v>
      </c>
      <c r="G3316">
        <f t="shared" si="103"/>
        <v>2024</v>
      </c>
    </row>
    <row r="3317" spans="1:7" x14ac:dyDescent="0.25">
      <c r="A3317">
        <v>4031812</v>
      </c>
      <c r="B3317" s="25">
        <v>45352</v>
      </c>
      <c r="C3317" t="s">
        <v>244</v>
      </c>
      <c r="D3317" s="6">
        <v>448.85</v>
      </c>
      <c r="E3317" s="9">
        <v>1400.28</v>
      </c>
      <c r="F3317" t="str">
        <f t="shared" si="102"/>
        <v>março</v>
      </c>
      <c r="G3317">
        <f t="shared" si="103"/>
        <v>2024</v>
      </c>
    </row>
    <row r="3318" spans="1:7" x14ac:dyDescent="0.25">
      <c r="A3318">
        <v>4031813</v>
      </c>
      <c r="B3318" s="25">
        <v>45352</v>
      </c>
      <c r="C3318" t="s">
        <v>464</v>
      </c>
      <c r="D3318" s="6">
        <v>560</v>
      </c>
      <c r="E3318" s="9">
        <v>383.6</v>
      </c>
      <c r="F3318" t="str">
        <f t="shared" si="102"/>
        <v>março</v>
      </c>
      <c r="G3318">
        <f t="shared" si="103"/>
        <v>2024</v>
      </c>
    </row>
    <row r="3319" spans="1:7" x14ac:dyDescent="0.25">
      <c r="A3319">
        <v>4031904</v>
      </c>
      <c r="B3319" s="25">
        <v>45352</v>
      </c>
      <c r="C3319" t="s">
        <v>246</v>
      </c>
      <c r="D3319" s="6">
        <v>906.01</v>
      </c>
      <c r="E3319" s="9">
        <v>2742.08</v>
      </c>
      <c r="F3319" t="str">
        <f t="shared" si="102"/>
        <v>março</v>
      </c>
      <c r="G3319">
        <f t="shared" si="103"/>
        <v>2024</v>
      </c>
    </row>
    <row r="3320" spans="1:7" x14ac:dyDescent="0.25">
      <c r="A3320">
        <v>4032002</v>
      </c>
      <c r="B3320" s="25">
        <v>45352</v>
      </c>
      <c r="C3320" t="s">
        <v>793</v>
      </c>
      <c r="D3320" s="6">
        <v>2.6</v>
      </c>
      <c r="E3320" s="9">
        <v>16.38</v>
      </c>
      <c r="F3320" t="str">
        <f t="shared" si="102"/>
        <v>março</v>
      </c>
      <c r="G3320">
        <f t="shared" si="103"/>
        <v>2024</v>
      </c>
    </row>
    <row r="3321" spans="1:7" x14ac:dyDescent="0.25">
      <c r="A3321">
        <v>4032111</v>
      </c>
      <c r="B3321" s="25">
        <v>45352</v>
      </c>
      <c r="C3321" t="s">
        <v>314</v>
      </c>
      <c r="D3321" s="6">
        <v>4.17</v>
      </c>
      <c r="E3321" s="9">
        <v>23.35</v>
      </c>
      <c r="F3321" t="str">
        <f t="shared" si="102"/>
        <v>março</v>
      </c>
      <c r="G3321">
        <f t="shared" si="103"/>
        <v>2024</v>
      </c>
    </row>
    <row r="3322" spans="1:7" x14ac:dyDescent="0.25">
      <c r="A3322">
        <v>4032204</v>
      </c>
      <c r="B3322" s="25">
        <v>45352</v>
      </c>
      <c r="C3322" t="s">
        <v>315</v>
      </c>
      <c r="D3322" s="6">
        <v>1.4</v>
      </c>
      <c r="E3322" s="9">
        <v>7.84</v>
      </c>
      <c r="F3322" t="str">
        <f t="shared" si="102"/>
        <v>março</v>
      </c>
      <c r="G3322">
        <f t="shared" si="103"/>
        <v>2024</v>
      </c>
    </row>
    <row r="3323" spans="1:7" x14ac:dyDescent="0.25">
      <c r="A3323">
        <v>4032205</v>
      </c>
      <c r="B3323" s="25">
        <v>45352</v>
      </c>
      <c r="C3323" t="s">
        <v>553</v>
      </c>
      <c r="D3323" s="6">
        <v>115.94</v>
      </c>
      <c r="E3323" s="9">
        <v>617.6</v>
      </c>
      <c r="F3323" t="str">
        <f t="shared" si="102"/>
        <v>março</v>
      </c>
      <c r="G3323">
        <f t="shared" si="103"/>
        <v>2024</v>
      </c>
    </row>
    <row r="3324" spans="1:7" x14ac:dyDescent="0.25">
      <c r="A3324">
        <v>4032206</v>
      </c>
      <c r="B3324" s="25">
        <v>45352</v>
      </c>
      <c r="C3324" t="s">
        <v>555</v>
      </c>
      <c r="D3324" s="6">
        <v>23.63</v>
      </c>
      <c r="E3324" s="9">
        <v>125.81</v>
      </c>
      <c r="F3324" t="str">
        <f t="shared" si="102"/>
        <v>março</v>
      </c>
      <c r="G3324">
        <f t="shared" si="103"/>
        <v>2024</v>
      </c>
    </row>
    <row r="3325" spans="1:7" x14ac:dyDescent="0.25">
      <c r="A3325">
        <v>4032312</v>
      </c>
      <c r="B3325" s="25">
        <v>45352</v>
      </c>
      <c r="C3325" t="s">
        <v>252</v>
      </c>
      <c r="D3325" s="6">
        <v>398.94</v>
      </c>
      <c r="E3325" s="9">
        <v>1712.34</v>
      </c>
      <c r="F3325" t="str">
        <f t="shared" si="102"/>
        <v>março</v>
      </c>
      <c r="G3325">
        <f t="shared" si="103"/>
        <v>2024</v>
      </c>
    </row>
    <row r="3326" spans="1:7" x14ac:dyDescent="0.25">
      <c r="A3326">
        <v>4032404</v>
      </c>
      <c r="B3326" s="25">
        <v>45352</v>
      </c>
      <c r="C3326" t="s">
        <v>254</v>
      </c>
      <c r="D3326" s="6">
        <v>71.22</v>
      </c>
      <c r="E3326" s="9">
        <v>331.12</v>
      </c>
      <c r="F3326" t="str">
        <f t="shared" si="102"/>
        <v>março</v>
      </c>
      <c r="G3326">
        <f t="shared" si="103"/>
        <v>2024</v>
      </c>
    </row>
    <row r="3327" spans="1:7" x14ac:dyDescent="0.25">
      <c r="A3327">
        <v>4032500</v>
      </c>
      <c r="B3327" s="25">
        <v>45352</v>
      </c>
      <c r="C3327" t="s">
        <v>256</v>
      </c>
      <c r="D3327" s="6">
        <v>171.81</v>
      </c>
      <c r="E3327" s="9">
        <v>493.27</v>
      </c>
      <c r="F3327" t="str">
        <f t="shared" si="102"/>
        <v>março</v>
      </c>
      <c r="G3327">
        <f t="shared" si="103"/>
        <v>2024</v>
      </c>
    </row>
    <row r="3328" spans="1:7" x14ac:dyDescent="0.25">
      <c r="A3328">
        <v>4032611</v>
      </c>
      <c r="B3328" s="25">
        <v>45352</v>
      </c>
      <c r="C3328" t="s">
        <v>258</v>
      </c>
      <c r="D3328" s="6">
        <v>42.3</v>
      </c>
      <c r="E3328" s="9">
        <v>139.53</v>
      </c>
      <c r="F3328" t="str">
        <f t="shared" si="102"/>
        <v>março</v>
      </c>
      <c r="G3328">
        <f t="shared" si="103"/>
        <v>2024</v>
      </c>
    </row>
    <row r="3329" spans="1:7" x14ac:dyDescent="0.25">
      <c r="A3329">
        <v>4032612</v>
      </c>
      <c r="B3329" s="25">
        <v>45352</v>
      </c>
      <c r="C3329" t="s">
        <v>933</v>
      </c>
      <c r="D3329" s="6">
        <v>237.66</v>
      </c>
      <c r="E3329" s="9">
        <v>128.34</v>
      </c>
      <c r="F3329" t="str">
        <f t="shared" si="102"/>
        <v>março</v>
      </c>
      <c r="G3329">
        <f t="shared" si="103"/>
        <v>2024</v>
      </c>
    </row>
    <row r="3330" spans="1:7" x14ac:dyDescent="0.25">
      <c r="A3330">
        <v>4032704</v>
      </c>
      <c r="B3330" s="25">
        <v>45352</v>
      </c>
      <c r="C3330" t="s">
        <v>260</v>
      </c>
      <c r="D3330" s="6">
        <v>1362.8</v>
      </c>
      <c r="E3330" s="9">
        <v>3959.29</v>
      </c>
      <c r="F3330" t="str">
        <f t="shared" si="102"/>
        <v>março</v>
      </c>
      <c r="G3330">
        <f t="shared" si="103"/>
        <v>2024</v>
      </c>
    </row>
    <row r="3331" spans="1:7" x14ac:dyDescent="0.25">
      <c r="A3331">
        <v>4032800</v>
      </c>
      <c r="B3331" s="25">
        <v>45352</v>
      </c>
      <c r="C3331" t="s">
        <v>262</v>
      </c>
      <c r="D3331" s="6">
        <v>95</v>
      </c>
      <c r="E3331" s="9">
        <v>492.46</v>
      </c>
      <c r="F3331" t="str">
        <f t="shared" ref="F3331:F3394" si="104">TEXT(B3331,"mmmm")</f>
        <v>março</v>
      </c>
      <c r="G3331">
        <f t="shared" ref="G3331:G3394" si="105">YEAR(B3331)</f>
        <v>2024</v>
      </c>
    </row>
    <row r="3332" spans="1:7" x14ac:dyDescent="0.25">
      <c r="A3332">
        <v>4032902</v>
      </c>
      <c r="B3332" s="25">
        <v>45352</v>
      </c>
      <c r="C3332" t="s">
        <v>264</v>
      </c>
      <c r="D3332" s="6">
        <v>223.52</v>
      </c>
      <c r="E3332" s="9">
        <v>1159.8399999999999</v>
      </c>
      <c r="F3332" t="str">
        <f t="shared" si="104"/>
        <v>março</v>
      </c>
      <c r="G3332">
        <f t="shared" si="105"/>
        <v>2024</v>
      </c>
    </row>
    <row r="3333" spans="1:7" x14ac:dyDescent="0.25">
      <c r="A3333">
        <v>4033011</v>
      </c>
      <c r="B3333" s="25">
        <v>45352</v>
      </c>
      <c r="C3333" t="s">
        <v>266</v>
      </c>
      <c r="D3333" s="6">
        <v>338.48</v>
      </c>
      <c r="E3333" s="9">
        <v>1717.51</v>
      </c>
      <c r="F3333" t="str">
        <f t="shared" si="104"/>
        <v>março</v>
      </c>
      <c r="G3333">
        <f t="shared" si="105"/>
        <v>2024</v>
      </c>
    </row>
    <row r="3334" spans="1:7" x14ac:dyDescent="0.25">
      <c r="A3334">
        <v>4033111</v>
      </c>
      <c r="B3334" s="25">
        <v>45352</v>
      </c>
      <c r="C3334" t="s">
        <v>268</v>
      </c>
      <c r="D3334" s="6">
        <v>235.14</v>
      </c>
      <c r="E3334" s="9">
        <v>1030.01</v>
      </c>
      <c r="F3334" t="str">
        <f t="shared" si="104"/>
        <v>março</v>
      </c>
      <c r="G3334">
        <f t="shared" si="105"/>
        <v>2024</v>
      </c>
    </row>
    <row r="3335" spans="1:7" x14ac:dyDescent="0.25">
      <c r="A3335">
        <v>4033211</v>
      </c>
      <c r="B3335" s="25">
        <v>45352</v>
      </c>
      <c r="C3335" t="s">
        <v>270</v>
      </c>
      <c r="D3335" s="6">
        <v>154.32</v>
      </c>
      <c r="E3335" s="9">
        <v>682.71</v>
      </c>
      <c r="F3335" t="str">
        <f t="shared" si="104"/>
        <v>março</v>
      </c>
      <c r="G3335">
        <f t="shared" si="105"/>
        <v>2024</v>
      </c>
    </row>
    <row r="3336" spans="1:7" x14ac:dyDescent="0.25">
      <c r="A3336">
        <v>4033311</v>
      </c>
      <c r="B3336" s="25">
        <v>45352</v>
      </c>
      <c r="C3336" t="s">
        <v>272</v>
      </c>
      <c r="D3336" s="6">
        <v>14.44</v>
      </c>
      <c r="E3336" s="9">
        <v>89.04</v>
      </c>
      <c r="F3336" t="str">
        <f t="shared" si="104"/>
        <v>março</v>
      </c>
      <c r="G3336">
        <f t="shared" si="105"/>
        <v>2024</v>
      </c>
    </row>
    <row r="3337" spans="1:7" x14ac:dyDescent="0.25">
      <c r="A3337">
        <v>4033400</v>
      </c>
      <c r="B3337" s="25">
        <v>45352</v>
      </c>
      <c r="C3337" t="s">
        <v>274</v>
      </c>
      <c r="D3337" s="6">
        <v>365.4</v>
      </c>
      <c r="E3337" s="9">
        <v>1108.53</v>
      </c>
      <c r="F3337" t="str">
        <f t="shared" si="104"/>
        <v>março</v>
      </c>
      <c r="G3337">
        <f t="shared" si="105"/>
        <v>2024</v>
      </c>
    </row>
    <row r="3338" spans="1:7" x14ac:dyDescent="0.25">
      <c r="A3338">
        <v>4033511</v>
      </c>
      <c r="B3338" s="25">
        <v>45352</v>
      </c>
      <c r="C3338" t="s">
        <v>276</v>
      </c>
      <c r="D3338" s="6">
        <v>1092.1099999999999</v>
      </c>
      <c r="E3338" s="9">
        <v>3534.57</v>
      </c>
      <c r="F3338" t="str">
        <f t="shared" si="104"/>
        <v>março</v>
      </c>
      <c r="G3338">
        <f t="shared" si="105"/>
        <v>2024</v>
      </c>
    </row>
    <row r="3339" spans="1:7" x14ac:dyDescent="0.25">
      <c r="A3339">
        <v>4033900</v>
      </c>
      <c r="B3339" s="25">
        <v>45352</v>
      </c>
      <c r="C3339" t="s">
        <v>278</v>
      </c>
      <c r="D3339" s="6">
        <v>15.71</v>
      </c>
      <c r="E3339" s="9">
        <v>82.47</v>
      </c>
      <c r="F3339" t="str">
        <f t="shared" si="104"/>
        <v>março</v>
      </c>
      <c r="G3339">
        <f t="shared" si="105"/>
        <v>2024</v>
      </c>
    </row>
    <row r="3340" spans="1:7" x14ac:dyDescent="0.25">
      <c r="A3340">
        <v>4034011</v>
      </c>
      <c r="B3340" s="25">
        <v>45352</v>
      </c>
      <c r="C3340" t="s">
        <v>280</v>
      </c>
      <c r="D3340" s="6">
        <v>645.75</v>
      </c>
      <c r="E3340" s="9">
        <v>3446.72</v>
      </c>
      <c r="F3340" t="str">
        <f t="shared" si="104"/>
        <v>março</v>
      </c>
      <c r="G3340">
        <f t="shared" si="105"/>
        <v>2024</v>
      </c>
    </row>
    <row r="3341" spans="1:7" x14ac:dyDescent="0.25">
      <c r="A3341">
        <v>4034012</v>
      </c>
      <c r="B3341" s="25">
        <v>45352</v>
      </c>
      <c r="C3341" t="s">
        <v>863</v>
      </c>
      <c r="D3341" s="6">
        <v>1598</v>
      </c>
      <c r="E3341" s="9">
        <v>2031.48</v>
      </c>
      <c r="F3341" t="str">
        <f t="shared" si="104"/>
        <v>março</v>
      </c>
      <c r="G3341">
        <f t="shared" si="105"/>
        <v>2024</v>
      </c>
    </row>
    <row r="3342" spans="1:7" x14ac:dyDescent="0.25">
      <c r="A3342">
        <v>4034211</v>
      </c>
      <c r="B3342" s="25">
        <v>45352</v>
      </c>
      <c r="C3342" t="s">
        <v>282</v>
      </c>
      <c r="D3342" s="6">
        <v>348.79</v>
      </c>
      <c r="E3342" s="9">
        <v>1497.34</v>
      </c>
      <c r="F3342" t="str">
        <f t="shared" si="104"/>
        <v>março</v>
      </c>
      <c r="G3342">
        <f t="shared" si="105"/>
        <v>2024</v>
      </c>
    </row>
    <row r="3343" spans="1:7" x14ac:dyDescent="0.25">
      <c r="A3343">
        <v>4034400</v>
      </c>
      <c r="B3343" s="25">
        <v>45352</v>
      </c>
      <c r="C3343" t="s">
        <v>284</v>
      </c>
      <c r="D3343" s="6">
        <v>164.4</v>
      </c>
      <c r="E3343" s="9">
        <v>430.09</v>
      </c>
      <c r="F3343" t="str">
        <f t="shared" si="104"/>
        <v>março</v>
      </c>
      <c r="G3343">
        <f t="shared" si="105"/>
        <v>2024</v>
      </c>
    </row>
    <row r="3344" spans="1:7" x14ac:dyDescent="0.25">
      <c r="A3344">
        <v>4034502</v>
      </c>
      <c r="B3344" s="25">
        <v>45352</v>
      </c>
      <c r="C3344" t="s">
        <v>286</v>
      </c>
      <c r="D3344" s="6">
        <v>95.35</v>
      </c>
      <c r="E3344" s="9">
        <v>261.45999999999998</v>
      </c>
      <c r="F3344" t="str">
        <f t="shared" si="104"/>
        <v>março</v>
      </c>
      <c r="G3344">
        <f t="shared" si="105"/>
        <v>2024</v>
      </c>
    </row>
    <row r="3345" spans="1:7" x14ac:dyDescent="0.25">
      <c r="A3345">
        <v>5020008</v>
      </c>
      <c r="B3345" s="25">
        <v>45352</v>
      </c>
      <c r="C3345" t="s">
        <v>981</v>
      </c>
      <c r="D3345" s="6">
        <v>80.099999999999994</v>
      </c>
      <c r="E3345" s="9">
        <v>120.15</v>
      </c>
      <c r="F3345" t="str">
        <f t="shared" si="104"/>
        <v>março</v>
      </c>
      <c r="G3345">
        <f t="shared" si="105"/>
        <v>2024</v>
      </c>
    </row>
    <row r="3346" spans="1:7" x14ac:dyDescent="0.25">
      <c r="A3346">
        <v>5020031</v>
      </c>
      <c r="B3346" s="25">
        <v>45352</v>
      </c>
      <c r="C3346" t="s">
        <v>73</v>
      </c>
      <c r="D3346" s="6">
        <v>27.9</v>
      </c>
      <c r="E3346" s="9">
        <v>80.349999999999994</v>
      </c>
      <c r="F3346" t="str">
        <f t="shared" si="104"/>
        <v>março</v>
      </c>
      <c r="G3346">
        <f t="shared" si="105"/>
        <v>2024</v>
      </c>
    </row>
    <row r="3347" spans="1:7" x14ac:dyDescent="0.25">
      <c r="A3347">
        <v>8030004</v>
      </c>
      <c r="B3347" s="25">
        <v>45352</v>
      </c>
      <c r="C3347" t="s">
        <v>697</v>
      </c>
      <c r="D3347" s="6">
        <v>7</v>
      </c>
      <c r="E3347" s="9">
        <v>70</v>
      </c>
      <c r="F3347" t="str">
        <f t="shared" si="104"/>
        <v>março</v>
      </c>
      <c r="G3347">
        <f t="shared" si="105"/>
        <v>2024</v>
      </c>
    </row>
    <row r="3348" spans="1:7" x14ac:dyDescent="0.25">
      <c r="A3348">
        <v>8040008</v>
      </c>
      <c r="B3348" s="25">
        <v>45352</v>
      </c>
      <c r="C3348" t="s">
        <v>318</v>
      </c>
      <c r="D3348" s="6">
        <v>1.4</v>
      </c>
      <c r="E3348" s="9">
        <v>24.92</v>
      </c>
      <c r="F3348" t="str">
        <f t="shared" si="104"/>
        <v>março</v>
      </c>
      <c r="G3348">
        <f t="shared" si="105"/>
        <v>2024</v>
      </c>
    </row>
    <row r="3349" spans="1:7" x14ac:dyDescent="0.25">
      <c r="A3349">
        <v>8040011</v>
      </c>
      <c r="B3349" s="25">
        <v>45352</v>
      </c>
      <c r="C3349" t="s">
        <v>560</v>
      </c>
      <c r="D3349" s="6">
        <v>11</v>
      </c>
      <c r="E3349" s="9">
        <v>32.549999999999997</v>
      </c>
      <c r="F3349" t="str">
        <f t="shared" si="104"/>
        <v>março</v>
      </c>
      <c r="G3349">
        <f t="shared" si="105"/>
        <v>2024</v>
      </c>
    </row>
    <row r="3350" spans="1:7" x14ac:dyDescent="0.25">
      <c r="A3350">
        <v>8040027</v>
      </c>
      <c r="B3350" s="25">
        <v>45352</v>
      </c>
      <c r="C3350" t="s">
        <v>982</v>
      </c>
      <c r="D3350" s="6">
        <v>2.2999999999999998</v>
      </c>
      <c r="E3350" s="9">
        <v>26.91</v>
      </c>
      <c r="F3350" t="str">
        <f t="shared" si="104"/>
        <v>março</v>
      </c>
      <c r="G3350">
        <f t="shared" si="105"/>
        <v>2024</v>
      </c>
    </row>
    <row r="3351" spans="1:7" x14ac:dyDescent="0.25">
      <c r="A3351">
        <v>8040032</v>
      </c>
      <c r="B3351" s="25">
        <v>45352</v>
      </c>
      <c r="C3351" t="s">
        <v>732</v>
      </c>
      <c r="D3351" s="6">
        <v>5.8</v>
      </c>
      <c r="E3351" s="9">
        <v>27.84</v>
      </c>
      <c r="F3351" t="str">
        <f t="shared" si="104"/>
        <v>março</v>
      </c>
      <c r="G3351">
        <f t="shared" si="105"/>
        <v>2024</v>
      </c>
    </row>
    <row r="3352" spans="1:7" x14ac:dyDescent="0.25">
      <c r="A3352">
        <v>8040036</v>
      </c>
      <c r="B3352" s="25">
        <v>45352</v>
      </c>
      <c r="C3352" t="s">
        <v>470</v>
      </c>
      <c r="D3352" s="6">
        <v>518.4</v>
      </c>
      <c r="E3352" s="9">
        <v>6205.25</v>
      </c>
      <c r="F3352" t="str">
        <f t="shared" si="104"/>
        <v>março</v>
      </c>
      <c r="G3352">
        <f t="shared" si="105"/>
        <v>2024</v>
      </c>
    </row>
    <row r="3353" spans="1:7" x14ac:dyDescent="0.25">
      <c r="A3353">
        <v>8040037</v>
      </c>
      <c r="B3353" s="25">
        <v>45352</v>
      </c>
      <c r="C3353" t="s">
        <v>794</v>
      </c>
      <c r="D3353" s="6">
        <v>0.7</v>
      </c>
      <c r="E3353" s="9">
        <v>9.64</v>
      </c>
      <c r="F3353" t="str">
        <f t="shared" si="104"/>
        <v>março</v>
      </c>
      <c r="G3353">
        <f t="shared" si="105"/>
        <v>2024</v>
      </c>
    </row>
    <row r="3354" spans="1:7" x14ac:dyDescent="0.25">
      <c r="A3354">
        <v>8040039</v>
      </c>
      <c r="B3354" s="25">
        <v>45352</v>
      </c>
      <c r="C3354" t="s">
        <v>564</v>
      </c>
      <c r="D3354" s="6">
        <v>6.3</v>
      </c>
      <c r="E3354" s="9">
        <v>66.150000000000006</v>
      </c>
      <c r="F3354" t="str">
        <f t="shared" si="104"/>
        <v>março</v>
      </c>
      <c r="G3354">
        <f t="shared" si="105"/>
        <v>2024</v>
      </c>
    </row>
    <row r="3355" spans="1:7" x14ac:dyDescent="0.25">
      <c r="A3355">
        <v>8040048</v>
      </c>
      <c r="B3355" s="25">
        <v>45352</v>
      </c>
      <c r="C3355" t="s">
        <v>699</v>
      </c>
      <c r="D3355" s="6">
        <v>830</v>
      </c>
      <c r="E3355" s="9">
        <v>2115.14</v>
      </c>
      <c r="F3355" t="str">
        <f t="shared" si="104"/>
        <v>março</v>
      </c>
      <c r="G3355">
        <f t="shared" si="105"/>
        <v>2024</v>
      </c>
    </row>
    <row r="3356" spans="1:7" x14ac:dyDescent="0.25">
      <c r="A3356">
        <v>8040049</v>
      </c>
      <c r="B3356" s="25">
        <v>45352</v>
      </c>
      <c r="C3356" t="s">
        <v>643</v>
      </c>
      <c r="D3356" s="6">
        <v>1736</v>
      </c>
      <c r="E3356" s="9">
        <v>18584</v>
      </c>
      <c r="F3356" t="str">
        <f t="shared" si="104"/>
        <v>março</v>
      </c>
      <c r="G3356">
        <f t="shared" si="105"/>
        <v>2024</v>
      </c>
    </row>
    <row r="3357" spans="1:7" x14ac:dyDescent="0.25">
      <c r="A3357">
        <v>8040050</v>
      </c>
      <c r="B3357" s="25">
        <v>45352</v>
      </c>
      <c r="C3357" t="s">
        <v>746</v>
      </c>
      <c r="D3357" s="6">
        <v>438.94</v>
      </c>
      <c r="E3357" s="9">
        <v>5947.64</v>
      </c>
      <c r="F3357" t="str">
        <f t="shared" si="104"/>
        <v>março</v>
      </c>
      <c r="G3357">
        <f t="shared" si="105"/>
        <v>2024</v>
      </c>
    </row>
    <row r="3358" spans="1:7" x14ac:dyDescent="0.25">
      <c r="A3358">
        <v>8040057</v>
      </c>
      <c r="B3358" s="25">
        <v>45352</v>
      </c>
      <c r="C3358" t="s">
        <v>734</v>
      </c>
      <c r="D3358" s="6">
        <v>4</v>
      </c>
      <c r="E3358" s="9">
        <v>19.2</v>
      </c>
      <c r="F3358" t="str">
        <f t="shared" si="104"/>
        <v>março</v>
      </c>
      <c r="G3358">
        <f t="shared" si="105"/>
        <v>2024</v>
      </c>
    </row>
    <row r="3359" spans="1:7" x14ac:dyDescent="0.25">
      <c r="A3359">
        <v>8040060</v>
      </c>
      <c r="B3359" s="25">
        <v>45352</v>
      </c>
      <c r="C3359" t="s">
        <v>769</v>
      </c>
      <c r="D3359" s="6">
        <v>360</v>
      </c>
      <c r="E3359" s="9">
        <v>4500</v>
      </c>
      <c r="F3359" t="str">
        <f t="shared" si="104"/>
        <v>março</v>
      </c>
      <c r="G3359">
        <f t="shared" si="105"/>
        <v>2024</v>
      </c>
    </row>
    <row r="3360" spans="1:7" x14ac:dyDescent="0.25">
      <c r="A3360">
        <v>8040062</v>
      </c>
      <c r="B3360" s="25">
        <v>45352</v>
      </c>
      <c r="C3360" t="s">
        <v>983</v>
      </c>
      <c r="D3360" s="6">
        <v>136</v>
      </c>
      <c r="E3360" s="9">
        <v>2176</v>
      </c>
      <c r="F3360" t="str">
        <f t="shared" si="104"/>
        <v>março</v>
      </c>
      <c r="G3360">
        <f t="shared" si="105"/>
        <v>2024</v>
      </c>
    </row>
    <row r="3361" spans="1:7" x14ac:dyDescent="0.25">
      <c r="A3361">
        <v>8040064</v>
      </c>
      <c r="B3361" s="25">
        <v>45352</v>
      </c>
      <c r="C3361" t="s">
        <v>984</v>
      </c>
      <c r="D3361" s="6">
        <v>7</v>
      </c>
      <c r="E3361" s="9">
        <v>62.3</v>
      </c>
      <c r="F3361" t="str">
        <f t="shared" si="104"/>
        <v>março</v>
      </c>
      <c r="G3361">
        <f t="shared" si="105"/>
        <v>2024</v>
      </c>
    </row>
    <row r="3362" spans="1:7" x14ac:dyDescent="0.25">
      <c r="A3362">
        <v>8040065</v>
      </c>
      <c r="B3362" s="25">
        <v>45352</v>
      </c>
      <c r="C3362" t="s">
        <v>985</v>
      </c>
      <c r="D3362" s="6">
        <v>105</v>
      </c>
      <c r="E3362" s="9">
        <v>861</v>
      </c>
      <c r="F3362" t="str">
        <f t="shared" si="104"/>
        <v>março</v>
      </c>
      <c r="G3362">
        <f t="shared" si="105"/>
        <v>2024</v>
      </c>
    </row>
    <row r="3363" spans="1:7" x14ac:dyDescent="0.25">
      <c r="A3363">
        <v>8050008</v>
      </c>
      <c r="B3363" s="25">
        <v>45352</v>
      </c>
      <c r="C3363" t="s">
        <v>651</v>
      </c>
      <c r="D3363" s="6">
        <v>212</v>
      </c>
      <c r="E3363" s="9">
        <v>880.59</v>
      </c>
      <c r="F3363" t="str">
        <f t="shared" si="104"/>
        <v>março</v>
      </c>
      <c r="G3363">
        <f t="shared" si="105"/>
        <v>2024</v>
      </c>
    </row>
    <row r="3364" spans="1:7" x14ac:dyDescent="0.25">
      <c r="A3364">
        <v>8060003</v>
      </c>
      <c r="B3364" s="25">
        <v>45352</v>
      </c>
      <c r="C3364" t="s">
        <v>771</v>
      </c>
      <c r="D3364" s="6">
        <v>156</v>
      </c>
      <c r="E3364" s="9">
        <v>764.4</v>
      </c>
      <c r="F3364" t="str">
        <f t="shared" si="104"/>
        <v>março</v>
      </c>
      <c r="G3364">
        <f t="shared" si="105"/>
        <v>2024</v>
      </c>
    </row>
    <row r="3365" spans="1:7" x14ac:dyDescent="0.25">
      <c r="A3365">
        <v>8070004</v>
      </c>
      <c r="B3365" s="25">
        <v>45352</v>
      </c>
      <c r="C3365" t="s">
        <v>653</v>
      </c>
      <c r="D3365" s="6">
        <v>969.93</v>
      </c>
      <c r="E3365" s="9">
        <v>5718.19</v>
      </c>
      <c r="F3365" t="str">
        <f t="shared" si="104"/>
        <v>março</v>
      </c>
      <c r="G3365">
        <f t="shared" si="105"/>
        <v>2024</v>
      </c>
    </row>
    <row r="3366" spans="1:7" x14ac:dyDescent="0.25">
      <c r="A3366">
        <v>8070009</v>
      </c>
      <c r="B3366" s="25">
        <v>45352</v>
      </c>
      <c r="C3366" t="s">
        <v>581</v>
      </c>
      <c r="D3366" s="6">
        <v>1440</v>
      </c>
      <c r="E3366" s="9">
        <v>4723.2</v>
      </c>
      <c r="F3366" t="str">
        <f t="shared" si="104"/>
        <v>março</v>
      </c>
      <c r="G3366">
        <f t="shared" si="105"/>
        <v>2024</v>
      </c>
    </row>
    <row r="3367" spans="1:7" x14ac:dyDescent="0.25">
      <c r="A3367">
        <v>8070013</v>
      </c>
      <c r="B3367" s="25">
        <v>45352</v>
      </c>
      <c r="C3367" t="s">
        <v>986</v>
      </c>
      <c r="D3367" s="6">
        <v>2.96</v>
      </c>
      <c r="E3367" s="9">
        <v>17.579999999999998</v>
      </c>
      <c r="F3367" t="str">
        <f t="shared" si="104"/>
        <v>março</v>
      </c>
      <c r="G3367">
        <f t="shared" si="105"/>
        <v>2024</v>
      </c>
    </row>
    <row r="3368" spans="1:7" x14ac:dyDescent="0.25">
      <c r="A3368">
        <v>8070018</v>
      </c>
      <c r="B3368" s="25">
        <v>45352</v>
      </c>
      <c r="C3368" t="s">
        <v>397</v>
      </c>
      <c r="D3368" s="6">
        <v>1415.89</v>
      </c>
      <c r="E3368" s="9">
        <v>4885.0200000000004</v>
      </c>
      <c r="F3368" t="str">
        <f t="shared" si="104"/>
        <v>março</v>
      </c>
      <c r="G3368">
        <f t="shared" si="105"/>
        <v>2024</v>
      </c>
    </row>
    <row r="3369" spans="1:7" x14ac:dyDescent="0.25">
      <c r="A3369">
        <v>8070025</v>
      </c>
      <c r="B3369" s="25">
        <v>45352</v>
      </c>
      <c r="C3369" t="s">
        <v>655</v>
      </c>
      <c r="D3369" s="6">
        <v>1.6</v>
      </c>
      <c r="E3369" s="9">
        <v>4.38</v>
      </c>
      <c r="F3369" t="str">
        <f t="shared" si="104"/>
        <v>março</v>
      </c>
      <c r="G3369">
        <f t="shared" si="105"/>
        <v>2024</v>
      </c>
    </row>
    <row r="3370" spans="1:7" x14ac:dyDescent="0.25">
      <c r="A3370">
        <v>8070026</v>
      </c>
      <c r="B3370" s="25">
        <v>45352</v>
      </c>
      <c r="C3370" t="s">
        <v>584</v>
      </c>
      <c r="D3370" s="6">
        <v>2880</v>
      </c>
      <c r="E3370" s="9">
        <v>8784</v>
      </c>
      <c r="F3370" t="str">
        <f t="shared" si="104"/>
        <v>março</v>
      </c>
      <c r="G3370">
        <f t="shared" si="105"/>
        <v>2024</v>
      </c>
    </row>
    <row r="3371" spans="1:7" x14ac:dyDescent="0.25">
      <c r="A3371">
        <v>8070027</v>
      </c>
      <c r="B3371" s="25">
        <v>45352</v>
      </c>
      <c r="C3371" t="s">
        <v>772</v>
      </c>
      <c r="D3371" s="6">
        <v>2150</v>
      </c>
      <c r="E3371" s="9">
        <v>7737</v>
      </c>
      <c r="F3371" t="str">
        <f t="shared" si="104"/>
        <v>março</v>
      </c>
      <c r="G3371">
        <f t="shared" si="105"/>
        <v>2024</v>
      </c>
    </row>
    <row r="3372" spans="1:7" x14ac:dyDescent="0.25">
      <c r="A3372">
        <v>8070029</v>
      </c>
      <c r="B3372" s="25">
        <v>45352</v>
      </c>
      <c r="C3372" t="s">
        <v>491</v>
      </c>
      <c r="D3372" s="6">
        <v>1.9</v>
      </c>
      <c r="E3372" s="9">
        <v>7.79</v>
      </c>
      <c r="F3372" t="str">
        <f t="shared" si="104"/>
        <v>março</v>
      </c>
      <c r="G3372">
        <f t="shared" si="105"/>
        <v>2024</v>
      </c>
    </row>
    <row r="3373" spans="1:7" x14ac:dyDescent="0.25">
      <c r="A3373">
        <v>8070052</v>
      </c>
      <c r="B3373" s="25">
        <v>45352</v>
      </c>
      <c r="C3373" t="s">
        <v>751</v>
      </c>
      <c r="D3373" s="6">
        <v>32</v>
      </c>
      <c r="E3373" s="9">
        <v>102.4</v>
      </c>
      <c r="F3373" t="str">
        <f t="shared" si="104"/>
        <v>março</v>
      </c>
      <c r="G3373">
        <f t="shared" si="105"/>
        <v>2024</v>
      </c>
    </row>
    <row r="3374" spans="1:7" x14ac:dyDescent="0.25">
      <c r="A3374">
        <v>8070054</v>
      </c>
      <c r="B3374" s="25">
        <v>45352</v>
      </c>
      <c r="C3374" t="s">
        <v>662</v>
      </c>
      <c r="D3374" s="6">
        <v>1.84</v>
      </c>
      <c r="E3374" s="9">
        <v>13.82</v>
      </c>
      <c r="F3374" t="str">
        <f t="shared" si="104"/>
        <v>março</v>
      </c>
      <c r="G3374">
        <f t="shared" si="105"/>
        <v>2024</v>
      </c>
    </row>
    <row r="3375" spans="1:7" x14ac:dyDescent="0.25">
      <c r="A3375">
        <v>8070060</v>
      </c>
      <c r="B3375" s="25">
        <v>45352</v>
      </c>
      <c r="C3375" t="s">
        <v>701</v>
      </c>
      <c r="D3375" s="6">
        <v>4052</v>
      </c>
      <c r="E3375" s="9">
        <v>9117.7000000000007</v>
      </c>
      <c r="F3375" t="str">
        <f t="shared" si="104"/>
        <v>março</v>
      </c>
      <c r="G3375">
        <f t="shared" si="105"/>
        <v>2024</v>
      </c>
    </row>
    <row r="3376" spans="1:7" x14ac:dyDescent="0.25">
      <c r="A3376">
        <v>8070061</v>
      </c>
      <c r="B3376" s="25">
        <v>45352</v>
      </c>
      <c r="C3376" t="s">
        <v>752</v>
      </c>
      <c r="D3376" s="6">
        <v>10</v>
      </c>
      <c r="E3376" s="9">
        <v>23</v>
      </c>
      <c r="F3376" t="str">
        <f t="shared" si="104"/>
        <v>março</v>
      </c>
      <c r="G3376">
        <f t="shared" si="105"/>
        <v>2024</v>
      </c>
    </row>
    <row r="3377" spans="1:7" x14ac:dyDescent="0.25">
      <c r="A3377">
        <v>8070062</v>
      </c>
      <c r="B3377" s="25">
        <v>45352</v>
      </c>
      <c r="C3377" t="s">
        <v>987</v>
      </c>
      <c r="D3377" s="6">
        <v>5.6</v>
      </c>
      <c r="E3377" s="9">
        <v>19.22</v>
      </c>
      <c r="F3377" t="str">
        <f t="shared" si="104"/>
        <v>março</v>
      </c>
      <c r="G3377">
        <f t="shared" si="105"/>
        <v>2024</v>
      </c>
    </row>
    <row r="3378" spans="1:7" x14ac:dyDescent="0.25">
      <c r="A3378">
        <v>8070063</v>
      </c>
      <c r="B3378" s="25">
        <v>45352</v>
      </c>
      <c r="C3378" t="s">
        <v>988</v>
      </c>
      <c r="D3378" s="6">
        <v>960</v>
      </c>
      <c r="E3378" s="9">
        <v>2899.2</v>
      </c>
      <c r="F3378" t="str">
        <f t="shared" si="104"/>
        <v>março</v>
      </c>
      <c r="G3378">
        <f t="shared" si="105"/>
        <v>2024</v>
      </c>
    </row>
    <row r="3379" spans="1:7" x14ac:dyDescent="0.25">
      <c r="A3379">
        <v>8070067</v>
      </c>
      <c r="B3379" s="25">
        <v>45352</v>
      </c>
      <c r="C3379" t="s">
        <v>754</v>
      </c>
      <c r="D3379" s="6">
        <v>30</v>
      </c>
      <c r="E3379" s="9">
        <v>63</v>
      </c>
      <c r="F3379" t="str">
        <f t="shared" si="104"/>
        <v>março</v>
      </c>
      <c r="G3379">
        <f t="shared" si="105"/>
        <v>2024</v>
      </c>
    </row>
    <row r="3380" spans="1:7" x14ac:dyDescent="0.25">
      <c r="A3380">
        <v>8070069</v>
      </c>
      <c r="B3380" s="25">
        <v>45352</v>
      </c>
      <c r="C3380" t="s">
        <v>774</v>
      </c>
      <c r="D3380" s="6">
        <v>1008</v>
      </c>
      <c r="E3380" s="9">
        <v>1209.5999999999999</v>
      </c>
      <c r="F3380" t="str">
        <f t="shared" si="104"/>
        <v>março</v>
      </c>
      <c r="G3380">
        <f t="shared" si="105"/>
        <v>2024</v>
      </c>
    </row>
    <row r="3381" spans="1:7" x14ac:dyDescent="0.25">
      <c r="A3381">
        <v>8080001</v>
      </c>
      <c r="B3381" s="25">
        <v>45352</v>
      </c>
      <c r="C3381" t="s">
        <v>989</v>
      </c>
      <c r="D3381" s="6">
        <v>58.32</v>
      </c>
      <c r="E3381" s="9">
        <v>2791.6</v>
      </c>
      <c r="F3381" t="str">
        <f t="shared" si="104"/>
        <v>março</v>
      </c>
      <c r="G3381">
        <f t="shared" si="105"/>
        <v>2024</v>
      </c>
    </row>
    <row r="3382" spans="1:7" x14ac:dyDescent="0.25">
      <c r="A3382">
        <v>8120003</v>
      </c>
      <c r="B3382" s="25">
        <v>45352</v>
      </c>
      <c r="C3382" t="s">
        <v>376</v>
      </c>
      <c r="D3382" s="6">
        <v>1093.45</v>
      </c>
      <c r="E3382" s="9">
        <v>2988.88</v>
      </c>
      <c r="F3382" t="str">
        <f t="shared" si="104"/>
        <v>março</v>
      </c>
      <c r="G3382">
        <f t="shared" si="105"/>
        <v>2024</v>
      </c>
    </row>
    <row r="3383" spans="1:7" x14ac:dyDescent="0.25">
      <c r="A3383">
        <v>8120004</v>
      </c>
      <c r="B3383" s="25">
        <v>45352</v>
      </c>
      <c r="C3383" t="s">
        <v>406</v>
      </c>
      <c r="D3383" s="6">
        <v>4790</v>
      </c>
      <c r="E3383" s="9">
        <v>21822.400000000001</v>
      </c>
      <c r="F3383" t="str">
        <f t="shared" si="104"/>
        <v>março</v>
      </c>
      <c r="G3383">
        <f t="shared" si="105"/>
        <v>2024</v>
      </c>
    </row>
    <row r="3384" spans="1:7" x14ac:dyDescent="0.25">
      <c r="A3384">
        <v>8120007</v>
      </c>
      <c r="B3384" s="25">
        <v>45352</v>
      </c>
      <c r="C3384" t="s">
        <v>377</v>
      </c>
      <c r="D3384" s="6">
        <v>1978.05</v>
      </c>
      <c r="E3384" s="9">
        <v>15849.13</v>
      </c>
      <c r="F3384" t="str">
        <f t="shared" si="104"/>
        <v>março</v>
      </c>
      <c r="G3384">
        <f t="shared" si="105"/>
        <v>2024</v>
      </c>
    </row>
    <row r="3385" spans="1:7" x14ac:dyDescent="0.25">
      <c r="A3385">
        <v>8120008</v>
      </c>
      <c r="B3385" s="25">
        <v>45352</v>
      </c>
      <c r="C3385" t="s">
        <v>409</v>
      </c>
      <c r="D3385" s="6">
        <v>3688.11</v>
      </c>
      <c r="E3385" s="9">
        <v>34592.400000000001</v>
      </c>
      <c r="F3385" t="str">
        <f t="shared" si="104"/>
        <v>março</v>
      </c>
      <c r="G3385">
        <f t="shared" si="105"/>
        <v>2024</v>
      </c>
    </row>
    <row r="3386" spans="1:7" x14ac:dyDescent="0.25">
      <c r="A3386">
        <v>8120015</v>
      </c>
      <c r="B3386" s="25">
        <v>45352</v>
      </c>
      <c r="C3386" t="s">
        <v>412</v>
      </c>
      <c r="D3386" s="6">
        <v>2403</v>
      </c>
      <c r="E3386" s="9">
        <v>7088.85</v>
      </c>
      <c r="F3386" t="str">
        <f t="shared" si="104"/>
        <v>março</v>
      </c>
      <c r="G3386">
        <f t="shared" si="105"/>
        <v>2024</v>
      </c>
    </row>
    <row r="3387" spans="1:7" x14ac:dyDescent="0.25">
      <c r="A3387">
        <v>8120023</v>
      </c>
      <c r="B3387" s="25">
        <v>45352</v>
      </c>
      <c r="C3387" t="s">
        <v>514</v>
      </c>
      <c r="D3387" s="6">
        <v>2.08</v>
      </c>
      <c r="E3387" s="9">
        <v>24.57</v>
      </c>
      <c r="F3387" t="str">
        <f t="shared" si="104"/>
        <v>março</v>
      </c>
      <c r="G3387">
        <f t="shared" si="105"/>
        <v>2024</v>
      </c>
    </row>
    <row r="3388" spans="1:7" x14ac:dyDescent="0.25">
      <c r="A3388">
        <v>8120040</v>
      </c>
      <c r="B3388" s="25">
        <v>45352</v>
      </c>
      <c r="C3388" t="s">
        <v>756</v>
      </c>
      <c r="D3388" s="6">
        <v>420</v>
      </c>
      <c r="E3388" s="9">
        <v>1724</v>
      </c>
      <c r="F3388" t="str">
        <f t="shared" si="104"/>
        <v>março</v>
      </c>
      <c r="G3388">
        <f t="shared" si="105"/>
        <v>2024</v>
      </c>
    </row>
    <row r="3389" spans="1:7" x14ac:dyDescent="0.25">
      <c r="A3389">
        <v>8120052</v>
      </c>
      <c r="B3389" s="25">
        <v>45352</v>
      </c>
      <c r="C3389" t="s">
        <v>783</v>
      </c>
      <c r="D3389" s="6">
        <v>106.5</v>
      </c>
      <c r="E3389" s="9">
        <v>298.95</v>
      </c>
      <c r="F3389" t="str">
        <f t="shared" si="104"/>
        <v>março</v>
      </c>
      <c r="G3389">
        <f t="shared" si="105"/>
        <v>2024</v>
      </c>
    </row>
    <row r="3390" spans="1:7" x14ac:dyDescent="0.25">
      <c r="A3390">
        <v>8130002</v>
      </c>
      <c r="B3390" s="25">
        <v>45352</v>
      </c>
      <c r="C3390" t="s">
        <v>413</v>
      </c>
      <c r="D3390" s="6">
        <v>3</v>
      </c>
      <c r="E3390" s="9">
        <v>7.16</v>
      </c>
      <c r="F3390" t="str">
        <f t="shared" si="104"/>
        <v>março</v>
      </c>
      <c r="G3390">
        <f t="shared" si="105"/>
        <v>2024</v>
      </c>
    </row>
    <row r="3391" spans="1:7" x14ac:dyDescent="0.25">
      <c r="A3391">
        <v>8130014</v>
      </c>
      <c r="B3391" s="25">
        <v>45352</v>
      </c>
      <c r="C3391" t="s">
        <v>417</v>
      </c>
      <c r="D3391" s="6">
        <v>40</v>
      </c>
      <c r="E3391" s="9">
        <v>147.6</v>
      </c>
      <c r="F3391" t="str">
        <f t="shared" si="104"/>
        <v>março</v>
      </c>
      <c r="G3391">
        <f t="shared" si="105"/>
        <v>2024</v>
      </c>
    </row>
    <row r="3392" spans="1:7" x14ac:dyDescent="0.25">
      <c r="A3392">
        <v>8130015</v>
      </c>
      <c r="B3392" s="25">
        <v>45352</v>
      </c>
      <c r="C3392" t="s">
        <v>622</v>
      </c>
      <c r="D3392" s="6">
        <v>66.599999999999994</v>
      </c>
      <c r="E3392" s="9">
        <v>238.25</v>
      </c>
      <c r="F3392" t="str">
        <f t="shared" si="104"/>
        <v>março</v>
      </c>
      <c r="G3392">
        <f t="shared" si="105"/>
        <v>2024</v>
      </c>
    </row>
    <row r="3393" spans="1:7" x14ac:dyDescent="0.25">
      <c r="A3393">
        <v>8130017</v>
      </c>
      <c r="B3393" s="25">
        <v>45352</v>
      </c>
      <c r="C3393" t="s">
        <v>795</v>
      </c>
      <c r="D3393" s="6">
        <v>243</v>
      </c>
      <c r="E3393" s="9">
        <v>704.7</v>
      </c>
      <c r="F3393" t="str">
        <f t="shared" si="104"/>
        <v>março</v>
      </c>
      <c r="G3393">
        <f t="shared" si="105"/>
        <v>2024</v>
      </c>
    </row>
    <row r="3394" spans="1:7" x14ac:dyDescent="0.25">
      <c r="A3394">
        <v>8130022</v>
      </c>
      <c r="B3394" s="25">
        <v>45352</v>
      </c>
      <c r="C3394" t="s">
        <v>990</v>
      </c>
      <c r="D3394" s="6">
        <v>990</v>
      </c>
      <c r="E3394" s="9">
        <v>1980</v>
      </c>
      <c r="F3394" t="str">
        <f t="shared" si="104"/>
        <v>março</v>
      </c>
      <c r="G3394">
        <f t="shared" si="105"/>
        <v>2024</v>
      </c>
    </row>
    <row r="3395" spans="1:7" x14ac:dyDescent="0.25">
      <c r="A3395">
        <v>8140001</v>
      </c>
      <c r="B3395" s="25">
        <v>45352</v>
      </c>
      <c r="C3395" t="s">
        <v>381</v>
      </c>
      <c r="D3395" s="6">
        <v>1782</v>
      </c>
      <c r="E3395" s="9">
        <v>7662.6</v>
      </c>
      <c r="F3395" t="str">
        <f t="shared" ref="F3395:F3458" si="106">TEXT(B3395,"mmmm")</f>
        <v>março</v>
      </c>
      <c r="G3395">
        <f t="shared" ref="G3395:G3458" si="107">YEAR(B3395)</f>
        <v>2024</v>
      </c>
    </row>
    <row r="3396" spans="1:7" x14ac:dyDescent="0.25">
      <c r="A3396">
        <v>8140006</v>
      </c>
      <c r="B3396" s="25">
        <v>45352</v>
      </c>
      <c r="C3396" t="s">
        <v>423</v>
      </c>
      <c r="D3396" s="6">
        <v>14</v>
      </c>
      <c r="E3396" s="9">
        <v>34.6</v>
      </c>
      <c r="F3396" t="str">
        <f t="shared" si="106"/>
        <v>março</v>
      </c>
      <c r="G3396">
        <f t="shared" si="107"/>
        <v>2024</v>
      </c>
    </row>
    <row r="3397" spans="1:7" x14ac:dyDescent="0.25">
      <c r="A3397">
        <v>8140013</v>
      </c>
      <c r="B3397" s="25">
        <v>45352</v>
      </c>
      <c r="C3397" t="s">
        <v>674</v>
      </c>
      <c r="D3397" s="6">
        <v>651</v>
      </c>
      <c r="E3397" s="9">
        <v>348.31</v>
      </c>
      <c r="F3397" t="str">
        <f t="shared" si="106"/>
        <v>março</v>
      </c>
      <c r="G3397">
        <f t="shared" si="107"/>
        <v>2024</v>
      </c>
    </row>
    <row r="3398" spans="1:7" x14ac:dyDescent="0.25">
      <c r="A3398">
        <v>8140015</v>
      </c>
      <c r="B3398" s="25">
        <v>45352</v>
      </c>
      <c r="C3398" t="s">
        <v>676</v>
      </c>
      <c r="D3398" s="6">
        <v>4072</v>
      </c>
      <c r="E3398" s="9">
        <v>3828.48</v>
      </c>
      <c r="F3398" t="str">
        <f t="shared" si="106"/>
        <v>março</v>
      </c>
      <c r="G3398">
        <f t="shared" si="107"/>
        <v>2024</v>
      </c>
    </row>
    <row r="3399" spans="1:7" x14ac:dyDescent="0.25">
      <c r="A3399">
        <v>8140016</v>
      </c>
      <c r="B3399" s="25">
        <v>45352</v>
      </c>
      <c r="C3399" t="s">
        <v>677</v>
      </c>
      <c r="D3399" s="6">
        <v>8</v>
      </c>
      <c r="E3399" s="9">
        <v>34.340000000000003</v>
      </c>
      <c r="F3399" t="str">
        <f t="shared" si="106"/>
        <v>março</v>
      </c>
      <c r="G3399">
        <f t="shared" si="107"/>
        <v>2024</v>
      </c>
    </row>
    <row r="3400" spans="1:7" x14ac:dyDescent="0.25">
      <c r="A3400">
        <v>8150004</v>
      </c>
      <c r="B3400" s="25">
        <v>45352</v>
      </c>
      <c r="C3400" t="s">
        <v>625</v>
      </c>
      <c r="D3400" s="6">
        <v>91.75</v>
      </c>
      <c r="E3400" s="9">
        <v>535.9</v>
      </c>
      <c r="F3400" t="str">
        <f t="shared" si="106"/>
        <v>março</v>
      </c>
      <c r="G3400">
        <f t="shared" si="107"/>
        <v>2024</v>
      </c>
    </row>
    <row r="3401" spans="1:7" x14ac:dyDescent="0.25">
      <c r="A3401">
        <v>8150005</v>
      </c>
      <c r="B3401" s="25">
        <v>45352</v>
      </c>
      <c r="C3401" t="s">
        <v>386</v>
      </c>
      <c r="D3401" s="6">
        <v>10</v>
      </c>
      <c r="E3401" s="9">
        <v>53</v>
      </c>
      <c r="F3401" t="str">
        <f t="shared" si="106"/>
        <v>março</v>
      </c>
      <c r="G3401">
        <f t="shared" si="107"/>
        <v>2024</v>
      </c>
    </row>
    <row r="3402" spans="1:7" x14ac:dyDescent="0.25">
      <c r="A3402">
        <v>8150011</v>
      </c>
      <c r="B3402" s="25">
        <v>45352</v>
      </c>
      <c r="C3402" t="s">
        <v>532</v>
      </c>
      <c r="D3402" s="6">
        <v>0.65</v>
      </c>
      <c r="E3402" s="9">
        <v>3.57</v>
      </c>
      <c r="F3402" t="str">
        <f t="shared" si="106"/>
        <v>março</v>
      </c>
      <c r="G3402">
        <f t="shared" si="107"/>
        <v>2024</v>
      </c>
    </row>
    <row r="3403" spans="1:7" x14ac:dyDescent="0.25">
      <c r="A3403">
        <v>8150012</v>
      </c>
      <c r="B3403" s="25">
        <v>45352</v>
      </c>
      <c r="C3403" t="s">
        <v>626</v>
      </c>
      <c r="D3403" s="6">
        <v>2</v>
      </c>
      <c r="E3403" s="9">
        <v>11.78</v>
      </c>
      <c r="F3403" t="str">
        <f t="shared" si="106"/>
        <v>março</v>
      </c>
      <c r="G3403">
        <f t="shared" si="107"/>
        <v>2024</v>
      </c>
    </row>
    <row r="3404" spans="1:7" x14ac:dyDescent="0.25">
      <c r="A3404">
        <v>8150014</v>
      </c>
      <c r="B3404" s="25">
        <v>45352</v>
      </c>
      <c r="C3404" t="s">
        <v>538</v>
      </c>
      <c r="D3404" s="6">
        <v>3</v>
      </c>
      <c r="E3404" s="9">
        <v>12.15</v>
      </c>
      <c r="F3404" t="str">
        <f t="shared" si="106"/>
        <v>março</v>
      </c>
      <c r="G3404">
        <f t="shared" si="107"/>
        <v>2024</v>
      </c>
    </row>
    <row r="3405" spans="1:7" x14ac:dyDescent="0.25">
      <c r="A3405">
        <v>8150026</v>
      </c>
      <c r="B3405" s="25">
        <v>45352</v>
      </c>
      <c r="C3405" t="s">
        <v>760</v>
      </c>
      <c r="D3405" s="6">
        <v>0.65</v>
      </c>
      <c r="E3405" s="9">
        <v>2.64</v>
      </c>
      <c r="F3405" t="str">
        <f t="shared" si="106"/>
        <v>março</v>
      </c>
      <c r="G3405">
        <f t="shared" si="107"/>
        <v>2024</v>
      </c>
    </row>
    <row r="3406" spans="1:7" x14ac:dyDescent="0.25">
      <c r="A3406">
        <v>8150027</v>
      </c>
      <c r="B3406" s="25">
        <v>45352</v>
      </c>
      <c r="C3406" t="s">
        <v>991</v>
      </c>
      <c r="D3406" s="6">
        <v>10</v>
      </c>
      <c r="E3406" s="9">
        <v>45.5</v>
      </c>
      <c r="F3406" t="str">
        <f t="shared" si="106"/>
        <v>março</v>
      </c>
      <c r="G3406">
        <f t="shared" si="107"/>
        <v>2024</v>
      </c>
    </row>
    <row r="3407" spans="1:7" x14ac:dyDescent="0.25">
      <c r="A3407">
        <v>1010200</v>
      </c>
      <c r="B3407" s="25">
        <v>45383</v>
      </c>
      <c r="C3407" t="s">
        <v>331</v>
      </c>
      <c r="D3407" s="6">
        <v>845.7</v>
      </c>
      <c r="E3407" s="9">
        <v>253.71</v>
      </c>
      <c r="F3407" t="str">
        <f t="shared" si="106"/>
        <v>abril</v>
      </c>
      <c r="G3407">
        <f t="shared" si="107"/>
        <v>2024</v>
      </c>
    </row>
    <row r="3408" spans="1:7" x14ac:dyDescent="0.25">
      <c r="A3408">
        <v>1010500</v>
      </c>
      <c r="B3408" s="25">
        <v>45383</v>
      </c>
      <c r="C3408" t="s">
        <v>6</v>
      </c>
      <c r="D3408" s="6">
        <v>1865.9</v>
      </c>
      <c r="E3408" s="9">
        <v>1447.33</v>
      </c>
      <c r="F3408" t="str">
        <f t="shared" si="106"/>
        <v>abril</v>
      </c>
      <c r="G3408">
        <f t="shared" si="107"/>
        <v>2024</v>
      </c>
    </row>
    <row r="3409" spans="1:7" x14ac:dyDescent="0.25">
      <c r="A3409">
        <v>1010600</v>
      </c>
      <c r="B3409" s="25">
        <v>45383</v>
      </c>
      <c r="C3409" t="s">
        <v>334</v>
      </c>
      <c r="D3409" s="6">
        <v>9588.7000000000007</v>
      </c>
      <c r="E3409" s="9">
        <v>6753.93</v>
      </c>
      <c r="F3409" t="str">
        <f t="shared" si="106"/>
        <v>abril</v>
      </c>
      <c r="G3409">
        <f t="shared" si="107"/>
        <v>2024</v>
      </c>
    </row>
    <row r="3410" spans="1:7" x14ac:dyDescent="0.25">
      <c r="A3410">
        <v>1010700</v>
      </c>
      <c r="B3410" s="25">
        <v>45383</v>
      </c>
      <c r="C3410" t="s">
        <v>335</v>
      </c>
      <c r="D3410" s="6">
        <v>397.90000000000003</v>
      </c>
      <c r="E3410" s="9">
        <v>860.47</v>
      </c>
      <c r="F3410" t="str">
        <f t="shared" si="106"/>
        <v>abril</v>
      </c>
      <c r="G3410">
        <f t="shared" si="107"/>
        <v>2024</v>
      </c>
    </row>
    <row r="3411" spans="1:7" x14ac:dyDescent="0.25">
      <c r="A3411">
        <v>1010701</v>
      </c>
      <c r="B3411" s="25">
        <v>45383</v>
      </c>
      <c r="C3411" t="s">
        <v>12</v>
      </c>
      <c r="D3411" s="6">
        <v>388.3</v>
      </c>
      <c r="E3411" s="9">
        <v>2858.24</v>
      </c>
      <c r="F3411" t="str">
        <f t="shared" si="106"/>
        <v>abril</v>
      </c>
      <c r="G3411">
        <f t="shared" si="107"/>
        <v>2024</v>
      </c>
    </row>
    <row r="3412" spans="1:7" x14ac:dyDescent="0.25">
      <c r="A3412">
        <v>1010702</v>
      </c>
      <c r="B3412" s="25">
        <v>45383</v>
      </c>
      <c r="C3412" t="s">
        <v>740</v>
      </c>
      <c r="D3412" s="6">
        <v>766.5</v>
      </c>
      <c r="E3412" s="9">
        <v>919.8</v>
      </c>
      <c r="F3412" t="str">
        <f t="shared" si="106"/>
        <v>abril</v>
      </c>
      <c r="G3412">
        <f t="shared" si="107"/>
        <v>2024</v>
      </c>
    </row>
    <row r="3413" spans="1:7" x14ac:dyDescent="0.25">
      <c r="A3413">
        <v>1010732</v>
      </c>
      <c r="B3413" s="25">
        <v>45383</v>
      </c>
      <c r="C3413" t="s">
        <v>14</v>
      </c>
      <c r="D3413" s="6">
        <v>270</v>
      </c>
      <c r="E3413" s="9">
        <v>2154</v>
      </c>
      <c r="F3413" t="str">
        <f t="shared" si="106"/>
        <v>abril</v>
      </c>
      <c r="G3413">
        <f t="shared" si="107"/>
        <v>2024</v>
      </c>
    </row>
    <row r="3414" spans="1:7" x14ac:dyDescent="0.25">
      <c r="A3414">
        <v>1010733</v>
      </c>
      <c r="B3414" s="25">
        <v>45383</v>
      </c>
      <c r="C3414" t="s">
        <v>992</v>
      </c>
      <c r="D3414" s="6">
        <v>-282.98</v>
      </c>
      <c r="E3414" s="9">
        <v>-1805.41</v>
      </c>
      <c r="F3414" t="str">
        <f t="shared" si="106"/>
        <v>abril</v>
      </c>
      <c r="G3414">
        <f t="shared" si="107"/>
        <v>2024</v>
      </c>
    </row>
    <row r="3415" spans="1:7" x14ac:dyDescent="0.25">
      <c r="A3415">
        <v>1010900</v>
      </c>
      <c r="B3415" s="25">
        <v>45383</v>
      </c>
      <c r="C3415" t="s">
        <v>336</v>
      </c>
      <c r="D3415" s="6">
        <v>16.5</v>
      </c>
      <c r="E3415" s="9">
        <v>24.35</v>
      </c>
      <c r="F3415" t="str">
        <f t="shared" si="106"/>
        <v>abril</v>
      </c>
      <c r="G3415">
        <f t="shared" si="107"/>
        <v>2024</v>
      </c>
    </row>
    <row r="3416" spans="1:7" x14ac:dyDescent="0.25">
      <c r="A3416">
        <v>1010901</v>
      </c>
      <c r="B3416" s="25">
        <v>45383</v>
      </c>
      <c r="C3416" t="s">
        <v>337</v>
      </c>
      <c r="D3416" s="6">
        <v>3.8000000000000003</v>
      </c>
      <c r="E3416" s="9">
        <v>4.18</v>
      </c>
      <c r="F3416" t="str">
        <f t="shared" si="106"/>
        <v>abril</v>
      </c>
      <c r="G3416">
        <f t="shared" si="107"/>
        <v>2024</v>
      </c>
    </row>
    <row r="3417" spans="1:7" x14ac:dyDescent="0.25">
      <c r="A3417">
        <v>1010902</v>
      </c>
      <c r="B3417" s="25">
        <v>45383</v>
      </c>
      <c r="C3417" t="s">
        <v>431</v>
      </c>
      <c r="D3417" s="6">
        <v>715.9</v>
      </c>
      <c r="E3417" s="9">
        <v>914.01</v>
      </c>
      <c r="F3417" t="str">
        <f t="shared" si="106"/>
        <v>abril</v>
      </c>
      <c r="G3417">
        <f t="shared" si="107"/>
        <v>2024</v>
      </c>
    </row>
    <row r="3418" spans="1:7" x14ac:dyDescent="0.25">
      <c r="A3418">
        <v>1010903</v>
      </c>
      <c r="B3418" s="25">
        <v>45383</v>
      </c>
      <c r="C3418" t="s">
        <v>629</v>
      </c>
      <c r="D3418" s="6">
        <v>314.3</v>
      </c>
      <c r="E3418" s="9">
        <v>287.23</v>
      </c>
      <c r="F3418" t="str">
        <f t="shared" si="106"/>
        <v>abril</v>
      </c>
      <c r="G3418">
        <f t="shared" si="107"/>
        <v>2024</v>
      </c>
    </row>
    <row r="3419" spans="1:7" x14ac:dyDescent="0.25">
      <c r="A3419">
        <v>1011000</v>
      </c>
      <c r="B3419" s="25">
        <v>45383</v>
      </c>
      <c r="C3419" t="s">
        <v>20</v>
      </c>
      <c r="D3419" s="6">
        <v>1009.12</v>
      </c>
      <c r="E3419" s="9">
        <v>725.48</v>
      </c>
      <c r="F3419" t="str">
        <f t="shared" si="106"/>
        <v>abril</v>
      </c>
      <c r="G3419">
        <f t="shared" si="107"/>
        <v>2024</v>
      </c>
    </row>
    <row r="3420" spans="1:7" x14ac:dyDescent="0.25">
      <c r="A3420">
        <v>1011100</v>
      </c>
      <c r="B3420" s="25">
        <v>45383</v>
      </c>
      <c r="C3420" t="s">
        <v>293</v>
      </c>
      <c r="D3420" s="6">
        <v>96.4</v>
      </c>
      <c r="E3420" s="9">
        <v>45.06</v>
      </c>
      <c r="F3420" t="str">
        <f t="shared" si="106"/>
        <v>abril</v>
      </c>
      <c r="G3420">
        <f t="shared" si="107"/>
        <v>2024</v>
      </c>
    </row>
    <row r="3421" spans="1:7" x14ac:dyDescent="0.25">
      <c r="A3421">
        <v>1011200</v>
      </c>
      <c r="B3421" s="25">
        <v>45383</v>
      </c>
      <c r="C3421" t="s">
        <v>24</v>
      </c>
      <c r="D3421" s="6">
        <v>41.7</v>
      </c>
      <c r="E3421" s="9">
        <v>57.49</v>
      </c>
      <c r="F3421" t="str">
        <f t="shared" si="106"/>
        <v>abril</v>
      </c>
      <c r="G3421">
        <f t="shared" si="107"/>
        <v>2024</v>
      </c>
    </row>
    <row r="3422" spans="1:7" x14ac:dyDescent="0.25">
      <c r="A3422">
        <v>1011201</v>
      </c>
      <c r="B3422" s="25">
        <v>45383</v>
      </c>
      <c r="C3422" t="s">
        <v>338</v>
      </c>
      <c r="D3422" s="6">
        <v>129.19999999999999</v>
      </c>
      <c r="E3422" s="9">
        <v>348.84</v>
      </c>
      <c r="F3422" t="str">
        <f t="shared" si="106"/>
        <v>abril</v>
      </c>
      <c r="G3422">
        <f t="shared" si="107"/>
        <v>2024</v>
      </c>
    </row>
    <row r="3423" spans="1:7" x14ac:dyDescent="0.25">
      <c r="A3423">
        <v>1011202</v>
      </c>
      <c r="B3423" s="25">
        <v>45383</v>
      </c>
      <c r="C3423" t="s">
        <v>340</v>
      </c>
      <c r="D3423" s="6">
        <v>394.90000000000003</v>
      </c>
      <c r="E3423" s="9">
        <v>78.98</v>
      </c>
      <c r="F3423" t="str">
        <f t="shared" si="106"/>
        <v>abril</v>
      </c>
      <c r="G3423">
        <f t="shared" si="107"/>
        <v>2024</v>
      </c>
    </row>
    <row r="3424" spans="1:7" x14ac:dyDescent="0.25">
      <c r="A3424">
        <v>1011203</v>
      </c>
      <c r="B3424" s="25">
        <v>45383</v>
      </c>
      <c r="C3424" t="s">
        <v>993</v>
      </c>
      <c r="D3424" s="6">
        <v>96.2</v>
      </c>
      <c r="E3424" s="9">
        <v>57.72</v>
      </c>
      <c r="F3424" t="str">
        <f t="shared" si="106"/>
        <v>abril</v>
      </c>
      <c r="G3424">
        <f t="shared" si="107"/>
        <v>2024</v>
      </c>
    </row>
    <row r="3425" spans="1:7" x14ac:dyDescent="0.25">
      <c r="A3425">
        <v>1011204</v>
      </c>
      <c r="B3425" s="25">
        <v>45383</v>
      </c>
      <c r="C3425" t="s">
        <v>344</v>
      </c>
      <c r="D3425" s="6">
        <v>121.8</v>
      </c>
      <c r="E3425" s="9">
        <v>207.06</v>
      </c>
      <c r="F3425" t="str">
        <f t="shared" si="106"/>
        <v>abril</v>
      </c>
      <c r="G3425">
        <f t="shared" si="107"/>
        <v>2024</v>
      </c>
    </row>
    <row r="3426" spans="1:7" x14ac:dyDescent="0.25">
      <c r="A3426">
        <v>1011211</v>
      </c>
      <c r="B3426" s="25">
        <v>45383</v>
      </c>
      <c r="C3426" t="s">
        <v>685</v>
      </c>
      <c r="D3426" s="6">
        <v>224.70000000000002</v>
      </c>
      <c r="E3426" s="9">
        <v>78.650000000000006</v>
      </c>
      <c r="F3426" t="str">
        <f t="shared" si="106"/>
        <v>abril</v>
      </c>
      <c r="G3426">
        <f t="shared" si="107"/>
        <v>2024</v>
      </c>
    </row>
    <row r="3427" spans="1:7" x14ac:dyDescent="0.25">
      <c r="A3427">
        <v>1011300</v>
      </c>
      <c r="B3427" s="25">
        <v>45383</v>
      </c>
      <c r="C3427" t="s">
        <v>295</v>
      </c>
      <c r="D3427" s="6">
        <v>8545.2000000000007</v>
      </c>
      <c r="E3427" s="9">
        <v>2748.18</v>
      </c>
      <c r="F3427" t="str">
        <f t="shared" si="106"/>
        <v>abril</v>
      </c>
      <c r="G3427">
        <f t="shared" si="107"/>
        <v>2024</v>
      </c>
    </row>
    <row r="3428" spans="1:7" x14ac:dyDescent="0.25">
      <c r="A3428">
        <v>1011500</v>
      </c>
      <c r="B3428" s="25">
        <v>45383</v>
      </c>
      <c r="C3428" t="s">
        <v>27</v>
      </c>
      <c r="D3428" s="6">
        <v>1506.7149999999999</v>
      </c>
      <c r="E3428" s="9">
        <v>1159.81</v>
      </c>
      <c r="F3428" t="str">
        <f t="shared" si="106"/>
        <v>abril</v>
      </c>
      <c r="G3428">
        <f t="shared" si="107"/>
        <v>2024</v>
      </c>
    </row>
    <row r="3429" spans="1:7" x14ac:dyDescent="0.25">
      <c r="A3429">
        <v>1011501</v>
      </c>
      <c r="B3429" s="25">
        <v>45383</v>
      </c>
      <c r="C3429" t="s">
        <v>297</v>
      </c>
      <c r="D3429" s="6">
        <v>8209.5</v>
      </c>
      <c r="E3429" s="9">
        <v>1231.43</v>
      </c>
      <c r="F3429" t="str">
        <f t="shared" si="106"/>
        <v>abril</v>
      </c>
      <c r="G3429">
        <f t="shared" si="107"/>
        <v>2024</v>
      </c>
    </row>
    <row r="3430" spans="1:7" x14ac:dyDescent="0.25">
      <c r="A3430">
        <v>1011502</v>
      </c>
      <c r="B3430" s="25">
        <v>45383</v>
      </c>
      <c r="C3430" t="s">
        <v>994</v>
      </c>
      <c r="D3430" s="6">
        <v>390</v>
      </c>
      <c r="E3430" s="9">
        <v>234</v>
      </c>
      <c r="F3430" t="str">
        <f t="shared" si="106"/>
        <v>abril</v>
      </c>
      <c r="G3430">
        <f t="shared" si="107"/>
        <v>2024</v>
      </c>
    </row>
    <row r="3431" spans="1:7" x14ac:dyDescent="0.25">
      <c r="A3431">
        <v>1011503</v>
      </c>
      <c r="B3431" s="25">
        <v>45383</v>
      </c>
      <c r="C3431" t="s">
        <v>995</v>
      </c>
      <c r="D3431" s="6">
        <v>81.484999999999999</v>
      </c>
      <c r="E3431" s="9">
        <v>48.9</v>
      </c>
      <c r="F3431" t="str">
        <f t="shared" si="106"/>
        <v>abril</v>
      </c>
      <c r="G3431">
        <f t="shared" si="107"/>
        <v>2024</v>
      </c>
    </row>
    <row r="3432" spans="1:7" x14ac:dyDescent="0.25">
      <c r="A3432">
        <v>1011604</v>
      </c>
      <c r="B3432" s="25">
        <v>45383</v>
      </c>
      <c r="C3432" t="s">
        <v>29</v>
      </c>
      <c r="D3432" s="6">
        <v>25662</v>
      </c>
      <c r="E3432" s="9">
        <v>2052.96</v>
      </c>
      <c r="F3432" t="str">
        <f t="shared" si="106"/>
        <v>abril</v>
      </c>
      <c r="G3432">
        <f t="shared" si="107"/>
        <v>2024</v>
      </c>
    </row>
    <row r="3433" spans="1:7" x14ac:dyDescent="0.25">
      <c r="A3433">
        <v>1011700</v>
      </c>
      <c r="B3433" s="25">
        <v>45383</v>
      </c>
      <c r="C3433" t="s">
        <v>31</v>
      </c>
      <c r="D3433" s="6">
        <v>300.10000000000002</v>
      </c>
      <c r="E3433" s="9">
        <v>488.63</v>
      </c>
      <c r="F3433" t="str">
        <f t="shared" si="106"/>
        <v>abril</v>
      </c>
      <c r="G3433">
        <f t="shared" si="107"/>
        <v>2024</v>
      </c>
    </row>
    <row r="3434" spans="1:7" x14ac:dyDescent="0.25">
      <c r="A3434">
        <v>1011800</v>
      </c>
      <c r="B3434" s="25">
        <v>45383</v>
      </c>
      <c r="C3434" t="s">
        <v>33</v>
      </c>
      <c r="D3434" s="6">
        <v>1989.425</v>
      </c>
      <c r="E3434" s="9">
        <v>3567.53</v>
      </c>
      <c r="F3434" t="str">
        <f t="shared" si="106"/>
        <v>abril</v>
      </c>
      <c r="G3434">
        <f t="shared" si="107"/>
        <v>2024</v>
      </c>
    </row>
    <row r="3435" spans="1:7" x14ac:dyDescent="0.25">
      <c r="A3435">
        <v>1011801</v>
      </c>
      <c r="B3435" s="25">
        <v>45383</v>
      </c>
      <c r="C3435" t="s">
        <v>35</v>
      </c>
      <c r="D3435" s="6">
        <v>30.92</v>
      </c>
      <c r="E3435" s="9">
        <v>51.02</v>
      </c>
      <c r="F3435" t="str">
        <f t="shared" si="106"/>
        <v>abril</v>
      </c>
      <c r="G3435">
        <f t="shared" si="107"/>
        <v>2024</v>
      </c>
    </row>
    <row r="3436" spans="1:7" x14ac:dyDescent="0.25">
      <c r="A3436">
        <v>1011802</v>
      </c>
      <c r="B3436" s="25">
        <v>45383</v>
      </c>
      <c r="C3436" t="s">
        <v>996</v>
      </c>
      <c r="D3436" s="6">
        <v>244.46</v>
      </c>
      <c r="E3436" s="9">
        <v>378.92</v>
      </c>
      <c r="F3436" t="str">
        <f t="shared" si="106"/>
        <v>abril</v>
      </c>
      <c r="G3436">
        <f t="shared" si="107"/>
        <v>2024</v>
      </c>
    </row>
    <row r="3437" spans="1:7" x14ac:dyDescent="0.25">
      <c r="A3437">
        <v>1011901</v>
      </c>
      <c r="B3437" s="25">
        <v>45383</v>
      </c>
      <c r="C3437" t="s">
        <v>37</v>
      </c>
      <c r="D3437" s="6">
        <v>424.16</v>
      </c>
      <c r="E3437" s="9">
        <v>197.02</v>
      </c>
      <c r="F3437" t="str">
        <f t="shared" si="106"/>
        <v>abril</v>
      </c>
      <c r="G3437">
        <f t="shared" si="107"/>
        <v>2024</v>
      </c>
    </row>
    <row r="3438" spans="1:7" x14ac:dyDescent="0.25">
      <c r="A3438">
        <v>1011902</v>
      </c>
      <c r="B3438" s="25">
        <v>45383</v>
      </c>
      <c r="C3438" t="s">
        <v>437</v>
      </c>
      <c r="D3438" s="6">
        <v>24.900000000000002</v>
      </c>
      <c r="E3438" s="9">
        <v>17.43</v>
      </c>
      <c r="F3438" t="str">
        <f t="shared" si="106"/>
        <v>abril</v>
      </c>
      <c r="G3438">
        <f t="shared" si="107"/>
        <v>2024</v>
      </c>
    </row>
    <row r="3439" spans="1:7" x14ac:dyDescent="0.25">
      <c r="A3439">
        <v>1012100</v>
      </c>
      <c r="B3439" s="25">
        <v>45383</v>
      </c>
      <c r="C3439" t="s">
        <v>302</v>
      </c>
      <c r="D3439" s="6">
        <v>492.6</v>
      </c>
      <c r="E3439" s="9">
        <v>1379.28</v>
      </c>
      <c r="F3439" t="str">
        <f t="shared" si="106"/>
        <v>abril</v>
      </c>
      <c r="G3439">
        <f t="shared" si="107"/>
        <v>2024</v>
      </c>
    </row>
    <row r="3440" spans="1:7" x14ac:dyDescent="0.25">
      <c r="A3440">
        <v>1012200</v>
      </c>
      <c r="B3440" s="25">
        <v>45383</v>
      </c>
      <c r="C3440" t="s">
        <v>39</v>
      </c>
      <c r="D3440" s="6">
        <v>1174.7</v>
      </c>
      <c r="E3440" s="9">
        <v>1997.99</v>
      </c>
      <c r="F3440" t="str">
        <f t="shared" si="106"/>
        <v>abril</v>
      </c>
      <c r="G3440">
        <f t="shared" si="107"/>
        <v>2024</v>
      </c>
    </row>
    <row r="3441" spans="1:7" x14ac:dyDescent="0.25">
      <c r="A3441">
        <v>1012201</v>
      </c>
      <c r="B3441" s="25">
        <v>45383</v>
      </c>
      <c r="C3441" t="s">
        <v>41</v>
      </c>
      <c r="D3441" s="6">
        <v>3883.4</v>
      </c>
      <c r="E3441" s="9">
        <v>5995.24</v>
      </c>
      <c r="F3441" t="str">
        <f t="shared" si="106"/>
        <v>abril</v>
      </c>
      <c r="G3441">
        <f t="shared" si="107"/>
        <v>2024</v>
      </c>
    </row>
    <row r="3442" spans="1:7" x14ac:dyDescent="0.25">
      <c r="A3442">
        <v>1012203</v>
      </c>
      <c r="B3442" s="25">
        <v>45383</v>
      </c>
      <c r="C3442" t="s">
        <v>43</v>
      </c>
      <c r="D3442" s="6">
        <v>1295.98</v>
      </c>
      <c r="E3442" s="9">
        <v>2380.92</v>
      </c>
      <c r="F3442" t="str">
        <f t="shared" si="106"/>
        <v>abril</v>
      </c>
      <c r="G3442">
        <f t="shared" si="107"/>
        <v>2024</v>
      </c>
    </row>
    <row r="3443" spans="1:7" x14ac:dyDescent="0.25">
      <c r="A3443">
        <v>1012205</v>
      </c>
      <c r="B3443" s="25">
        <v>45383</v>
      </c>
      <c r="C3443" t="s">
        <v>741</v>
      </c>
      <c r="D3443" s="6">
        <v>3995.98</v>
      </c>
      <c r="E3443" s="9">
        <v>4582.5200000000004</v>
      </c>
      <c r="F3443" t="str">
        <f t="shared" si="106"/>
        <v>abril</v>
      </c>
      <c r="G3443">
        <f t="shared" si="107"/>
        <v>2024</v>
      </c>
    </row>
    <row r="3444" spans="1:7" x14ac:dyDescent="0.25">
      <c r="A3444">
        <v>1012206</v>
      </c>
      <c r="B3444" s="25">
        <v>45383</v>
      </c>
      <c r="C3444" t="s">
        <v>763</v>
      </c>
      <c r="D3444" s="6">
        <v>1745.7</v>
      </c>
      <c r="E3444" s="9">
        <v>2443.9899999999998</v>
      </c>
      <c r="F3444" t="str">
        <f t="shared" si="106"/>
        <v>abril</v>
      </c>
      <c r="G3444">
        <f t="shared" si="107"/>
        <v>2024</v>
      </c>
    </row>
    <row r="3445" spans="1:7" x14ac:dyDescent="0.25">
      <c r="A3445">
        <v>1012207</v>
      </c>
      <c r="B3445" s="25">
        <v>45383</v>
      </c>
      <c r="C3445" t="s">
        <v>810</v>
      </c>
      <c r="D3445" s="6">
        <v>50.95</v>
      </c>
      <c r="E3445" s="9">
        <v>92.94</v>
      </c>
      <c r="F3445" t="str">
        <f t="shared" si="106"/>
        <v>abril</v>
      </c>
      <c r="G3445">
        <f t="shared" si="107"/>
        <v>2024</v>
      </c>
    </row>
    <row r="3446" spans="1:7" x14ac:dyDescent="0.25">
      <c r="A3446">
        <v>1012300</v>
      </c>
      <c r="B3446" s="25">
        <v>45383</v>
      </c>
      <c r="C3446" t="s">
        <v>45</v>
      </c>
      <c r="D3446" s="6">
        <v>363.6</v>
      </c>
      <c r="E3446" s="9">
        <v>537.80999999999995</v>
      </c>
      <c r="F3446" t="str">
        <f t="shared" si="106"/>
        <v>abril</v>
      </c>
      <c r="G3446">
        <f t="shared" si="107"/>
        <v>2024</v>
      </c>
    </row>
    <row r="3447" spans="1:7" x14ac:dyDescent="0.25">
      <c r="A3447">
        <v>1012301</v>
      </c>
      <c r="B3447" s="25">
        <v>45383</v>
      </c>
      <c r="C3447" t="s">
        <v>47</v>
      </c>
      <c r="D3447" s="6">
        <v>110</v>
      </c>
      <c r="E3447" s="9">
        <v>137.5</v>
      </c>
      <c r="F3447" t="str">
        <f t="shared" si="106"/>
        <v>abril</v>
      </c>
      <c r="G3447">
        <f t="shared" si="107"/>
        <v>2024</v>
      </c>
    </row>
    <row r="3448" spans="1:7" x14ac:dyDescent="0.25">
      <c r="A3448">
        <v>1012400</v>
      </c>
      <c r="B3448" s="25">
        <v>45383</v>
      </c>
      <c r="C3448" t="s">
        <v>49</v>
      </c>
      <c r="D3448" s="6">
        <v>1059.42</v>
      </c>
      <c r="E3448" s="9">
        <v>1830.51</v>
      </c>
      <c r="F3448" t="str">
        <f t="shared" si="106"/>
        <v>abril</v>
      </c>
      <c r="G3448">
        <f t="shared" si="107"/>
        <v>2024</v>
      </c>
    </row>
    <row r="3449" spans="1:7" x14ac:dyDescent="0.25">
      <c r="A3449">
        <v>1012401</v>
      </c>
      <c r="B3449" s="25">
        <v>45383</v>
      </c>
      <c r="C3449" t="s">
        <v>51</v>
      </c>
      <c r="D3449" s="6">
        <v>184.96</v>
      </c>
      <c r="E3449" s="9">
        <v>251.05</v>
      </c>
      <c r="F3449" t="str">
        <f t="shared" si="106"/>
        <v>abril</v>
      </c>
      <c r="G3449">
        <f t="shared" si="107"/>
        <v>2024</v>
      </c>
    </row>
    <row r="3450" spans="1:7" x14ac:dyDescent="0.25">
      <c r="A3450">
        <v>1012500</v>
      </c>
      <c r="B3450" s="25">
        <v>45383</v>
      </c>
      <c r="C3450" t="s">
        <v>53</v>
      </c>
      <c r="D3450" s="6">
        <v>1365.3</v>
      </c>
      <c r="E3450" s="9">
        <v>346.7</v>
      </c>
      <c r="F3450" t="str">
        <f t="shared" si="106"/>
        <v>abril</v>
      </c>
      <c r="G3450">
        <f t="shared" si="107"/>
        <v>2024</v>
      </c>
    </row>
    <row r="3451" spans="1:7" x14ac:dyDescent="0.25">
      <c r="A3451">
        <v>1012601</v>
      </c>
      <c r="B3451" s="25">
        <v>45383</v>
      </c>
      <c r="C3451" t="s">
        <v>55</v>
      </c>
      <c r="D3451" s="6">
        <v>77</v>
      </c>
      <c r="E3451" s="9">
        <v>77</v>
      </c>
      <c r="F3451" t="str">
        <f t="shared" si="106"/>
        <v>abril</v>
      </c>
      <c r="G3451">
        <f t="shared" si="107"/>
        <v>2024</v>
      </c>
    </row>
    <row r="3452" spans="1:7" x14ac:dyDescent="0.25">
      <c r="A3452">
        <v>1012801</v>
      </c>
      <c r="B3452" s="25">
        <v>45383</v>
      </c>
      <c r="C3452" t="s">
        <v>390</v>
      </c>
      <c r="D3452" s="6">
        <v>972</v>
      </c>
      <c r="E3452" s="9">
        <v>680.4</v>
      </c>
      <c r="F3452" t="str">
        <f t="shared" si="106"/>
        <v>abril</v>
      </c>
      <c r="G3452">
        <f t="shared" si="107"/>
        <v>2024</v>
      </c>
    </row>
    <row r="3453" spans="1:7" x14ac:dyDescent="0.25">
      <c r="A3453">
        <v>1013100</v>
      </c>
      <c r="B3453" s="25">
        <v>45383</v>
      </c>
      <c r="C3453" t="s">
        <v>57</v>
      </c>
      <c r="D3453" s="6">
        <v>51.5</v>
      </c>
      <c r="E3453" s="9">
        <v>68.790000000000006</v>
      </c>
      <c r="F3453" t="str">
        <f t="shared" si="106"/>
        <v>abril</v>
      </c>
      <c r="G3453">
        <f t="shared" si="107"/>
        <v>2024</v>
      </c>
    </row>
    <row r="3454" spans="1:7" x14ac:dyDescent="0.25">
      <c r="A3454">
        <v>1013101</v>
      </c>
      <c r="B3454" s="25">
        <v>45383</v>
      </c>
      <c r="C3454" t="s">
        <v>346</v>
      </c>
      <c r="D3454" s="6">
        <v>4608</v>
      </c>
      <c r="E3454" s="9">
        <v>2764.8</v>
      </c>
      <c r="F3454" t="str">
        <f t="shared" si="106"/>
        <v>abril</v>
      </c>
      <c r="G3454">
        <f t="shared" si="107"/>
        <v>2024</v>
      </c>
    </row>
    <row r="3455" spans="1:7" x14ac:dyDescent="0.25">
      <c r="A3455">
        <v>1013200</v>
      </c>
      <c r="B3455" s="25">
        <v>45383</v>
      </c>
      <c r="C3455" t="s">
        <v>59</v>
      </c>
      <c r="D3455" s="6">
        <v>930</v>
      </c>
      <c r="E3455" s="9">
        <v>945.68</v>
      </c>
      <c r="F3455" t="str">
        <f t="shared" si="106"/>
        <v>abril</v>
      </c>
      <c r="G3455">
        <f t="shared" si="107"/>
        <v>2024</v>
      </c>
    </row>
    <row r="3456" spans="1:7" x14ac:dyDescent="0.25">
      <c r="A3456">
        <v>1013202</v>
      </c>
      <c r="B3456" s="25">
        <v>45383</v>
      </c>
      <c r="C3456" t="s">
        <v>443</v>
      </c>
      <c r="D3456" s="6">
        <v>71.400000000000006</v>
      </c>
      <c r="E3456" s="9">
        <v>78.540000000000006</v>
      </c>
      <c r="F3456" t="str">
        <f t="shared" si="106"/>
        <v>abril</v>
      </c>
      <c r="G3456">
        <f t="shared" si="107"/>
        <v>2024</v>
      </c>
    </row>
    <row r="3457" spans="1:7" x14ac:dyDescent="0.25">
      <c r="A3457">
        <v>1013300</v>
      </c>
      <c r="B3457" s="25">
        <v>45383</v>
      </c>
      <c r="C3457" t="s">
        <v>348</v>
      </c>
      <c r="D3457" s="6">
        <v>831.77</v>
      </c>
      <c r="E3457" s="9">
        <v>249.53</v>
      </c>
      <c r="F3457" t="str">
        <f t="shared" si="106"/>
        <v>abril</v>
      </c>
      <c r="G3457">
        <f t="shared" si="107"/>
        <v>2024</v>
      </c>
    </row>
    <row r="3458" spans="1:7" x14ac:dyDescent="0.25">
      <c r="A3458">
        <v>1013400</v>
      </c>
      <c r="B3458" s="25">
        <v>45383</v>
      </c>
      <c r="C3458" t="s">
        <v>788</v>
      </c>
      <c r="D3458" s="6">
        <v>1.3</v>
      </c>
      <c r="E3458" s="9">
        <v>0.65</v>
      </c>
      <c r="F3458" t="str">
        <f t="shared" si="106"/>
        <v>abril</v>
      </c>
      <c r="G3458">
        <f t="shared" si="107"/>
        <v>2024</v>
      </c>
    </row>
    <row r="3459" spans="1:7" x14ac:dyDescent="0.25">
      <c r="A3459">
        <v>1013500</v>
      </c>
      <c r="B3459" s="25">
        <v>45383</v>
      </c>
      <c r="C3459" t="s">
        <v>61</v>
      </c>
      <c r="D3459" s="6">
        <v>73</v>
      </c>
      <c r="E3459" s="9">
        <v>36.5</v>
      </c>
      <c r="F3459" t="str">
        <f t="shared" ref="F3459:F3522" si="108">TEXT(B3459,"mmmm")</f>
        <v>abril</v>
      </c>
      <c r="G3459">
        <f t="shared" ref="G3459:G3522" si="109">YEAR(B3459)</f>
        <v>2024</v>
      </c>
    </row>
    <row r="3460" spans="1:7" x14ac:dyDescent="0.25">
      <c r="A3460">
        <v>1100100</v>
      </c>
      <c r="B3460" s="25">
        <v>45383</v>
      </c>
      <c r="C3460" t="s">
        <v>63</v>
      </c>
      <c r="D3460" s="6">
        <v>76722.858999999997</v>
      </c>
      <c r="E3460" s="9">
        <v>209932.46</v>
      </c>
      <c r="F3460" t="str">
        <f t="shared" si="108"/>
        <v>abril</v>
      </c>
      <c r="G3460">
        <f t="shared" si="109"/>
        <v>2024</v>
      </c>
    </row>
    <row r="3461" spans="1:7" x14ac:dyDescent="0.25">
      <c r="A3461">
        <v>1100101</v>
      </c>
      <c r="B3461" s="25">
        <v>45383</v>
      </c>
      <c r="C3461" t="s">
        <v>65</v>
      </c>
      <c r="D3461" s="6">
        <v>451.90000000000003</v>
      </c>
      <c r="E3461" s="9">
        <v>1242.73</v>
      </c>
      <c r="F3461" t="str">
        <f t="shared" si="108"/>
        <v>abril</v>
      </c>
      <c r="G3461">
        <f t="shared" si="109"/>
        <v>2024</v>
      </c>
    </row>
    <row r="3462" spans="1:7" x14ac:dyDescent="0.25">
      <c r="A3462">
        <v>1100102</v>
      </c>
      <c r="B3462" s="25">
        <v>45383</v>
      </c>
      <c r="C3462" t="s">
        <v>789</v>
      </c>
      <c r="D3462" s="6">
        <v>993.80000000000007</v>
      </c>
      <c r="E3462" s="9">
        <v>2754.6</v>
      </c>
      <c r="F3462" t="str">
        <f t="shared" si="108"/>
        <v>abril</v>
      </c>
      <c r="G3462">
        <f t="shared" si="109"/>
        <v>2024</v>
      </c>
    </row>
    <row r="3463" spans="1:7" x14ac:dyDescent="0.25">
      <c r="A3463">
        <v>1100103</v>
      </c>
      <c r="B3463" s="25">
        <v>45383</v>
      </c>
      <c r="C3463" t="s">
        <v>965</v>
      </c>
      <c r="D3463" s="6">
        <v>8</v>
      </c>
      <c r="E3463" s="9">
        <v>504</v>
      </c>
      <c r="F3463" t="str">
        <f t="shared" si="108"/>
        <v>abril</v>
      </c>
      <c r="G3463">
        <f t="shared" si="109"/>
        <v>2024</v>
      </c>
    </row>
    <row r="3464" spans="1:7" x14ac:dyDescent="0.25">
      <c r="A3464">
        <v>1100200</v>
      </c>
      <c r="B3464" s="25">
        <v>45383</v>
      </c>
      <c r="C3464" t="s">
        <v>67</v>
      </c>
      <c r="D3464" s="6">
        <v>13770.61</v>
      </c>
      <c r="E3464" s="9">
        <v>45120.81</v>
      </c>
      <c r="F3464" t="str">
        <f t="shared" si="108"/>
        <v>abril</v>
      </c>
      <c r="G3464">
        <f t="shared" si="109"/>
        <v>2024</v>
      </c>
    </row>
    <row r="3465" spans="1:7" x14ac:dyDescent="0.25">
      <c r="A3465">
        <v>1100202</v>
      </c>
      <c r="B3465" s="25">
        <v>45383</v>
      </c>
      <c r="C3465" t="s">
        <v>997</v>
      </c>
      <c r="D3465" s="6">
        <v>4623.58</v>
      </c>
      <c r="E3465" s="9">
        <v>14887.93</v>
      </c>
      <c r="F3465" t="str">
        <f t="shared" si="108"/>
        <v>abril</v>
      </c>
      <c r="G3465">
        <f t="shared" si="109"/>
        <v>2024</v>
      </c>
    </row>
    <row r="3466" spans="1:7" x14ac:dyDescent="0.25">
      <c r="A3466">
        <v>1100300</v>
      </c>
      <c r="B3466" s="25">
        <v>45383</v>
      </c>
      <c r="C3466" t="s">
        <v>69</v>
      </c>
      <c r="D3466" s="6">
        <v>2145.15</v>
      </c>
      <c r="E3466" s="9">
        <v>6993.96</v>
      </c>
      <c r="F3466" t="str">
        <f t="shared" si="108"/>
        <v>abril</v>
      </c>
      <c r="G3466">
        <f t="shared" si="109"/>
        <v>2024</v>
      </c>
    </row>
    <row r="3467" spans="1:7" x14ac:dyDescent="0.25">
      <c r="A3467">
        <v>1100301</v>
      </c>
      <c r="B3467" s="25">
        <v>45383</v>
      </c>
      <c r="C3467" t="s">
        <v>71</v>
      </c>
      <c r="D3467" s="6">
        <v>37.200000000000003</v>
      </c>
      <c r="E3467" s="9">
        <v>105.52</v>
      </c>
      <c r="F3467" t="str">
        <f t="shared" si="108"/>
        <v>abril</v>
      </c>
      <c r="G3467">
        <f t="shared" si="109"/>
        <v>2024</v>
      </c>
    </row>
    <row r="3468" spans="1:7" x14ac:dyDescent="0.25">
      <c r="A3468">
        <v>1100400</v>
      </c>
      <c r="B3468" s="25">
        <v>45383</v>
      </c>
      <c r="C3468" t="s">
        <v>73</v>
      </c>
      <c r="D3468" s="6">
        <v>18690.38</v>
      </c>
      <c r="E3468" s="9">
        <v>52230.21</v>
      </c>
      <c r="F3468" t="str">
        <f t="shared" si="108"/>
        <v>abril</v>
      </c>
      <c r="G3468">
        <f t="shared" si="109"/>
        <v>2024</v>
      </c>
    </row>
    <row r="3469" spans="1:7" x14ac:dyDescent="0.25">
      <c r="A3469">
        <v>1100401</v>
      </c>
      <c r="B3469" s="25">
        <v>45383</v>
      </c>
      <c r="C3469" t="s">
        <v>998</v>
      </c>
      <c r="D3469" s="6">
        <v>270.74</v>
      </c>
      <c r="E3469" s="9">
        <v>739.12</v>
      </c>
      <c r="F3469" t="str">
        <f t="shared" si="108"/>
        <v>abril</v>
      </c>
      <c r="G3469">
        <f t="shared" si="109"/>
        <v>2024</v>
      </c>
    </row>
    <row r="3470" spans="1:7" x14ac:dyDescent="0.25">
      <c r="A3470">
        <v>1100500</v>
      </c>
      <c r="B3470" s="25">
        <v>45383</v>
      </c>
      <c r="C3470" t="s">
        <v>75</v>
      </c>
      <c r="D3470" s="6">
        <v>411.40000000000003</v>
      </c>
      <c r="E3470" s="9">
        <v>1181.83</v>
      </c>
      <c r="F3470" t="str">
        <f t="shared" si="108"/>
        <v>abril</v>
      </c>
      <c r="G3470">
        <f t="shared" si="109"/>
        <v>2024</v>
      </c>
    </row>
    <row r="3471" spans="1:7" x14ac:dyDescent="0.25">
      <c r="A3471">
        <v>1100600</v>
      </c>
      <c r="B3471" s="25">
        <v>45383</v>
      </c>
      <c r="C3471" t="s">
        <v>77</v>
      </c>
      <c r="D3471" s="6">
        <v>19012.025000000001</v>
      </c>
      <c r="E3471" s="9">
        <v>65832.87</v>
      </c>
      <c r="F3471" t="str">
        <f t="shared" si="108"/>
        <v>abril</v>
      </c>
      <c r="G3471">
        <f t="shared" si="109"/>
        <v>2024</v>
      </c>
    </row>
    <row r="3472" spans="1:7" x14ac:dyDescent="0.25">
      <c r="A3472">
        <v>1100601</v>
      </c>
      <c r="B3472" s="25">
        <v>45383</v>
      </c>
      <c r="C3472" t="s">
        <v>999</v>
      </c>
      <c r="D3472" s="6">
        <v>72.790000000000006</v>
      </c>
      <c r="E3472" s="9">
        <v>294.07</v>
      </c>
      <c r="F3472" t="str">
        <f t="shared" si="108"/>
        <v>abril</v>
      </c>
      <c r="G3472">
        <f t="shared" si="109"/>
        <v>2024</v>
      </c>
    </row>
    <row r="3473" spans="1:7" x14ac:dyDescent="0.25">
      <c r="A3473">
        <v>1100602</v>
      </c>
      <c r="B3473" s="25">
        <v>45383</v>
      </c>
      <c r="C3473" t="s">
        <v>79</v>
      </c>
      <c r="D3473" s="6">
        <v>1470.72</v>
      </c>
      <c r="E3473" s="9">
        <v>7937.34</v>
      </c>
      <c r="F3473" t="str">
        <f t="shared" si="108"/>
        <v>abril</v>
      </c>
      <c r="G3473">
        <f t="shared" si="109"/>
        <v>2024</v>
      </c>
    </row>
    <row r="3474" spans="1:7" x14ac:dyDescent="0.25">
      <c r="A3474">
        <v>1100603</v>
      </c>
      <c r="B3474" s="25">
        <v>45383</v>
      </c>
      <c r="C3474" t="s">
        <v>304</v>
      </c>
      <c r="D3474" s="6">
        <v>1730</v>
      </c>
      <c r="E3474" s="9">
        <v>9267.1</v>
      </c>
      <c r="F3474" t="str">
        <f t="shared" si="108"/>
        <v>abril</v>
      </c>
      <c r="G3474">
        <f t="shared" si="109"/>
        <v>2024</v>
      </c>
    </row>
    <row r="3475" spans="1:7" x14ac:dyDescent="0.25">
      <c r="A3475">
        <v>1100605</v>
      </c>
      <c r="B3475" s="25">
        <v>45383</v>
      </c>
      <c r="C3475" t="s">
        <v>631</v>
      </c>
      <c r="D3475" s="6">
        <v>7709.0360000000001</v>
      </c>
      <c r="E3475" s="9">
        <v>24190.44</v>
      </c>
      <c r="F3475" t="str">
        <f t="shared" si="108"/>
        <v>abril</v>
      </c>
      <c r="G3475">
        <f t="shared" si="109"/>
        <v>2024</v>
      </c>
    </row>
    <row r="3476" spans="1:7" x14ac:dyDescent="0.25">
      <c r="A3476">
        <v>1100608</v>
      </c>
      <c r="B3476" s="25">
        <v>45383</v>
      </c>
      <c r="C3476" t="s">
        <v>349</v>
      </c>
      <c r="D3476" s="6">
        <v>9062.4699999999993</v>
      </c>
      <c r="E3476" s="9">
        <v>30707.97</v>
      </c>
      <c r="F3476" t="str">
        <f t="shared" si="108"/>
        <v>abril</v>
      </c>
      <c r="G3476">
        <f t="shared" si="109"/>
        <v>2024</v>
      </c>
    </row>
    <row r="3477" spans="1:7" x14ac:dyDescent="0.25">
      <c r="A3477">
        <v>1100612</v>
      </c>
      <c r="B3477" s="25">
        <v>45383</v>
      </c>
      <c r="C3477" t="s">
        <v>1000</v>
      </c>
      <c r="D3477" s="6">
        <v>1938.758</v>
      </c>
      <c r="E3477" s="9">
        <v>7527.74</v>
      </c>
      <c r="F3477" t="str">
        <f t="shared" si="108"/>
        <v>abril</v>
      </c>
      <c r="G3477">
        <f t="shared" si="109"/>
        <v>2024</v>
      </c>
    </row>
    <row r="3478" spans="1:7" x14ac:dyDescent="0.25">
      <c r="A3478">
        <v>1100613</v>
      </c>
      <c r="B3478" s="25">
        <v>45383</v>
      </c>
      <c r="C3478" t="s">
        <v>1001</v>
      </c>
      <c r="D3478" s="6">
        <v>1960.18</v>
      </c>
      <c r="E3478" s="9">
        <v>5978.55</v>
      </c>
      <c r="F3478" t="str">
        <f t="shared" si="108"/>
        <v>abril</v>
      </c>
      <c r="G3478">
        <f t="shared" si="109"/>
        <v>2024</v>
      </c>
    </row>
    <row r="3479" spans="1:7" x14ac:dyDescent="0.25">
      <c r="A3479">
        <v>1100614</v>
      </c>
      <c r="B3479" s="25">
        <v>45383</v>
      </c>
      <c r="C3479" t="s">
        <v>1002</v>
      </c>
      <c r="D3479" s="6">
        <v>846.75</v>
      </c>
      <c r="E3479" s="9">
        <v>2794.27</v>
      </c>
      <c r="F3479" t="str">
        <f t="shared" si="108"/>
        <v>abril</v>
      </c>
      <c r="G3479">
        <f t="shared" si="109"/>
        <v>2024</v>
      </c>
    </row>
    <row r="3480" spans="1:7" x14ac:dyDescent="0.25">
      <c r="A3480">
        <v>1100615</v>
      </c>
      <c r="B3480" s="25">
        <v>45383</v>
      </c>
      <c r="C3480" t="s">
        <v>1003</v>
      </c>
      <c r="D3480" s="6">
        <v>154.70000000000002</v>
      </c>
      <c r="E3480" s="9">
        <v>629.63</v>
      </c>
      <c r="F3480" t="str">
        <f t="shared" si="108"/>
        <v>abril</v>
      </c>
      <c r="G3480">
        <f t="shared" si="109"/>
        <v>2024</v>
      </c>
    </row>
    <row r="3481" spans="1:7" x14ac:dyDescent="0.25">
      <c r="A3481">
        <v>1100700</v>
      </c>
      <c r="B3481" s="25">
        <v>45383</v>
      </c>
      <c r="C3481" t="s">
        <v>83</v>
      </c>
      <c r="D3481" s="6">
        <v>7082.47</v>
      </c>
      <c r="E3481" s="9">
        <v>24826.400000000001</v>
      </c>
      <c r="F3481" t="str">
        <f t="shared" si="108"/>
        <v>abril</v>
      </c>
      <c r="G3481">
        <f t="shared" si="109"/>
        <v>2024</v>
      </c>
    </row>
    <row r="3482" spans="1:7" x14ac:dyDescent="0.25">
      <c r="A3482">
        <v>1100701</v>
      </c>
      <c r="B3482" s="25">
        <v>45383</v>
      </c>
      <c r="C3482" t="s">
        <v>84</v>
      </c>
      <c r="D3482" s="6">
        <v>1033.7</v>
      </c>
      <c r="E3482" s="9">
        <v>4072.75</v>
      </c>
      <c r="F3482" t="str">
        <f t="shared" si="108"/>
        <v>abril</v>
      </c>
      <c r="G3482">
        <f t="shared" si="109"/>
        <v>2024</v>
      </c>
    </row>
    <row r="3483" spans="1:7" x14ac:dyDescent="0.25">
      <c r="A3483">
        <v>1100703</v>
      </c>
      <c r="B3483" s="25">
        <v>45383</v>
      </c>
      <c r="C3483" t="s">
        <v>86</v>
      </c>
      <c r="D3483" s="6">
        <v>1792.4</v>
      </c>
      <c r="E3483" s="9">
        <v>6937.82</v>
      </c>
      <c r="F3483" t="str">
        <f t="shared" si="108"/>
        <v>abril</v>
      </c>
      <c r="G3483">
        <f t="shared" si="109"/>
        <v>2024</v>
      </c>
    </row>
    <row r="3484" spans="1:7" x14ac:dyDescent="0.25">
      <c r="A3484">
        <v>1100704</v>
      </c>
      <c r="B3484" s="25">
        <v>45383</v>
      </c>
      <c r="C3484" t="s">
        <v>718</v>
      </c>
      <c r="D3484" s="6">
        <v>49.5</v>
      </c>
      <c r="E3484" s="9">
        <v>225.89</v>
      </c>
      <c r="F3484" t="str">
        <f t="shared" si="108"/>
        <v>abril</v>
      </c>
      <c r="G3484">
        <f t="shared" si="109"/>
        <v>2024</v>
      </c>
    </row>
    <row r="3485" spans="1:7" x14ac:dyDescent="0.25">
      <c r="A3485">
        <v>1100705</v>
      </c>
      <c r="B3485" s="25">
        <v>45383</v>
      </c>
      <c r="C3485" t="s">
        <v>88</v>
      </c>
      <c r="D3485" s="6">
        <v>298.60000000000002</v>
      </c>
      <c r="E3485" s="9">
        <v>625.13</v>
      </c>
      <c r="F3485" t="str">
        <f t="shared" si="108"/>
        <v>abril</v>
      </c>
      <c r="G3485">
        <f t="shared" si="109"/>
        <v>2024</v>
      </c>
    </row>
    <row r="3486" spans="1:7" x14ac:dyDescent="0.25">
      <c r="A3486">
        <v>1100707</v>
      </c>
      <c r="B3486" s="25">
        <v>45383</v>
      </c>
      <c r="C3486" t="s">
        <v>686</v>
      </c>
      <c r="D3486" s="6">
        <v>11884.64</v>
      </c>
      <c r="E3486" s="9">
        <v>46346.79</v>
      </c>
      <c r="F3486" t="str">
        <f t="shared" si="108"/>
        <v>abril</v>
      </c>
      <c r="G3486">
        <f t="shared" si="109"/>
        <v>2024</v>
      </c>
    </row>
    <row r="3487" spans="1:7" x14ac:dyDescent="0.25">
      <c r="A3487">
        <v>1100708</v>
      </c>
      <c r="B3487" s="25">
        <v>45383</v>
      </c>
      <c r="C3487" t="s">
        <v>790</v>
      </c>
      <c r="D3487" s="6">
        <v>2251.4250000000002</v>
      </c>
      <c r="E3487" s="9">
        <v>9220.11</v>
      </c>
      <c r="F3487" t="str">
        <f t="shared" si="108"/>
        <v>abril</v>
      </c>
      <c r="G3487">
        <f t="shared" si="109"/>
        <v>2024</v>
      </c>
    </row>
    <row r="3488" spans="1:7" x14ac:dyDescent="0.25">
      <c r="A3488">
        <v>1100709</v>
      </c>
      <c r="B3488" s="25">
        <v>45383</v>
      </c>
      <c r="C3488" t="s">
        <v>764</v>
      </c>
      <c r="D3488" s="6">
        <v>-4.09</v>
      </c>
      <c r="E3488" s="9">
        <v>-15.75</v>
      </c>
      <c r="F3488" t="str">
        <f t="shared" si="108"/>
        <v>abril</v>
      </c>
      <c r="G3488">
        <f t="shared" si="109"/>
        <v>2024</v>
      </c>
    </row>
    <row r="3489" spans="1:7" x14ac:dyDescent="0.25">
      <c r="A3489">
        <v>1100714</v>
      </c>
      <c r="B3489" s="25">
        <v>45383</v>
      </c>
      <c r="C3489" t="s">
        <v>1004</v>
      </c>
      <c r="D3489" s="6">
        <v>583.56000000000006</v>
      </c>
      <c r="E3489" s="9">
        <v>1826.55</v>
      </c>
      <c r="F3489" t="str">
        <f t="shared" si="108"/>
        <v>abril</v>
      </c>
      <c r="G3489">
        <f t="shared" si="109"/>
        <v>2024</v>
      </c>
    </row>
    <row r="3490" spans="1:7" x14ac:dyDescent="0.25">
      <c r="A3490">
        <v>1100715</v>
      </c>
      <c r="B3490" s="25">
        <v>45383</v>
      </c>
      <c r="C3490" t="s">
        <v>1005</v>
      </c>
      <c r="D3490" s="6">
        <v>13.290000000000001</v>
      </c>
      <c r="E3490" s="9">
        <v>50.9</v>
      </c>
      <c r="F3490" t="str">
        <f t="shared" si="108"/>
        <v>abril</v>
      </c>
      <c r="G3490">
        <f t="shared" si="109"/>
        <v>2024</v>
      </c>
    </row>
    <row r="3491" spans="1:7" x14ac:dyDescent="0.25">
      <c r="A3491">
        <v>1100800</v>
      </c>
      <c r="B3491" s="25">
        <v>45383</v>
      </c>
      <c r="C3491" t="s">
        <v>90</v>
      </c>
      <c r="D3491" s="6">
        <v>18047.38</v>
      </c>
      <c r="E3491" s="9">
        <v>57835.839999999997</v>
      </c>
      <c r="F3491" t="str">
        <f t="shared" si="108"/>
        <v>abril</v>
      </c>
      <c r="G3491">
        <f t="shared" si="109"/>
        <v>2024</v>
      </c>
    </row>
    <row r="3492" spans="1:7" x14ac:dyDescent="0.25">
      <c r="A3492">
        <v>1100801</v>
      </c>
      <c r="B3492" s="25">
        <v>45383</v>
      </c>
      <c r="C3492" t="s">
        <v>92</v>
      </c>
      <c r="D3492" s="6">
        <v>4982.5</v>
      </c>
      <c r="E3492" s="9">
        <v>14947.5</v>
      </c>
      <c r="F3492" t="str">
        <f t="shared" si="108"/>
        <v>abril</v>
      </c>
      <c r="G3492">
        <f t="shared" si="109"/>
        <v>2024</v>
      </c>
    </row>
    <row r="3493" spans="1:7" x14ac:dyDescent="0.25">
      <c r="A3493">
        <v>1100802</v>
      </c>
      <c r="B3493" s="25">
        <v>45383</v>
      </c>
      <c r="C3493" t="s">
        <v>306</v>
      </c>
      <c r="D3493" s="6">
        <v>910.2</v>
      </c>
      <c r="E3493" s="9">
        <v>2969.49</v>
      </c>
      <c r="F3493" t="str">
        <f t="shared" si="108"/>
        <v>abril</v>
      </c>
      <c r="G3493">
        <f t="shared" si="109"/>
        <v>2024</v>
      </c>
    </row>
    <row r="3494" spans="1:7" x14ac:dyDescent="0.25">
      <c r="A3494">
        <v>1100900</v>
      </c>
      <c r="B3494" s="25">
        <v>45383</v>
      </c>
      <c r="C3494" t="s">
        <v>94</v>
      </c>
      <c r="D3494" s="6">
        <v>1304.04</v>
      </c>
      <c r="E3494" s="9">
        <v>6991.68</v>
      </c>
      <c r="F3494" t="str">
        <f t="shared" si="108"/>
        <v>abril</v>
      </c>
      <c r="G3494">
        <f t="shared" si="109"/>
        <v>2024</v>
      </c>
    </row>
    <row r="3495" spans="1:7" x14ac:dyDescent="0.25">
      <c r="A3495">
        <v>1100901</v>
      </c>
      <c r="B3495" s="25">
        <v>45383</v>
      </c>
      <c r="C3495" t="s">
        <v>791</v>
      </c>
      <c r="D3495" s="6">
        <v>482</v>
      </c>
      <c r="E3495" s="9">
        <v>1998.26</v>
      </c>
      <c r="F3495" t="str">
        <f t="shared" si="108"/>
        <v>abril</v>
      </c>
      <c r="G3495">
        <f t="shared" si="109"/>
        <v>2024</v>
      </c>
    </row>
    <row r="3496" spans="1:7" x14ac:dyDescent="0.25">
      <c r="A3496">
        <v>1101000</v>
      </c>
      <c r="B3496" s="25">
        <v>45383</v>
      </c>
      <c r="C3496" t="s">
        <v>96</v>
      </c>
      <c r="D3496" s="6">
        <v>14753.130000000001</v>
      </c>
      <c r="E3496" s="9">
        <v>54324.98</v>
      </c>
      <c r="F3496" t="str">
        <f t="shared" si="108"/>
        <v>abril</v>
      </c>
      <c r="G3496">
        <f t="shared" si="109"/>
        <v>2024</v>
      </c>
    </row>
    <row r="3497" spans="1:7" x14ac:dyDescent="0.25">
      <c r="A3497">
        <v>1101001</v>
      </c>
      <c r="B3497" s="25">
        <v>45383</v>
      </c>
      <c r="C3497" t="s">
        <v>98</v>
      </c>
      <c r="D3497" s="6">
        <v>1100.19</v>
      </c>
      <c r="E3497" s="9">
        <v>4641.37</v>
      </c>
      <c r="F3497" t="str">
        <f t="shared" si="108"/>
        <v>abril</v>
      </c>
      <c r="G3497">
        <f t="shared" si="109"/>
        <v>2024</v>
      </c>
    </row>
    <row r="3498" spans="1:7" x14ac:dyDescent="0.25">
      <c r="A3498">
        <v>1101002</v>
      </c>
      <c r="B3498" s="25">
        <v>45383</v>
      </c>
      <c r="C3498" t="s">
        <v>687</v>
      </c>
      <c r="D3498" s="6">
        <v>372.3</v>
      </c>
      <c r="E3498" s="9">
        <v>1508.41</v>
      </c>
      <c r="F3498" t="str">
        <f t="shared" si="108"/>
        <v>abril</v>
      </c>
      <c r="G3498">
        <f t="shared" si="109"/>
        <v>2024</v>
      </c>
    </row>
    <row r="3499" spans="1:7" x14ac:dyDescent="0.25">
      <c r="A3499">
        <v>1101003</v>
      </c>
      <c r="B3499" s="25">
        <v>45383</v>
      </c>
      <c r="C3499" t="s">
        <v>779</v>
      </c>
      <c r="D3499" s="6">
        <v>60</v>
      </c>
      <c r="E3499" s="9">
        <v>213</v>
      </c>
      <c r="F3499" t="str">
        <f t="shared" si="108"/>
        <v>abril</v>
      </c>
      <c r="G3499">
        <f t="shared" si="109"/>
        <v>2024</v>
      </c>
    </row>
    <row r="3500" spans="1:7" x14ac:dyDescent="0.25">
      <c r="A3500">
        <v>1101004</v>
      </c>
      <c r="B3500" s="25">
        <v>45383</v>
      </c>
      <c r="C3500" t="s">
        <v>1006</v>
      </c>
      <c r="D3500" s="6">
        <v>13.27</v>
      </c>
      <c r="E3500" s="9">
        <v>45.52</v>
      </c>
      <c r="F3500" t="str">
        <f t="shared" si="108"/>
        <v>abril</v>
      </c>
      <c r="G3500">
        <f t="shared" si="109"/>
        <v>2024</v>
      </c>
    </row>
    <row r="3501" spans="1:7" x14ac:dyDescent="0.25">
      <c r="A3501">
        <v>1101100</v>
      </c>
      <c r="B3501" s="25">
        <v>45383</v>
      </c>
      <c r="C3501" t="s">
        <v>100</v>
      </c>
      <c r="D3501" s="6">
        <v>31442.38</v>
      </c>
      <c r="E3501" s="9">
        <v>109373.33</v>
      </c>
      <c r="F3501" t="str">
        <f t="shared" si="108"/>
        <v>abril</v>
      </c>
      <c r="G3501">
        <f t="shared" si="109"/>
        <v>2024</v>
      </c>
    </row>
    <row r="3502" spans="1:7" x14ac:dyDescent="0.25">
      <c r="A3502">
        <v>1101102</v>
      </c>
      <c r="B3502" s="25">
        <v>45383</v>
      </c>
      <c r="C3502" t="s">
        <v>742</v>
      </c>
      <c r="D3502" s="6">
        <v>2833.3</v>
      </c>
      <c r="E3502" s="9">
        <v>10044.32</v>
      </c>
      <c r="F3502" t="str">
        <f t="shared" si="108"/>
        <v>abril</v>
      </c>
      <c r="G3502">
        <f t="shared" si="109"/>
        <v>2024</v>
      </c>
    </row>
    <row r="3503" spans="1:7" x14ac:dyDescent="0.25">
      <c r="A3503">
        <v>1101103</v>
      </c>
      <c r="B3503" s="25">
        <v>45383</v>
      </c>
      <c r="C3503" t="s">
        <v>350</v>
      </c>
      <c r="D3503" s="6">
        <v>1583.9</v>
      </c>
      <c r="E3503" s="9">
        <v>5261.09</v>
      </c>
      <c r="F3503" t="str">
        <f t="shared" si="108"/>
        <v>abril</v>
      </c>
      <c r="G3503">
        <f t="shared" si="109"/>
        <v>2024</v>
      </c>
    </row>
    <row r="3504" spans="1:7" x14ac:dyDescent="0.25">
      <c r="A3504">
        <v>1101104</v>
      </c>
      <c r="B3504" s="25">
        <v>45383</v>
      </c>
      <c r="C3504" t="s">
        <v>1007</v>
      </c>
      <c r="D3504" s="6">
        <v>12.535</v>
      </c>
      <c r="E3504" s="9">
        <v>49.51</v>
      </c>
      <c r="F3504" t="str">
        <f t="shared" si="108"/>
        <v>abril</v>
      </c>
      <c r="G3504">
        <f t="shared" si="109"/>
        <v>2024</v>
      </c>
    </row>
    <row r="3505" spans="1:7" x14ac:dyDescent="0.25">
      <c r="A3505">
        <v>1101106</v>
      </c>
      <c r="B3505" s="25">
        <v>45383</v>
      </c>
      <c r="C3505" t="s">
        <v>780</v>
      </c>
      <c r="D3505" s="6">
        <v>10525.73</v>
      </c>
      <c r="E3505" s="9">
        <v>36034.980000000003</v>
      </c>
      <c r="F3505" t="str">
        <f t="shared" si="108"/>
        <v>abril</v>
      </c>
      <c r="G3505">
        <f t="shared" si="109"/>
        <v>2024</v>
      </c>
    </row>
    <row r="3506" spans="1:7" x14ac:dyDescent="0.25">
      <c r="A3506">
        <v>1101108</v>
      </c>
      <c r="B3506" s="25">
        <v>45383</v>
      </c>
      <c r="C3506" t="s">
        <v>743</v>
      </c>
      <c r="D3506" s="6">
        <v>550.75</v>
      </c>
      <c r="E3506" s="9">
        <v>2161.02</v>
      </c>
      <c r="F3506" t="str">
        <f t="shared" si="108"/>
        <v>abril</v>
      </c>
      <c r="G3506">
        <f t="shared" si="109"/>
        <v>2024</v>
      </c>
    </row>
    <row r="3507" spans="1:7" x14ac:dyDescent="0.25">
      <c r="A3507">
        <v>1101109</v>
      </c>
      <c r="B3507" s="25">
        <v>45383</v>
      </c>
      <c r="C3507" t="s">
        <v>1008</v>
      </c>
      <c r="D3507" s="6">
        <v>3834.53</v>
      </c>
      <c r="E3507" s="9">
        <v>11654.91</v>
      </c>
      <c r="F3507" t="str">
        <f t="shared" si="108"/>
        <v>abril</v>
      </c>
      <c r="G3507">
        <f t="shared" si="109"/>
        <v>2024</v>
      </c>
    </row>
    <row r="3508" spans="1:7" x14ac:dyDescent="0.25">
      <c r="A3508">
        <v>1101110</v>
      </c>
      <c r="B3508" s="25">
        <v>45383</v>
      </c>
      <c r="C3508" t="s">
        <v>1009</v>
      </c>
      <c r="D3508" s="6">
        <v>89.725000000000009</v>
      </c>
      <c r="E3508" s="9">
        <v>345.45</v>
      </c>
      <c r="F3508" t="str">
        <f t="shared" si="108"/>
        <v>abril</v>
      </c>
      <c r="G3508">
        <f t="shared" si="109"/>
        <v>2024</v>
      </c>
    </row>
    <row r="3509" spans="1:7" x14ac:dyDescent="0.25">
      <c r="A3509">
        <v>1101111</v>
      </c>
      <c r="B3509" s="25">
        <v>45383</v>
      </c>
      <c r="C3509" t="s">
        <v>1010</v>
      </c>
      <c r="D3509" s="6">
        <v>267.81</v>
      </c>
      <c r="E3509" s="9">
        <v>1057.8399999999999</v>
      </c>
      <c r="F3509" t="str">
        <f t="shared" si="108"/>
        <v>abril</v>
      </c>
      <c r="G3509">
        <f t="shared" si="109"/>
        <v>2024</v>
      </c>
    </row>
    <row r="3510" spans="1:7" x14ac:dyDescent="0.25">
      <c r="A3510">
        <v>1101112</v>
      </c>
      <c r="B3510" s="25">
        <v>45383</v>
      </c>
      <c r="C3510" t="s">
        <v>1011</v>
      </c>
      <c r="D3510" s="6">
        <v>74.33</v>
      </c>
      <c r="E3510" s="9">
        <v>267.58999999999997</v>
      </c>
      <c r="F3510" t="str">
        <f t="shared" si="108"/>
        <v>abril</v>
      </c>
      <c r="G3510">
        <f t="shared" si="109"/>
        <v>2024</v>
      </c>
    </row>
    <row r="3511" spans="1:7" x14ac:dyDescent="0.25">
      <c r="A3511">
        <v>1101300</v>
      </c>
      <c r="B3511" s="25">
        <v>45383</v>
      </c>
      <c r="C3511" t="s">
        <v>102</v>
      </c>
      <c r="D3511" s="6">
        <v>859.6</v>
      </c>
      <c r="E3511" s="9">
        <v>2715.99</v>
      </c>
      <c r="F3511" t="str">
        <f t="shared" si="108"/>
        <v>abril</v>
      </c>
      <c r="G3511">
        <f t="shared" si="109"/>
        <v>2024</v>
      </c>
    </row>
    <row r="3512" spans="1:7" x14ac:dyDescent="0.25">
      <c r="A3512">
        <v>1101400</v>
      </c>
      <c r="B3512" s="25">
        <v>45383</v>
      </c>
      <c r="C3512" t="s">
        <v>104</v>
      </c>
      <c r="D3512" s="6">
        <v>11972</v>
      </c>
      <c r="E3512" s="9">
        <v>34987.480000000003</v>
      </c>
      <c r="F3512" t="str">
        <f t="shared" si="108"/>
        <v>abril</v>
      </c>
      <c r="G3512">
        <f t="shared" si="109"/>
        <v>2024</v>
      </c>
    </row>
    <row r="3513" spans="1:7" x14ac:dyDescent="0.25">
      <c r="A3513">
        <v>1101500</v>
      </c>
      <c r="B3513" s="25">
        <v>45383</v>
      </c>
      <c r="C3513" t="s">
        <v>106</v>
      </c>
      <c r="D3513" s="6">
        <v>621.55000000000007</v>
      </c>
      <c r="E3513" s="9">
        <v>1882.58</v>
      </c>
      <c r="F3513" t="str">
        <f t="shared" si="108"/>
        <v>abril</v>
      </c>
      <c r="G3513">
        <f t="shared" si="109"/>
        <v>2024</v>
      </c>
    </row>
    <row r="3514" spans="1:7" x14ac:dyDescent="0.25">
      <c r="A3514">
        <v>1101600</v>
      </c>
      <c r="B3514" s="25">
        <v>45383</v>
      </c>
      <c r="C3514" t="s">
        <v>108</v>
      </c>
      <c r="D3514" s="6">
        <v>57.9</v>
      </c>
      <c r="E3514" s="9">
        <v>171.85</v>
      </c>
      <c r="F3514" t="str">
        <f t="shared" si="108"/>
        <v>abril</v>
      </c>
      <c r="G3514">
        <f t="shared" si="109"/>
        <v>2024</v>
      </c>
    </row>
    <row r="3515" spans="1:7" x14ac:dyDescent="0.25">
      <c r="A3515">
        <v>1101700</v>
      </c>
      <c r="B3515" s="25">
        <v>45383</v>
      </c>
      <c r="C3515" t="s">
        <v>110</v>
      </c>
      <c r="D3515" s="6">
        <v>62.800000000000004</v>
      </c>
      <c r="E3515" s="9">
        <v>182.12</v>
      </c>
      <c r="F3515" t="str">
        <f t="shared" si="108"/>
        <v>abril</v>
      </c>
      <c r="G3515">
        <f t="shared" si="109"/>
        <v>2024</v>
      </c>
    </row>
    <row r="3516" spans="1:7" x14ac:dyDescent="0.25">
      <c r="A3516">
        <v>1101701</v>
      </c>
      <c r="B3516" s="25">
        <v>45383</v>
      </c>
      <c r="C3516" t="s">
        <v>1021</v>
      </c>
      <c r="D3516" s="6">
        <v>131.53</v>
      </c>
      <c r="E3516" s="9">
        <v>332.77</v>
      </c>
      <c r="F3516" t="str">
        <f t="shared" si="108"/>
        <v>abril</v>
      </c>
      <c r="G3516">
        <f t="shared" si="109"/>
        <v>2024</v>
      </c>
    </row>
    <row r="3517" spans="1:7" x14ac:dyDescent="0.25">
      <c r="A3517">
        <v>1101801</v>
      </c>
      <c r="B3517" s="25">
        <v>45383</v>
      </c>
      <c r="C3517" t="s">
        <v>112</v>
      </c>
      <c r="D3517" s="6">
        <v>482.7</v>
      </c>
      <c r="E3517" s="9">
        <v>1399.89</v>
      </c>
      <c r="F3517" t="str">
        <f t="shared" si="108"/>
        <v>abril</v>
      </c>
      <c r="G3517">
        <f t="shared" si="109"/>
        <v>2024</v>
      </c>
    </row>
    <row r="3518" spans="1:7" x14ac:dyDescent="0.25">
      <c r="A3518">
        <v>1101900</v>
      </c>
      <c r="B3518" s="25">
        <v>45383</v>
      </c>
      <c r="C3518" t="s">
        <v>114</v>
      </c>
      <c r="D3518" s="6">
        <v>1425.46</v>
      </c>
      <c r="E3518" s="9">
        <v>5406.47</v>
      </c>
      <c r="F3518" t="str">
        <f t="shared" si="108"/>
        <v>abril</v>
      </c>
      <c r="G3518">
        <f t="shared" si="109"/>
        <v>2024</v>
      </c>
    </row>
    <row r="3519" spans="1:7" x14ac:dyDescent="0.25">
      <c r="A3519">
        <v>1101901</v>
      </c>
      <c r="B3519" s="25">
        <v>45383</v>
      </c>
      <c r="C3519" t="s">
        <v>448</v>
      </c>
      <c r="D3519" s="6">
        <v>2444.33</v>
      </c>
      <c r="E3519" s="9">
        <v>8595.64</v>
      </c>
      <c r="F3519" t="str">
        <f t="shared" si="108"/>
        <v>abril</v>
      </c>
      <c r="G3519">
        <f t="shared" si="109"/>
        <v>2024</v>
      </c>
    </row>
    <row r="3520" spans="1:7" x14ac:dyDescent="0.25">
      <c r="A3520">
        <v>1101902</v>
      </c>
      <c r="B3520" s="25">
        <v>45383</v>
      </c>
      <c r="C3520" t="s">
        <v>351</v>
      </c>
      <c r="D3520" s="6">
        <v>3449.4659999999999</v>
      </c>
      <c r="E3520" s="9">
        <v>13886.96</v>
      </c>
      <c r="F3520" t="str">
        <f t="shared" si="108"/>
        <v>abril</v>
      </c>
      <c r="G3520">
        <f t="shared" si="109"/>
        <v>2024</v>
      </c>
    </row>
    <row r="3521" spans="1:7" x14ac:dyDescent="0.25">
      <c r="A3521">
        <v>1101908</v>
      </c>
      <c r="B3521" s="25">
        <v>45383</v>
      </c>
      <c r="C3521" t="s">
        <v>1022</v>
      </c>
      <c r="D3521" s="6">
        <v>19.04</v>
      </c>
      <c r="E3521" s="9">
        <v>54.84</v>
      </c>
      <c r="F3521" t="str">
        <f t="shared" si="108"/>
        <v>abril</v>
      </c>
      <c r="G3521">
        <f t="shared" si="109"/>
        <v>2024</v>
      </c>
    </row>
    <row r="3522" spans="1:7" x14ac:dyDescent="0.25">
      <c r="A3522">
        <v>1102000</v>
      </c>
      <c r="B3522" s="25">
        <v>45383</v>
      </c>
      <c r="C3522" t="s">
        <v>115</v>
      </c>
      <c r="D3522" s="6">
        <v>244.3</v>
      </c>
      <c r="E3522" s="9">
        <v>1095.23</v>
      </c>
      <c r="F3522" t="str">
        <f t="shared" si="108"/>
        <v>abril</v>
      </c>
      <c r="G3522">
        <f t="shared" si="109"/>
        <v>2024</v>
      </c>
    </row>
    <row r="3523" spans="1:7" x14ac:dyDescent="0.25">
      <c r="A3523">
        <v>1102100</v>
      </c>
      <c r="B3523" s="25">
        <v>45383</v>
      </c>
      <c r="C3523" t="s">
        <v>688</v>
      </c>
      <c r="D3523" s="6">
        <v>74.3</v>
      </c>
      <c r="E3523" s="9">
        <v>257.08</v>
      </c>
      <c r="F3523" t="str">
        <f t="shared" ref="F3523:F3586" si="110">TEXT(B3523,"mmmm")</f>
        <v>abril</v>
      </c>
      <c r="G3523">
        <f t="shared" ref="G3523:G3586" si="111">YEAR(B3523)</f>
        <v>2024</v>
      </c>
    </row>
    <row r="3524" spans="1:7" x14ac:dyDescent="0.25">
      <c r="A3524">
        <v>1102200</v>
      </c>
      <c r="B3524" s="25">
        <v>45383</v>
      </c>
      <c r="C3524" t="s">
        <v>117</v>
      </c>
      <c r="D3524" s="6">
        <v>14.9</v>
      </c>
      <c r="E3524" s="9">
        <v>52.21</v>
      </c>
      <c r="F3524" t="str">
        <f t="shared" si="110"/>
        <v>abril</v>
      </c>
      <c r="G3524">
        <f t="shared" si="111"/>
        <v>2024</v>
      </c>
    </row>
    <row r="3525" spans="1:7" x14ac:dyDescent="0.25">
      <c r="A3525">
        <v>1102300</v>
      </c>
      <c r="B3525" s="25">
        <v>45383</v>
      </c>
      <c r="C3525" t="s">
        <v>119</v>
      </c>
      <c r="D3525" s="6">
        <v>6720.3600000000006</v>
      </c>
      <c r="E3525" s="9">
        <v>20118.75</v>
      </c>
      <c r="F3525" t="str">
        <f t="shared" si="110"/>
        <v>abril</v>
      </c>
      <c r="G3525">
        <f t="shared" si="111"/>
        <v>2024</v>
      </c>
    </row>
    <row r="3526" spans="1:7" x14ac:dyDescent="0.25">
      <c r="A3526">
        <v>1103000</v>
      </c>
      <c r="B3526" s="25">
        <v>45383</v>
      </c>
      <c r="C3526" t="s">
        <v>121</v>
      </c>
      <c r="D3526" s="6">
        <v>921.75</v>
      </c>
      <c r="E3526" s="9">
        <v>1982.8</v>
      </c>
      <c r="F3526" t="str">
        <f t="shared" si="110"/>
        <v>abril</v>
      </c>
      <c r="G3526">
        <f t="shared" si="111"/>
        <v>2024</v>
      </c>
    </row>
    <row r="3527" spans="1:7" x14ac:dyDescent="0.25">
      <c r="A3527">
        <v>1103001</v>
      </c>
      <c r="B3527" s="25">
        <v>45383</v>
      </c>
      <c r="C3527" t="s">
        <v>123</v>
      </c>
      <c r="D3527" s="6">
        <v>275.7</v>
      </c>
      <c r="E3527" s="9">
        <v>578.97</v>
      </c>
      <c r="F3527" t="str">
        <f t="shared" si="110"/>
        <v>abril</v>
      </c>
      <c r="G3527">
        <f t="shared" si="111"/>
        <v>2024</v>
      </c>
    </row>
    <row r="3528" spans="1:7" x14ac:dyDescent="0.25">
      <c r="A3528">
        <v>2010902</v>
      </c>
      <c r="B3528" s="25">
        <v>45383</v>
      </c>
      <c r="C3528" t="s">
        <v>127</v>
      </c>
      <c r="D3528" s="6">
        <v>300</v>
      </c>
      <c r="E3528" s="9">
        <v>180</v>
      </c>
      <c r="F3528" t="str">
        <f t="shared" si="110"/>
        <v>abril</v>
      </c>
      <c r="G3528">
        <f t="shared" si="111"/>
        <v>2024</v>
      </c>
    </row>
    <row r="3529" spans="1:7" x14ac:dyDescent="0.25">
      <c r="A3529">
        <v>2010904</v>
      </c>
      <c r="B3529" s="25">
        <v>45383</v>
      </c>
      <c r="C3529" t="s">
        <v>633</v>
      </c>
      <c r="D3529" s="6">
        <v>1020</v>
      </c>
      <c r="E3529" s="9">
        <v>2745</v>
      </c>
      <c r="F3529" t="str">
        <f t="shared" si="110"/>
        <v>abril</v>
      </c>
      <c r="G3529">
        <f t="shared" si="111"/>
        <v>2024</v>
      </c>
    </row>
    <row r="3530" spans="1:7" x14ac:dyDescent="0.25">
      <c r="A3530">
        <v>2010905</v>
      </c>
      <c r="B3530" s="25">
        <v>45383</v>
      </c>
      <c r="C3530" t="s">
        <v>544</v>
      </c>
      <c r="D3530" s="6">
        <v>3185</v>
      </c>
      <c r="E3530" s="9">
        <v>2173</v>
      </c>
      <c r="F3530" t="str">
        <f t="shared" si="110"/>
        <v>abril</v>
      </c>
      <c r="G3530">
        <f t="shared" si="111"/>
        <v>2024</v>
      </c>
    </row>
    <row r="3531" spans="1:7" x14ac:dyDescent="0.25">
      <c r="A3531">
        <v>2011700</v>
      </c>
      <c r="B3531" s="25">
        <v>45383</v>
      </c>
      <c r="C3531" t="s">
        <v>129</v>
      </c>
      <c r="D3531" s="6">
        <v>292.5</v>
      </c>
      <c r="E3531" s="9">
        <v>659.81</v>
      </c>
      <c r="F3531" t="str">
        <f t="shared" si="110"/>
        <v>abril</v>
      </c>
      <c r="G3531">
        <f t="shared" si="111"/>
        <v>2024</v>
      </c>
    </row>
    <row r="3532" spans="1:7" x14ac:dyDescent="0.25">
      <c r="A3532">
        <v>2090001</v>
      </c>
      <c r="B3532" s="25">
        <v>45383</v>
      </c>
      <c r="C3532" t="s">
        <v>908</v>
      </c>
      <c r="D3532" s="6">
        <v>7.22</v>
      </c>
      <c r="E3532" s="9">
        <v>37.54</v>
      </c>
      <c r="F3532" t="str">
        <f t="shared" si="110"/>
        <v>abril</v>
      </c>
      <c r="G3532">
        <f t="shared" si="111"/>
        <v>2024</v>
      </c>
    </row>
    <row r="3533" spans="1:7" x14ac:dyDescent="0.25">
      <c r="A3533">
        <v>2090002</v>
      </c>
      <c r="B3533" s="25">
        <v>45383</v>
      </c>
      <c r="C3533" t="s">
        <v>451</v>
      </c>
      <c r="D3533" s="6">
        <v>36.369999999999997</v>
      </c>
      <c r="E3533" s="9">
        <v>189.85</v>
      </c>
      <c r="F3533" t="str">
        <f t="shared" si="110"/>
        <v>abril</v>
      </c>
      <c r="G3533">
        <f t="shared" si="111"/>
        <v>2024</v>
      </c>
    </row>
    <row r="3534" spans="1:7" x14ac:dyDescent="0.25">
      <c r="A3534">
        <v>2101100</v>
      </c>
      <c r="B3534" s="25">
        <v>45383</v>
      </c>
      <c r="C3534" t="s">
        <v>453</v>
      </c>
      <c r="D3534" s="6">
        <v>141.30000000000001</v>
      </c>
      <c r="E3534" s="9">
        <v>545.74</v>
      </c>
      <c r="F3534" t="str">
        <f t="shared" si="110"/>
        <v>abril</v>
      </c>
      <c r="G3534">
        <f t="shared" si="111"/>
        <v>2024</v>
      </c>
    </row>
    <row r="3535" spans="1:7" x14ac:dyDescent="0.25">
      <c r="A3535">
        <v>3020103</v>
      </c>
      <c r="B3535" s="25">
        <v>45383</v>
      </c>
      <c r="C3535" t="s">
        <v>131</v>
      </c>
      <c r="D3535" s="6">
        <v>6026.7560000000003</v>
      </c>
      <c r="E3535" s="9">
        <v>20172.669999999998</v>
      </c>
      <c r="F3535" t="str">
        <f t="shared" si="110"/>
        <v>abril</v>
      </c>
      <c r="G3535">
        <f t="shared" si="111"/>
        <v>2024</v>
      </c>
    </row>
    <row r="3536" spans="1:7" x14ac:dyDescent="0.25">
      <c r="A3536">
        <v>3020212</v>
      </c>
      <c r="B3536" s="25">
        <v>45383</v>
      </c>
      <c r="C3536" t="s">
        <v>133</v>
      </c>
      <c r="D3536" s="6">
        <v>1911.7049999999999</v>
      </c>
      <c r="E3536" s="9">
        <v>7318.63</v>
      </c>
      <c r="F3536" t="str">
        <f t="shared" si="110"/>
        <v>abril</v>
      </c>
      <c r="G3536">
        <f t="shared" si="111"/>
        <v>2024</v>
      </c>
    </row>
    <row r="3537" spans="1:7" x14ac:dyDescent="0.25">
      <c r="A3537">
        <v>3020214</v>
      </c>
      <c r="B3537" s="25">
        <v>45383</v>
      </c>
      <c r="C3537" t="s">
        <v>135</v>
      </c>
      <c r="D3537" s="6">
        <v>795.13300000000004</v>
      </c>
      <c r="E3537" s="9">
        <v>2878.04</v>
      </c>
      <c r="F3537" t="str">
        <f t="shared" si="110"/>
        <v>abril</v>
      </c>
      <c r="G3537">
        <f t="shared" si="111"/>
        <v>2024</v>
      </c>
    </row>
    <row r="3538" spans="1:7" x14ac:dyDescent="0.25">
      <c r="A3538">
        <v>3020315</v>
      </c>
      <c r="B3538" s="25">
        <v>45383</v>
      </c>
      <c r="C3538" t="s">
        <v>137</v>
      </c>
      <c r="D3538" s="6">
        <v>3193.7359999999999</v>
      </c>
      <c r="E3538" s="9">
        <v>11629</v>
      </c>
      <c r="F3538" t="str">
        <f t="shared" si="110"/>
        <v>abril</v>
      </c>
      <c r="G3538">
        <f t="shared" si="111"/>
        <v>2024</v>
      </c>
    </row>
    <row r="3539" spans="1:7" x14ac:dyDescent="0.25">
      <c r="A3539">
        <v>3020316</v>
      </c>
      <c r="B3539" s="25">
        <v>45383</v>
      </c>
      <c r="C3539" t="s">
        <v>139</v>
      </c>
      <c r="D3539" s="6">
        <v>171.934</v>
      </c>
      <c r="E3539" s="9">
        <v>558.79999999999995</v>
      </c>
      <c r="F3539" t="str">
        <f t="shared" si="110"/>
        <v>abril</v>
      </c>
      <c r="G3539">
        <f t="shared" si="111"/>
        <v>2024</v>
      </c>
    </row>
    <row r="3540" spans="1:7" x14ac:dyDescent="0.25">
      <c r="A3540">
        <v>3020317</v>
      </c>
      <c r="B3540" s="25">
        <v>45383</v>
      </c>
      <c r="C3540" t="s">
        <v>845</v>
      </c>
      <c r="D3540" s="6">
        <v>103.5</v>
      </c>
      <c r="E3540" s="9">
        <v>362.25</v>
      </c>
      <c r="F3540" t="str">
        <f t="shared" si="110"/>
        <v>abril</v>
      </c>
      <c r="G3540">
        <f t="shared" si="111"/>
        <v>2024</v>
      </c>
    </row>
    <row r="3541" spans="1:7" x14ac:dyDescent="0.25">
      <c r="A3541">
        <v>3020318</v>
      </c>
      <c r="B3541" s="25">
        <v>45383</v>
      </c>
      <c r="C3541" t="s">
        <v>847</v>
      </c>
      <c r="D3541" s="6">
        <v>34.5</v>
      </c>
      <c r="E3541" s="9">
        <v>120.75</v>
      </c>
      <c r="F3541" t="str">
        <f t="shared" si="110"/>
        <v>abril</v>
      </c>
      <c r="G3541">
        <f t="shared" si="111"/>
        <v>2024</v>
      </c>
    </row>
    <row r="3542" spans="1:7" x14ac:dyDescent="0.25">
      <c r="A3542">
        <v>3020319</v>
      </c>
      <c r="B3542" s="25">
        <v>45383</v>
      </c>
      <c r="C3542" t="s">
        <v>1012</v>
      </c>
      <c r="D3542" s="6">
        <v>113.24000000000001</v>
      </c>
      <c r="E3542" s="9">
        <v>396.34</v>
      </c>
      <c r="F3542" t="str">
        <f t="shared" si="110"/>
        <v>abril</v>
      </c>
      <c r="G3542">
        <f t="shared" si="111"/>
        <v>2024</v>
      </c>
    </row>
    <row r="3543" spans="1:7" x14ac:dyDescent="0.25">
      <c r="A3543">
        <v>3020402</v>
      </c>
      <c r="B3543" s="25">
        <v>45383</v>
      </c>
      <c r="C3543" t="s">
        <v>141</v>
      </c>
      <c r="D3543" s="6">
        <v>1767.336</v>
      </c>
      <c r="E3543" s="9">
        <v>6462.2</v>
      </c>
      <c r="F3543" t="str">
        <f t="shared" si="110"/>
        <v>abril</v>
      </c>
      <c r="G3543">
        <f t="shared" si="111"/>
        <v>2024</v>
      </c>
    </row>
    <row r="3544" spans="1:7" x14ac:dyDescent="0.25">
      <c r="A3544">
        <v>3020504</v>
      </c>
      <c r="B3544" s="25">
        <v>45383</v>
      </c>
      <c r="C3544" t="s">
        <v>143</v>
      </c>
      <c r="D3544" s="6">
        <v>635.18000000000006</v>
      </c>
      <c r="E3544" s="9">
        <v>2438.86</v>
      </c>
      <c r="F3544" t="str">
        <f t="shared" si="110"/>
        <v>abril</v>
      </c>
      <c r="G3544">
        <f t="shared" si="111"/>
        <v>2024</v>
      </c>
    </row>
    <row r="3545" spans="1:7" x14ac:dyDescent="0.25">
      <c r="A3545">
        <v>3020622</v>
      </c>
      <c r="B3545" s="25">
        <v>45383</v>
      </c>
      <c r="C3545" t="s">
        <v>145</v>
      </c>
      <c r="D3545" s="6">
        <v>7549.902</v>
      </c>
      <c r="E3545" s="9">
        <v>27728.45</v>
      </c>
      <c r="F3545" t="str">
        <f t="shared" si="110"/>
        <v>abril</v>
      </c>
      <c r="G3545">
        <f t="shared" si="111"/>
        <v>2024</v>
      </c>
    </row>
    <row r="3546" spans="1:7" x14ac:dyDescent="0.25">
      <c r="A3546">
        <v>3020623</v>
      </c>
      <c r="B3546" s="25">
        <v>45383</v>
      </c>
      <c r="C3546" t="s">
        <v>147</v>
      </c>
      <c r="D3546" s="6">
        <v>656.99</v>
      </c>
      <c r="E3546" s="9">
        <v>2540.9299999999998</v>
      </c>
      <c r="F3546" t="str">
        <f t="shared" si="110"/>
        <v>abril</v>
      </c>
      <c r="G3546">
        <f t="shared" si="111"/>
        <v>2024</v>
      </c>
    </row>
    <row r="3547" spans="1:7" x14ac:dyDescent="0.25">
      <c r="A3547">
        <v>3020725</v>
      </c>
      <c r="B3547" s="25">
        <v>45383</v>
      </c>
      <c r="C3547" t="s">
        <v>149</v>
      </c>
      <c r="D3547" s="6">
        <v>472.13</v>
      </c>
      <c r="E3547" s="9">
        <v>1779.57</v>
      </c>
      <c r="F3547" t="str">
        <f t="shared" si="110"/>
        <v>abril</v>
      </c>
      <c r="G3547">
        <f t="shared" si="111"/>
        <v>2024</v>
      </c>
    </row>
    <row r="3548" spans="1:7" x14ac:dyDescent="0.25">
      <c r="A3548">
        <v>3020823</v>
      </c>
      <c r="B3548" s="25">
        <v>45383</v>
      </c>
      <c r="C3548" t="s">
        <v>151</v>
      </c>
      <c r="D3548" s="6">
        <v>2190.915</v>
      </c>
      <c r="E3548" s="9">
        <v>8461.07</v>
      </c>
      <c r="F3548" t="str">
        <f t="shared" si="110"/>
        <v>abril</v>
      </c>
      <c r="G3548">
        <f t="shared" si="111"/>
        <v>2024</v>
      </c>
    </row>
    <row r="3549" spans="1:7" x14ac:dyDescent="0.25">
      <c r="A3549">
        <v>3020824</v>
      </c>
      <c r="B3549" s="25">
        <v>45383</v>
      </c>
      <c r="C3549" t="s">
        <v>153</v>
      </c>
      <c r="D3549" s="6">
        <v>1488.318</v>
      </c>
      <c r="E3549" s="9">
        <v>5539.89</v>
      </c>
      <c r="F3549" t="str">
        <f t="shared" si="110"/>
        <v>abril</v>
      </c>
      <c r="G3549">
        <f t="shared" si="111"/>
        <v>2024</v>
      </c>
    </row>
    <row r="3550" spans="1:7" x14ac:dyDescent="0.25">
      <c r="A3550">
        <v>3020825</v>
      </c>
      <c r="B3550" s="25">
        <v>45383</v>
      </c>
      <c r="C3550" t="s">
        <v>455</v>
      </c>
      <c r="D3550" s="6">
        <v>148.91400000000002</v>
      </c>
      <c r="E3550" s="9">
        <v>610.54999999999995</v>
      </c>
      <c r="F3550" t="str">
        <f t="shared" si="110"/>
        <v>abril</v>
      </c>
      <c r="G3550">
        <f t="shared" si="111"/>
        <v>2024</v>
      </c>
    </row>
    <row r="3551" spans="1:7" x14ac:dyDescent="0.25">
      <c r="A3551">
        <v>3020924</v>
      </c>
      <c r="B3551" s="25">
        <v>45383</v>
      </c>
      <c r="C3551" t="s">
        <v>155</v>
      </c>
      <c r="D3551" s="6">
        <v>1200.3</v>
      </c>
      <c r="E3551" s="9">
        <v>4537.99</v>
      </c>
      <c r="F3551" t="str">
        <f t="shared" si="110"/>
        <v>abril</v>
      </c>
      <c r="G3551">
        <f t="shared" si="111"/>
        <v>2024</v>
      </c>
    </row>
    <row r="3552" spans="1:7" x14ac:dyDescent="0.25">
      <c r="A3552">
        <v>3020925</v>
      </c>
      <c r="B3552" s="25">
        <v>45383</v>
      </c>
      <c r="C3552" t="s">
        <v>157</v>
      </c>
      <c r="D3552" s="6">
        <v>1210.1279999999999</v>
      </c>
      <c r="E3552" s="9">
        <v>4483.6499999999996</v>
      </c>
      <c r="F3552" t="str">
        <f t="shared" si="110"/>
        <v>abril</v>
      </c>
      <c r="G3552">
        <f t="shared" si="111"/>
        <v>2024</v>
      </c>
    </row>
    <row r="3553" spans="1:7" x14ac:dyDescent="0.25">
      <c r="A3553">
        <v>3021436</v>
      </c>
      <c r="B3553" s="25">
        <v>45383</v>
      </c>
      <c r="C3553" t="s">
        <v>546</v>
      </c>
      <c r="D3553" s="6">
        <v>486.09000000000003</v>
      </c>
      <c r="E3553" s="9">
        <v>1589.73</v>
      </c>
      <c r="F3553" t="str">
        <f t="shared" si="110"/>
        <v>abril</v>
      </c>
      <c r="G3553">
        <f t="shared" si="111"/>
        <v>2024</v>
      </c>
    </row>
    <row r="3554" spans="1:7" x14ac:dyDescent="0.25">
      <c r="A3554">
        <v>3021538</v>
      </c>
      <c r="B3554" s="25">
        <v>45383</v>
      </c>
      <c r="C3554" t="s">
        <v>548</v>
      </c>
      <c r="D3554" s="6">
        <v>256.37</v>
      </c>
      <c r="E3554" s="9">
        <v>745.69</v>
      </c>
      <c r="F3554" t="str">
        <f t="shared" si="110"/>
        <v>abril</v>
      </c>
      <c r="G3554">
        <f t="shared" si="111"/>
        <v>2024</v>
      </c>
    </row>
    <row r="3555" spans="1:7" x14ac:dyDescent="0.25">
      <c r="A3555">
        <v>3021639</v>
      </c>
      <c r="B3555" s="25">
        <v>45383</v>
      </c>
      <c r="C3555" t="s">
        <v>457</v>
      </c>
      <c r="D3555" s="6">
        <v>35.96</v>
      </c>
      <c r="E3555" s="9">
        <v>111.89</v>
      </c>
      <c r="F3555" t="str">
        <f t="shared" si="110"/>
        <v>abril</v>
      </c>
      <c r="G3555">
        <f t="shared" si="111"/>
        <v>2024</v>
      </c>
    </row>
    <row r="3556" spans="1:7" x14ac:dyDescent="0.25">
      <c r="A3556">
        <v>3021740</v>
      </c>
      <c r="B3556" s="25">
        <v>45383</v>
      </c>
      <c r="C3556" t="s">
        <v>459</v>
      </c>
      <c r="D3556" s="6">
        <v>379.81799999999998</v>
      </c>
      <c r="E3556" s="9">
        <v>1074.47</v>
      </c>
      <c r="F3556" t="str">
        <f t="shared" si="110"/>
        <v>abril</v>
      </c>
      <c r="G3556">
        <f t="shared" si="111"/>
        <v>2024</v>
      </c>
    </row>
    <row r="3557" spans="1:7" x14ac:dyDescent="0.25">
      <c r="A3557">
        <v>3021760</v>
      </c>
      <c r="B3557" s="25">
        <v>45383</v>
      </c>
      <c r="C3557" t="s">
        <v>167</v>
      </c>
      <c r="D3557" s="6">
        <v>5263.2390000000005</v>
      </c>
      <c r="E3557" s="9">
        <v>10146.14</v>
      </c>
      <c r="F3557" t="str">
        <f t="shared" si="110"/>
        <v>abril</v>
      </c>
      <c r="G3557">
        <f t="shared" si="111"/>
        <v>2024</v>
      </c>
    </row>
    <row r="3558" spans="1:7" x14ac:dyDescent="0.25">
      <c r="A3558">
        <v>3021811</v>
      </c>
      <c r="B3558" s="25">
        <v>45383</v>
      </c>
      <c r="C3558" t="s">
        <v>169</v>
      </c>
      <c r="D3558" s="6">
        <v>1912.64</v>
      </c>
      <c r="E3558" s="9">
        <v>3919.59</v>
      </c>
      <c r="F3558" t="str">
        <f t="shared" si="110"/>
        <v>abril</v>
      </c>
      <c r="G3558">
        <f t="shared" si="111"/>
        <v>2024</v>
      </c>
    </row>
    <row r="3559" spans="1:7" x14ac:dyDescent="0.25">
      <c r="A3559">
        <v>3021812</v>
      </c>
      <c r="B3559" s="25">
        <v>45383</v>
      </c>
      <c r="C3559" t="s">
        <v>171</v>
      </c>
      <c r="D3559" s="6">
        <v>-305.74599999999998</v>
      </c>
      <c r="E3559" s="9">
        <v>-714.86</v>
      </c>
      <c r="F3559" t="str">
        <f t="shared" si="110"/>
        <v>abril</v>
      </c>
      <c r="G3559">
        <f t="shared" si="111"/>
        <v>2024</v>
      </c>
    </row>
    <row r="3560" spans="1:7" x14ac:dyDescent="0.25">
      <c r="A3560">
        <v>3022100</v>
      </c>
      <c r="B3560" s="25">
        <v>45383</v>
      </c>
      <c r="C3560" t="s">
        <v>173</v>
      </c>
      <c r="D3560" s="6">
        <v>182.41</v>
      </c>
      <c r="E3560" s="9">
        <v>713.17</v>
      </c>
      <c r="F3560" t="str">
        <f t="shared" si="110"/>
        <v>abril</v>
      </c>
      <c r="G3560">
        <f t="shared" si="111"/>
        <v>2024</v>
      </c>
    </row>
    <row r="3561" spans="1:7" x14ac:dyDescent="0.25">
      <c r="A3561">
        <v>3022208</v>
      </c>
      <c r="B3561" s="25">
        <v>45383</v>
      </c>
      <c r="C3561" t="s">
        <v>307</v>
      </c>
      <c r="D3561" s="6">
        <v>227.37</v>
      </c>
      <c r="E3561" s="9">
        <v>876.91</v>
      </c>
      <c r="F3561" t="str">
        <f t="shared" si="110"/>
        <v>abril</v>
      </c>
      <c r="G3561">
        <f t="shared" si="111"/>
        <v>2024</v>
      </c>
    </row>
    <row r="3562" spans="1:7" x14ac:dyDescent="0.25">
      <c r="A3562">
        <v>3022311</v>
      </c>
      <c r="B3562" s="25">
        <v>45383</v>
      </c>
      <c r="C3562" t="s">
        <v>176</v>
      </c>
      <c r="D3562" s="6">
        <v>2152.8850000000002</v>
      </c>
      <c r="E3562" s="9">
        <v>5372.64</v>
      </c>
      <c r="F3562" t="str">
        <f t="shared" si="110"/>
        <v>abril</v>
      </c>
      <c r="G3562">
        <f t="shared" si="111"/>
        <v>2024</v>
      </c>
    </row>
    <row r="3563" spans="1:7" x14ac:dyDescent="0.25">
      <c r="A3563">
        <v>3022411</v>
      </c>
      <c r="B3563" s="25">
        <v>45383</v>
      </c>
      <c r="C3563" t="s">
        <v>178</v>
      </c>
      <c r="D3563" s="6">
        <v>86.466999999999999</v>
      </c>
      <c r="E3563" s="9">
        <v>247.76</v>
      </c>
      <c r="F3563" t="str">
        <f t="shared" si="110"/>
        <v>abril</v>
      </c>
      <c r="G3563">
        <f t="shared" si="111"/>
        <v>2024</v>
      </c>
    </row>
    <row r="3564" spans="1:7" x14ac:dyDescent="0.25">
      <c r="A3564">
        <v>3022511</v>
      </c>
      <c r="B3564" s="25">
        <v>45383</v>
      </c>
      <c r="C3564" t="s">
        <v>180</v>
      </c>
      <c r="D3564" s="6">
        <v>3.71</v>
      </c>
      <c r="E3564" s="9">
        <v>10.35</v>
      </c>
      <c r="F3564" t="str">
        <f t="shared" si="110"/>
        <v>abril</v>
      </c>
      <c r="G3564">
        <f t="shared" si="111"/>
        <v>2024</v>
      </c>
    </row>
    <row r="3565" spans="1:7" x14ac:dyDescent="0.25">
      <c r="A3565">
        <v>3022601</v>
      </c>
      <c r="B3565" s="25">
        <v>45383</v>
      </c>
      <c r="C3565" t="s">
        <v>182</v>
      </c>
      <c r="D3565" s="6">
        <v>313</v>
      </c>
      <c r="E3565" s="9">
        <v>1202.31</v>
      </c>
      <c r="F3565" t="str">
        <f t="shared" si="110"/>
        <v>abril</v>
      </c>
      <c r="G3565">
        <f t="shared" si="111"/>
        <v>2024</v>
      </c>
    </row>
    <row r="3566" spans="1:7" x14ac:dyDescent="0.25">
      <c r="A3566">
        <v>3022703</v>
      </c>
      <c r="B3566" s="25">
        <v>45383</v>
      </c>
      <c r="C3566" t="s">
        <v>309</v>
      </c>
      <c r="D3566" s="6">
        <v>575</v>
      </c>
      <c r="E3566" s="9">
        <v>1603.5</v>
      </c>
      <c r="F3566" t="str">
        <f t="shared" si="110"/>
        <v>abril</v>
      </c>
      <c r="G3566">
        <f t="shared" si="111"/>
        <v>2024</v>
      </c>
    </row>
    <row r="3567" spans="1:7" x14ac:dyDescent="0.25">
      <c r="A3567">
        <v>3022805</v>
      </c>
      <c r="B3567" s="25">
        <v>45383</v>
      </c>
      <c r="C3567" t="s">
        <v>186</v>
      </c>
      <c r="D3567" s="6">
        <v>1415</v>
      </c>
      <c r="E3567" s="9">
        <v>2971.39</v>
      </c>
      <c r="F3567" t="str">
        <f t="shared" si="110"/>
        <v>abril</v>
      </c>
      <c r="G3567">
        <f t="shared" si="111"/>
        <v>2024</v>
      </c>
    </row>
    <row r="3568" spans="1:7" x14ac:dyDescent="0.25">
      <c r="A3568">
        <v>3022906</v>
      </c>
      <c r="B3568" s="25">
        <v>45383</v>
      </c>
      <c r="C3568" t="s">
        <v>188</v>
      </c>
      <c r="D3568" s="6">
        <v>3740</v>
      </c>
      <c r="E3568" s="9">
        <v>7639.13</v>
      </c>
      <c r="F3568" t="str">
        <f t="shared" si="110"/>
        <v>abril</v>
      </c>
      <c r="G3568">
        <f t="shared" si="111"/>
        <v>2024</v>
      </c>
    </row>
    <row r="3569" spans="1:7" x14ac:dyDescent="0.25">
      <c r="A3569">
        <v>3023007</v>
      </c>
      <c r="B3569" s="25">
        <v>45383</v>
      </c>
      <c r="C3569" t="s">
        <v>190</v>
      </c>
      <c r="D3569" s="6">
        <v>720</v>
      </c>
      <c r="E3569" s="9">
        <v>1458.7</v>
      </c>
      <c r="F3569" t="str">
        <f t="shared" si="110"/>
        <v>abril</v>
      </c>
      <c r="G3569">
        <f t="shared" si="111"/>
        <v>2024</v>
      </c>
    </row>
    <row r="3570" spans="1:7" x14ac:dyDescent="0.25">
      <c r="A3570">
        <v>3024001</v>
      </c>
      <c r="B3570" s="25">
        <v>45383</v>
      </c>
      <c r="C3570" t="s">
        <v>192</v>
      </c>
      <c r="D3570" s="6">
        <v>1358.91</v>
      </c>
      <c r="E3570" s="9">
        <v>5167.8500000000004</v>
      </c>
      <c r="F3570" t="str">
        <f t="shared" si="110"/>
        <v>abril</v>
      </c>
      <c r="G3570">
        <f t="shared" si="111"/>
        <v>2024</v>
      </c>
    </row>
    <row r="3571" spans="1:7" x14ac:dyDescent="0.25">
      <c r="A3571">
        <v>3024003</v>
      </c>
      <c r="B3571" s="25">
        <v>45383</v>
      </c>
      <c r="C3571" t="s">
        <v>196</v>
      </c>
      <c r="D3571" s="6">
        <v>248.98000000000002</v>
      </c>
      <c r="E3571" s="9">
        <v>705.36</v>
      </c>
      <c r="F3571" t="str">
        <f t="shared" si="110"/>
        <v>abril</v>
      </c>
      <c r="G3571">
        <f t="shared" si="111"/>
        <v>2024</v>
      </c>
    </row>
    <row r="3572" spans="1:7" x14ac:dyDescent="0.25">
      <c r="A3572">
        <v>3024004</v>
      </c>
      <c r="B3572" s="25">
        <v>45383</v>
      </c>
      <c r="C3572" t="s">
        <v>198</v>
      </c>
      <c r="D3572" s="6">
        <v>1321.6000000000001</v>
      </c>
      <c r="E3572" s="9">
        <v>1371.73</v>
      </c>
      <c r="F3572" t="str">
        <f t="shared" si="110"/>
        <v>abril</v>
      </c>
      <c r="G3572">
        <f t="shared" si="111"/>
        <v>2024</v>
      </c>
    </row>
    <row r="3573" spans="1:7" x14ac:dyDescent="0.25">
      <c r="A3573">
        <v>4030100</v>
      </c>
      <c r="B3573" s="25">
        <v>45383</v>
      </c>
      <c r="C3573" t="s">
        <v>200</v>
      </c>
      <c r="D3573" s="6">
        <v>215.3</v>
      </c>
      <c r="E3573" s="9">
        <v>1326.03</v>
      </c>
      <c r="F3573" t="str">
        <f t="shared" si="110"/>
        <v>abril</v>
      </c>
      <c r="G3573">
        <f t="shared" si="111"/>
        <v>2024</v>
      </c>
    </row>
    <row r="3574" spans="1:7" x14ac:dyDescent="0.25">
      <c r="A3574">
        <v>4030211</v>
      </c>
      <c r="B3574" s="25">
        <v>45383</v>
      </c>
      <c r="C3574" t="s">
        <v>202</v>
      </c>
      <c r="D3574" s="6">
        <v>995.44799999999998</v>
      </c>
      <c r="E3574" s="9">
        <v>5714.37</v>
      </c>
      <c r="F3574" t="str">
        <f t="shared" si="110"/>
        <v>abril</v>
      </c>
      <c r="G3574">
        <f t="shared" si="111"/>
        <v>2024</v>
      </c>
    </row>
    <row r="3575" spans="1:7" x14ac:dyDescent="0.25">
      <c r="A3575">
        <v>4030311</v>
      </c>
      <c r="B3575" s="25">
        <v>45383</v>
      </c>
      <c r="C3575" t="s">
        <v>311</v>
      </c>
      <c r="D3575" s="6">
        <v>486.30400000000003</v>
      </c>
      <c r="E3575" s="9">
        <v>3150.02</v>
      </c>
      <c r="F3575" t="str">
        <f t="shared" si="110"/>
        <v>abril</v>
      </c>
      <c r="G3575">
        <f t="shared" si="111"/>
        <v>2024</v>
      </c>
    </row>
    <row r="3576" spans="1:7" x14ac:dyDescent="0.25">
      <c r="A3576">
        <v>4030401</v>
      </c>
      <c r="B3576" s="25">
        <v>45383</v>
      </c>
      <c r="C3576" t="s">
        <v>461</v>
      </c>
      <c r="D3576" s="6">
        <v>215.3</v>
      </c>
      <c r="E3576" s="9">
        <v>1085.82</v>
      </c>
      <c r="F3576" t="str">
        <f t="shared" si="110"/>
        <v>abril</v>
      </c>
      <c r="G3576">
        <f t="shared" si="111"/>
        <v>2024</v>
      </c>
    </row>
    <row r="3577" spans="1:7" x14ac:dyDescent="0.25">
      <c r="A3577">
        <v>4030532</v>
      </c>
      <c r="B3577" s="25">
        <v>45383</v>
      </c>
      <c r="C3577" t="s">
        <v>210</v>
      </c>
      <c r="D3577" s="6">
        <v>281.41000000000003</v>
      </c>
      <c r="E3577" s="9">
        <v>1358.33</v>
      </c>
      <c r="F3577" t="str">
        <f t="shared" si="110"/>
        <v>abril</v>
      </c>
      <c r="G3577">
        <f t="shared" si="111"/>
        <v>2024</v>
      </c>
    </row>
    <row r="3578" spans="1:7" x14ac:dyDescent="0.25">
      <c r="A3578">
        <v>4030600</v>
      </c>
      <c r="B3578" s="25">
        <v>45383</v>
      </c>
      <c r="C3578" t="s">
        <v>212</v>
      </c>
      <c r="D3578" s="6">
        <v>549.81000000000006</v>
      </c>
      <c r="E3578" s="9">
        <v>1726.75</v>
      </c>
      <c r="F3578" t="str">
        <f t="shared" si="110"/>
        <v>abril</v>
      </c>
      <c r="G3578">
        <f t="shared" si="111"/>
        <v>2024</v>
      </c>
    </row>
    <row r="3579" spans="1:7" x14ac:dyDescent="0.25">
      <c r="A3579">
        <v>4030711</v>
      </c>
      <c r="B3579" s="25">
        <v>45383</v>
      </c>
      <c r="C3579" t="s">
        <v>214</v>
      </c>
      <c r="D3579" s="6">
        <v>1328.6020000000001</v>
      </c>
      <c r="E3579" s="9">
        <v>4364.04</v>
      </c>
      <c r="F3579" t="str">
        <f t="shared" si="110"/>
        <v>abril</v>
      </c>
      <c r="G3579">
        <f t="shared" si="111"/>
        <v>2024</v>
      </c>
    </row>
    <row r="3580" spans="1:7" x14ac:dyDescent="0.25">
      <c r="A3580">
        <v>4030811</v>
      </c>
      <c r="B3580" s="25">
        <v>45383</v>
      </c>
      <c r="C3580" t="s">
        <v>216</v>
      </c>
      <c r="D3580" s="6">
        <v>1643.0820000000001</v>
      </c>
      <c r="E3580" s="9">
        <v>5402.39</v>
      </c>
      <c r="F3580" t="str">
        <f t="shared" si="110"/>
        <v>abril</v>
      </c>
      <c r="G3580">
        <f t="shared" si="111"/>
        <v>2024</v>
      </c>
    </row>
    <row r="3581" spans="1:7" x14ac:dyDescent="0.25">
      <c r="A3581">
        <v>4030813</v>
      </c>
      <c r="B3581" s="25">
        <v>45383</v>
      </c>
      <c r="C3581" t="s">
        <v>218</v>
      </c>
      <c r="D3581" s="6">
        <v>431.09000000000003</v>
      </c>
      <c r="E3581" s="9">
        <v>1241.54</v>
      </c>
      <c r="F3581" t="str">
        <f t="shared" si="110"/>
        <v>abril</v>
      </c>
      <c r="G3581">
        <f t="shared" si="111"/>
        <v>2024</v>
      </c>
    </row>
    <row r="3582" spans="1:7" x14ac:dyDescent="0.25">
      <c r="A3582">
        <v>4030900</v>
      </c>
      <c r="B3582" s="25">
        <v>45383</v>
      </c>
      <c r="C3582" t="s">
        <v>220</v>
      </c>
      <c r="D3582" s="6">
        <v>4827.03</v>
      </c>
      <c r="E3582" s="9">
        <v>14990.21</v>
      </c>
      <c r="F3582" t="str">
        <f t="shared" si="110"/>
        <v>abril</v>
      </c>
      <c r="G3582">
        <f t="shared" si="111"/>
        <v>2024</v>
      </c>
    </row>
    <row r="3583" spans="1:7" x14ac:dyDescent="0.25">
      <c r="A3583">
        <v>4030910</v>
      </c>
      <c r="B3583" s="25">
        <v>45383</v>
      </c>
      <c r="C3583" t="s">
        <v>222</v>
      </c>
      <c r="D3583" s="6">
        <v>26.77</v>
      </c>
      <c r="E3583" s="9">
        <v>87.68</v>
      </c>
      <c r="F3583" t="str">
        <f t="shared" si="110"/>
        <v>abril</v>
      </c>
      <c r="G3583">
        <f t="shared" si="111"/>
        <v>2024</v>
      </c>
    </row>
    <row r="3584" spans="1:7" x14ac:dyDescent="0.25">
      <c r="A3584">
        <v>4031012</v>
      </c>
      <c r="B3584" s="25">
        <v>45383</v>
      </c>
      <c r="C3584" t="s">
        <v>224</v>
      </c>
      <c r="D3584" s="6">
        <v>851.24599999999998</v>
      </c>
      <c r="E3584" s="9">
        <v>2729.04</v>
      </c>
      <c r="F3584" t="str">
        <f t="shared" si="110"/>
        <v>abril</v>
      </c>
      <c r="G3584">
        <f t="shared" si="111"/>
        <v>2024</v>
      </c>
    </row>
    <row r="3585" spans="1:7" x14ac:dyDescent="0.25">
      <c r="A3585">
        <v>4031013</v>
      </c>
      <c r="B3585" s="25">
        <v>45383</v>
      </c>
      <c r="C3585" t="s">
        <v>1013</v>
      </c>
      <c r="D3585" s="6">
        <v>0.9</v>
      </c>
      <c r="E3585" s="9">
        <v>5.04</v>
      </c>
      <c r="F3585" t="str">
        <f t="shared" si="110"/>
        <v>abril</v>
      </c>
      <c r="G3585">
        <f t="shared" si="111"/>
        <v>2024</v>
      </c>
    </row>
    <row r="3586" spans="1:7" x14ac:dyDescent="0.25">
      <c r="A3586">
        <v>4031017</v>
      </c>
      <c r="B3586" s="25">
        <v>45383</v>
      </c>
      <c r="C3586" t="s">
        <v>226</v>
      </c>
      <c r="D3586" s="6">
        <v>349.8</v>
      </c>
      <c r="E3586" s="9">
        <v>251.87</v>
      </c>
      <c r="F3586" t="str">
        <f t="shared" si="110"/>
        <v>abril</v>
      </c>
      <c r="G3586">
        <f t="shared" si="111"/>
        <v>2024</v>
      </c>
    </row>
    <row r="3587" spans="1:7" x14ac:dyDescent="0.25">
      <c r="A3587">
        <v>4031019</v>
      </c>
      <c r="B3587" s="25">
        <v>45383</v>
      </c>
      <c r="C3587" t="s">
        <v>226</v>
      </c>
      <c r="D3587" s="6">
        <v>1855</v>
      </c>
      <c r="E3587" s="9">
        <v>1242.8499999999999</v>
      </c>
      <c r="F3587" t="str">
        <f t="shared" ref="F3587:F3650" si="112">TEXT(B3587,"mmmm")</f>
        <v>abril</v>
      </c>
      <c r="G3587">
        <f t="shared" ref="G3587:G3650" si="113">YEAR(B3587)</f>
        <v>2024</v>
      </c>
    </row>
    <row r="3588" spans="1:7" x14ac:dyDescent="0.25">
      <c r="A3588">
        <v>4031102</v>
      </c>
      <c r="B3588" s="25">
        <v>45383</v>
      </c>
      <c r="C3588" t="s">
        <v>228</v>
      </c>
      <c r="D3588" s="6">
        <v>10165.419</v>
      </c>
      <c r="E3588" s="9">
        <v>30285.5</v>
      </c>
      <c r="F3588" t="str">
        <f t="shared" si="112"/>
        <v>abril</v>
      </c>
      <c r="G3588">
        <f t="shared" si="113"/>
        <v>2024</v>
      </c>
    </row>
    <row r="3589" spans="1:7" x14ac:dyDescent="0.25">
      <c r="A3589">
        <v>4031103</v>
      </c>
      <c r="B3589" s="25">
        <v>45383</v>
      </c>
      <c r="C3589" t="s">
        <v>980</v>
      </c>
      <c r="D3589" s="6">
        <v>434.94</v>
      </c>
      <c r="E3589" s="9">
        <v>1391.81</v>
      </c>
      <c r="F3589" t="str">
        <f t="shared" si="112"/>
        <v>abril</v>
      </c>
      <c r="G3589">
        <f t="shared" si="113"/>
        <v>2024</v>
      </c>
    </row>
    <row r="3590" spans="1:7" x14ac:dyDescent="0.25">
      <c r="A3590">
        <v>4031200</v>
      </c>
      <c r="B3590" s="25">
        <v>45383</v>
      </c>
      <c r="C3590" t="s">
        <v>230</v>
      </c>
      <c r="D3590" s="6">
        <v>821.92000000000007</v>
      </c>
      <c r="E3590" s="9">
        <v>2568.56</v>
      </c>
      <c r="F3590" t="str">
        <f t="shared" si="112"/>
        <v>abril</v>
      </c>
      <c r="G3590">
        <f t="shared" si="113"/>
        <v>2024</v>
      </c>
    </row>
    <row r="3591" spans="1:7" x14ac:dyDescent="0.25">
      <c r="A3591">
        <v>4031304</v>
      </c>
      <c r="B3591" s="25">
        <v>45383</v>
      </c>
      <c r="C3591" t="s">
        <v>232</v>
      </c>
      <c r="D3591" s="6">
        <v>1404.7950000000001</v>
      </c>
      <c r="E3591" s="9">
        <v>4251.7299999999996</v>
      </c>
      <c r="F3591" t="str">
        <f t="shared" si="112"/>
        <v>abril</v>
      </c>
      <c r="G3591">
        <f t="shared" si="113"/>
        <v>2024</v>
      </c>
    </row>
    <row r="3592" spans="1:7" x14ac:dyDescent="0.25">
      <c r="A3592">
        <v>4031411</v>
      </c>
      <c r="B3592" s="25">
        <v>45383</v>
      </c>
      <c r="C3592" t="s">
        <v>234</v>
      </c>
      <c r="D3592" s="6">
        <v>67.554000000000002</v>
      </c>
      <c r="E3592" s="9">
        <v>208.96</v>
      </c>
      <c r="F3592" t="str">
        <f t="shared" si="112"/>
        <v>abril</v>
      </c>
      <c r="G3592">
        <f t="shared" si="113"/>
        <v>2024</v>
      </c>
    </row>
    <row r="3593" spans="1:7" x14ac:dyDescent="0.25">
      <c r="A3593">
        <v>4031500</v>
      </c>
      <c r="B3593" s="25">
        <v>45383</v>
      </c>
      <c r="C3593" t="s">
        <v>236</v>
      </c>
      <c r="D3593" s="6">
        <v>5121.41</v>
      </c>
      <c r="E3593" s="9">
        <v>15029.9</v>
      </c>
      <c r="F3593" t="str">
        <f t="shared" si="112"/>
        <v>abril</v>
      </c>
      <c r="G3593">
        <f t="shared" si="113"/>
        <v>2024</v>
      </c>
    </row>
    <row r="3594" spans="1:7" x14ac:dyDescent="0.25">
      <c r="A3594">
        <v>4031604</v>
      </c>
      <c r="B3594" s="25">
        <v>45383</v>
      </c>
      <c r="C3594" t="s">
        <v>238</v>
      </c>
      <c r="D3594" s="6">
        <v>5322.9710000000005</v>
      </c>
      <c r="E3594" s="9">
        <v>14986.04</v>
      </c>
      <c r="F3594" t="str">
        <f t="shared" si="112"/>
        <v>abril</v>
      </c>
      <c r="G3594">
        <f t="shared" si="113"/>
        <v>2024</v>
      </c>
    </row>
    <row r="3595" spans="1:7" x14ac:dyDescent="0.25">
      <c r="A3595">
        <v>4031605</v>
      </c>
      <c r="B3595" s="25">
        <v>45383</v>
      </c>
      <c r="C3595" t="s">
        <v>240</v>
      </c>
      <c r="D3595" s="6">
        <v>13.08</v>
      </c>
      <c r="E3595" s="9">
        <v>44.59</v>
      </c>
      <c r="F3595" t="str">
        <f t="shared" si="112"/>
        <v>abril</v>
      </c>
      <c r="G3595">
        <f t="shared" si="113"/>
        <v>2024</v>
      </c>
    </row>
    <row r="3596" spans="1:7" x14ac:dyDescent="0.25">
      <c r="A3596">
        <v>4031700</v>
      </c>
      <c r="B3596" s="25">
        <v>45383</v>
      </c>
      <c r="C3596" t="s">
        <v>242</v>
      </c>
      <c r="D3596" s="6">
        <v>564.71</v>
      </c>
      <c r="E3596" s="9">
        <v>1734.75</v>
      </c>
      <c r="F3596" t="str">
        <f t="shared" si="112"/>
        <v>abril</v>
      </c>
      <c r="G3596">
        <f t="shared" si="113"/>
        <v>2024</v>
      </c>
    </row>
    <row r="3597" spans="1:7" x14ac:dyDescent="0.25">
      <c r="A3597">
        <v>4031812</v>
      </c>
      <c r="B3597" s="25">
        <v>45383</v>
      </c>
      <c r="C3597" t="s">
        <v>244</v>
      </c>
      <c r="D3597" s="6">
        <v>480.44200000000001</v>
      </c>
      <c r="E3597" s="9">
        <v>1534.33</v>
      </c>
      <c r="F3597" t="str">
        <f t="shared" si="112"/>
        <v>abril</v>
      </c>
      <c r="G3597">
        <f t="shared" si="113"/>
        <v>2024</v>
      </c>
    </row>
    <row r="3598" spans="1:7" x14ac:dyDescent="0.25">
      <c r="A3598">
        <v>4031813</v>
      </c>
      <c r="B3598" s="25">
        <v>45383</v>
      </c>
      <c r="C3598" t="s">
        <v>464</v>
      </c>
      <c r="D3598" s="6">
        <v>350</v>
      </c>
      <c r="E3598" s="9">
        <v>245</v>
      </c>
      <c r="F3598" t="str">
        <f t="shared" si="112"/>
        <v>abril</v>
      </c>
      <c r="G3598">
        <f t="shared" si="113"/>
        <v>2024</v>
      </c>
    </row>
    <row r="3599" spans="1:7" x14ac:dyDescent="0.25">
      <c r="A3599">
        <v>4031904</v>
      </c>
      <c r="B3599" s="25">
        <v>45383</v>
      </c>
      <c r="C3599" t="s">
        <v>246</v>
      </c>
      <c r="D3599" s="6">
        <v>1033.7</v>
      </c>
      <c r="E3599" s="9">
        <v>3133.57</v>
      </c>
      <c r="F3599" t="str">
        <f t="shared" si="112"/>
        <v>abril</v>
      </c>
      <c r="G3599">
        <f t="shared" si="113"/>
        <v>2024</v>
      </c>
    </row>
    <row r="3600" spans="1:7" x14ac:dyDescent="0.25">
      <c r="A3600">
        <v>4032000</v>
      </c>
      <c r="B3600" s="25">
        <v>45383</v>
      </c>
      <c r="C3600" t="s">
        <v>1014</v>
      </c>
      <c r="D3600" s="6">
        <v>0.2</v>
      </c>
      <c r="E3600" s="9">
        <v>1.1200000000000001</v>
      </c>
      <c r="F3600" t="str">
        <f t="shared" si="112"/>
        <v>abril</v>
      </c>
      <c r="G3600">
        <f t="shared" si="113"/>
        <v>2024</v>
      </c>
    </row>
    <row r="3601" spans="1:7" x14ac:dyDescent="0.25">
      <c r="A3601">
        <v>4032205</v>
      </c>
      <c r="B3601" s="25">
        <v>45383</v>
      </c>
      <c r="C3601" t="s">
        <v>553</v>
      </c>
      <c r="D3601" s="6">
        <v>129.52500000000001</v>
      </c>
      <c r="E3601" s="9">
        <v>684.48</v>
      </c>
      <c r="F3601" t="str">
        <f t="shared" si="112"/>
        <v>abril</v>
      </c>
      <c r="G3601">
        <f t="shared" si="113"/>
        <v>2024</v>
      </c>
    </row>
    <row r="3602" spans="1:7" x14ac:dyDescent="0.25">
      <c r="A3602">
        <v>4032206</v>
      </c>
      <c r="B3602" s="25">
        <v>45383</v>
      </c>
      <c r="C3602" t="s">
        <v>555</v>
      </c>
      <c r="D3602" s="6">
        <v>10.16</v>
      </c>
      <c r="E3602" s="9">
        <v>54.51</v>
      </c>
      <c r="F3602" t="str">
        <f t="shared" si="112"/>
        <v>abril</v>
      </c>
      <c r="G3602">
        <f t="shared" si="113"/>
        <v>2024</v>
      </c>
    </row>
    <row r="3603" spans="1:7" x14ac:dyDescent="0.25">
      <c r="A3603">
        <v>4032312</v>
      </c>
      <c r="B3603" s="25">
        <v>45383</v>
      </c>
      <c r="C3603" t="s">
        <v>252</v>
      </c>
      <c r="D3603" s="6">
        <v>432.32</v>
      </c>
      <c r="E3603" s="9">
        <v>1889.32</v>
      </c>
      <c r="F3603" t="str">
        <f t="shared" si="112"/>
        <v>abril</v>
      </c>
      <c r="G3603">
        <f t="shared" si="113"/>
        <v>2024</v>
      </c>
    </row>
    <row r="3604" spans="1:7" x14ac:dyDescent="0.25">
      <c r="A3604">
        <v>4032404</v>
      </c>
      <c r="B3604" s="25">
        <v>45383</v>
      </c>
      <c r="C3604" t="s">
        <v>254</v>
      </c>
      <c r="D3604" s="6">
        <v>209.94</v>
      </c>
      <c r="E3604" s="9">
        <v>944.63</v>
      </c>
      <c r="F3604" t="str">
        <f t="shared" si="112"/>
        <v>abril</v>
      </c>
      <c r="G3604">
        <f t="shared" si="113"/>
        <v>2024</v>
      </c>
    </row>
    <row r="3605" spans="1:7" x14ac:dyDescent="0.25">
      <c r="A3605">
        <v>4032500</v>
      </c>
      <c r="B3605" s="25">
        <v>45383</v>
      </c>
      <c r="C3605" t="s">
        <v>256</v>
      </c>
      <c r="D3605" s="6">
        <v>87.51</v>
      </c>
      <c r="E3605" s="9">
        <v>257.87</v>
      </c>
      <c r="F3605" t="str">
        <f t="shared" si="112"/>
        <v>abril</v>
      </c>
      <c r="G3605">
        <f t="shared" si="113"/>
        <v>2024</v>
      </c>
    </row>
    <row r="3606" spans="1:7" x14ac:dyDescent="0.25">
      <c r="A3606">
        <v>4032611</v>
      </c>
      <c r="B3606" s="25">
        <v>45383</v>
      </c>
      <c r="C3606" t="s">
        <v>258</v>
      </c>
      <c r="D3606" s="6">
        <v>75.67</v>
      </c>
      <c r="E3606" s="9">
        <v>228.72</v>
      </c>
      <c r="F3606" t="str">
        <f t="shared" si="112"/>
        <v>abril</v>
      </c>
      <c r="G3606">
        <f t="shared" si="113"/>
        <v>2024</v>
      </c>
    </row>
    <row r="3607" spans="1:7" x14ac:dyDescent="0.25">
      <c r="A3607">
        <v>4032704</v>
      </c>
      <c r="B3607" s="25">
        <v>45383</v>
      </c>
      <c r="C3607" t="s">
        <v>260</v>
      </c>
      <c r="D3607" s="6">
        <v>214.85</v>
      </c>
      <c r="E3607" s="9">
        <v>675.3</v>
      </c>
      <c r="F3607" t="str">
        <f t="shared" si="112"/>
        <v>abril</v>
      </c>
      <c r="G3607">
        <f t="shared" si="113"/>
        <v>2024</v>
      </c>
    </row>
    <row r="3608" spans="1:7" x14ac:dyDescent="0.25">
      <c r="A3608">
        <v>4032800</v>
      </c>
      <c r="B3608" s="25">
        <v>45383</v>
      </c>
      <c r="C3608" t="s">
        <v>262</v>
      </c>
      <c r="D3608" s="6">
        <v>134.12</v>
      </c>
      <c r="E3608" s="9">
        <v>703.79</v>
      </c>
      <c r="F3608" t="str">
        <f t="shared" si="112"/>
        <v>abril</v>
      </c>
      <c r="G3608">
        <f t="shared" si="113"/>
        <v>2024</v>
      </c>
    </row>
    <row r="3609" spans="1:7" x14ac:dyDescent="0.25">
      <c r="A3609">
        <v>4032902</v>
      </c>
      <c r="B3609" s="25">
        <v>45383</v>
      </c>
      <c r="C3609" t="s">
        <v>264</v>
      </c>
      <c r="D3609" s="6">
        <v>150.41400000000002</v>
      </c>
      <c r="E3609" s="9">
        <v>781.74</v>
      </c>
      <c r="F3609" t="str">
        <f t="shared" si="112"/>
        <v>abril</v>
      </c>
      <c r="G3609">
        <f t="shared" si="113"/>
        <v>2024</v>
      </c>
    </row>
    <row r="3610" spans="1:7" x14ac:dyDescent="0.25">
      <c r="A3610">
        <v>4033011</v>
      </c>
      <c r="B3610" s="25">
        <v>45383</v>
      </c>
      <c r="C3610" t="s">
        <v>266</v>
      </c>
      <c r="D3610" s="6">
        <v>-52.061</v>
      </c>
      <c r="E3610" s="9">
        <v>-306.55</v>
      </c>
      <c r="F3610" t="str">
        <f t="shared" si="112"/>
        <v>abril</v>
      </c>
      <c r="G3610">
        <f t="shared" si="113"/>
        <v>2024</v>
      </c>
    </row>
    <row r="3611" spans="1:7" x14ac:dyDescent="0.25">
      <c r="A3611">
        <v>4033111</v>
      </c>
      <c r="B3611" s="25">
        <v>45383</v>
      </c>
      <c r="C3611" t="s">
        <v>268</v>
      </c>
      <c r="D3611" s="6">
        <v>137.80000000000001</v>
      </c>
      <c r="E3611" s="9">
        <v>611.04</v>
      </c>
      <c r="F3611" t="str">
        <f t="shared" si="112"/>
        <v>abril</v>
      </c>
      <c r="G3611">
        <f t="shared" si="113"/>
        <v>2024</v>
      </c>
    </row>
    <row r="3612" spans="1:7" x14ac:dyDescent="0.25">
      <c r="A3612">
        <v>4033211</v>
      </c>
      <c r="B3612" s="25">
        <v>45383</v>
      </c>
      <c r="C3612" t="s">
        <v>270</v>
      </c>
      <c r="D3612" s="6">
        <v>69.89</v>
      </c>
      <c r="E3612" s="9">
        <v>298.67</v>
      </c>
      <c r="F3612" t="str">
        <f t="shared" si="112"/>
        <v>abril</v>
      </c>
      <c r="G3612">
        <f t="shared" si="113"/>
        <v>2024</v>
      </c>
    </row>
    <row r="3613" spans="1:7" x14ac:dyDescent="0.25">
      <c r="A3613">
        <v>4033311</v>
      </c>
      <c r="B3613" s="25">
        <v>45383</v>
      </c>
      <c r="C3613" t="s">
        <v>272</v>
      </c>
      <c r="D3613" s="6">
        <v>11.23</v>
      </c>
      <c r="E3613" s="9">
        <v>70.099999999999994</v>
      </c>
      <c r="F3613" t="str">
        <f t="shared" si="112"/>
        <v>abril</v>
      </c>
      <c r="G3613">
        <f t="shared" si="113"/>
        <v>2024</v>
      </c>
    </row>
    <row r="3614" spans="1:7" x14ac:dyDescent="0.25">
      <c r="A3614">
        <v>4033400</v>
      </c>
      <c r="B3614" s="25">
        <v>45383</v>
      </c>
      <c r="C3614" t="s">
        <v>274</v>
      </c>
      <c r="D3614" s="6">
        <v>539.06000000000006</v>
      </c>
      <c r="E3614" s="9">
        <v>1621.43</v>
      </c>
      <c r="F3614" t="str">
        <f t="shared" si="112"/>
        <v>abril</v>
      </c>
      <c r="G3614">
        <f t="shared" si="113"/>
        <v>2024</v>
      </c>
    </row>
    <row r="3615" spans="1:7" x14ac:dyDescent="0.25">
      <c r="A3615">
        <v>4033511</v>
      </c>
      <c r="B3615" s="25">
        <v>45383</v>
      </c>
      <c r="C3615" t="s">
        <v>276</v>
      </c>
      <c r="D3615" s="6">
        <v>1161.32</v>
      </c>
      <c r="E3615" s="9">
        <v>3743.03</v>
      </c>
      <c r="F3615" t="str">
        <f t="shared" si="112"/>
        <v>abril</v>
      </c>
      <c r="G3615">
        <f t="shared" si="113"/>
        <v>2024</v>
      </c>
    </row>
    <row r="3616" spans="1:7" x14ac:dyDescent="0.25">
      <c r="A3616">
        <v>4033900</v>
      </c>
      <c r="B3616" s="25">
        <v>45383</v>
      </c>
      <c r="C3616" t="s">
        <v>278</v>
      </c>
      <c r="D3616" s="6">
        <v>31.060000000000002</v>
      </c>
      <c r="E3616" s="9">
        <v>156.44</v>
      </c>
      <c r="F3616" t="str">
        <f t="shared" si="112"/>
        <v>abril</v>
      </c>
      <c r="G3616">
        <f t="shared" si="113"/>
        <v>2024</v>
      </c>
    </row>
    <row r="3617" spans="1:7" x14ac:dyDescent="0.25">
      <c r="A3617">
        <v>4034011</v>
      </c>
      <c r="B3617" s="25">
        <v>45383</v>
      </c>
      <c r="C3617" t="s">
        <v>280</v>
      </c>
      <c r="D3617" s="6">
        <v>454.65800000000002</v>
      </c>
      <c r="E3617" s="9">
        <v>2433.09</v>
      </c>
      <c r="F3617" t="str">
        <f t="shared" si="112"/>
        <v>abril</v>
      </c>
      <c r="G3617">
        <f t="shared" si="113"/>
        <v>2024</v>
      </c>
    </row>
    <row r="3618" spans="1:7" x14ac:dyDescent="0.25">
      <c r="A3618">
        <v>4034012</v>
      </c>
      <c r="B3618" s="25">
        <v>45383</v>
      </c>
      <c r="C3618" t="s">
        <v>863</v>
      </c>
      <c r="D3618" s="6">
        <v>1064.5</v>
      </c>
      <c r="E3618" s="9">
        <v>1379.66</v>
      </c>
      <c r="F3618" t="str">
        <f t="shared" si="112"/>
        <v>abril</v>
      </c>
      <c r="G3618">
        <f t="shared" si="113"/>
        <v>2024</v>
      </c>
    </row>
    <row r="3619" spans="1:7" x14ac:dyDescent="0.25">
      <c r="A3619">
        <v>4034211</v>
      </c>
      <c r="B3619" s="25">
        <v>45383</v>
      </c>
      <c r="C3619" t="s">
        <v>282</v>
      </c>
      <c r="D3619" s="6">
        <v>132.1</v>
      </c>
      <c r="E3619" s="9">
        <v>573.12</v>
      </c>
      <c r="F3619" t="str">
        <f t="shared" si="112"/>
        <v>abril</v>
      </c>
      <c r="G3619">
        <f t="shared" si="113"/>
        <v>2024</v>
      </c>
    </row>
    <row r="3620" spans="1:7" x14ac:dyDescent="0.25">
      <c r="A3620">
        <v>4034400</v>
      </c>
      <c r="B3620" s="25">
        <v>45383</v>
      </c>
      <c r="C3620" t="s">
        <v>284</v>
      </c>
      <c r="D3620" s="6">
        <v>154.31</v>
      </c>
      <c r="E3620" s="9">
        <v>405.35</v>
      </c>
      <c r="F3620" t="str">
        <f t="shared" si="112"/>
        <v>abril</v>
      </c>
      <c r="G3620">
        <f t="shared" si="113"/>
        <v>2024</v>
      </c>
    </row>
    <row r="3621" spans="1:7" x14ac:dyDescent="0.25">
      <c r="A3621">
        <v>4034502</v>
      </c>
      <c r="B3621" s="25">
        <v>45383</v>
      </c>
      <c r="C3621" t="s">
        <v>286</v>
      </c>
      <c r="D3621" s="6">
        <v>134.22800000000001</v>
      </c>
      <c r="E3621" s="9">
        <v>371.46</v>
      </c>
      <c r="F3621" t="str">
        <f t="shared" si="112"/>
        <v>abril</v>
      </c>
      <c r="G3621">
        <f t="shared" si="113"/>
        <v>2024</v>
      </c>
    </row>
    <row r="3622" spans="1:7" x14ac:dyDescent="0.25">
      <c r="A3622">
        <v>5020013</v>
      </c>
      <c r="B3622" s="25">
        <v>45383</v>
      </c>
      <c r="C3622" t="s">
        <v>12</v>
      </c>
      <c r="D3622" s="6">
        <v>7.7</v>
      </c>
      <c r="E3622" s="9">
        <v>11.55</v>
      </c>
      <c r="F3622" t="str">
        <f t="shared" si="112"/>
        <v>abril</v>
      </c>
      <c r="G3622">
        <f t="shared" si="113"/>
        <v>2024</v>
      </c>
    </row>
    <row r="3623" spans="1:7" x14ac:dyDescent="0.25">
      <c r="A3623">
        <v>5020031</v>
      </c>
      <c r="B3623" s="25">
        <v>45383</v>
      </c>
      <c r="C3623" t="s">
        <v>73</v>
      </c>
      <c r="D3623" s="6">
        <v>12</v>
      </c>
      <c r="E3623" s="9">
        <v>37.799999999999997</v>
      </c>
      <c r="F3623" t="str">
        <f t="shared" si="112"/>
        <v>abril</v>
      </c>
      <c r="G3623">
        <f t="shared" si="113"/>
        <v>2024</v>
      </c>
    </row>
    <row r="3624" spans="1:7" x14ac:dyDescent="0.25">
      <c r="A3624">
        <v>8030004</v>
      </c>
      <c r="B3624" s="25">
        <v>45383</v>
      </c>
      <c r="C3624" t="s">
        <v>697</v>
      </c>
      <c r="D3624" s="6">
        <v>8</v>
      </c>
      <c r="E3624" s="9">
        <v>80</v>
      </c>
      <c r="F3624" t="str">
        <f t="shared" si="112"/>
        <v>abril</v>
      </c>
      <c r="G3624">
        <f t="shared" si="113"/>
        <v>2024</v>
      </c>
    </row>
    <row r="3625" spans="1:7" x14ac:dyDescent="0.25">
      <c r="A3625">
        <v>8040008</v>
      </c>
      <c r="B3625" s="25">
        <v>45383</v>
      </c>
      <c r="C3625" t="s">
        <v>318</v>
      </c>
      <c r="D3625" s="6">
        <v>32</v>
      </c>
      <c r="E3625" s="9">
        <v>293.12</v>
      </c>
      <c r="F3625" t="str">
        <f t="shared" si="112"/>
        <v>abril</v>
      </c>
      <c r="G3625">
        <f t="shared" si="113"/>
        <v>2024</v>
      </c>
    </row>
    <row r="3626" spans="1:7" x14ac:dyDescent="0.25">
      <c r="A3626">
        <v>8040011</v>
      </c>
      <c r="B3626" s="25">
        <v>45383</v>
      </c>
      <c r="C3626" t="s">
        <v>560</v>
      </c>
      <c r="D3626" s="6">
        <v>92</v>
      </c>
      <c r="E3626" s="9">
        <v>412.78</v>
      </c>
      <c r="F3626" t="str">
        <f t="shared" si="112"/>
        <v>abril</v>
      </c>
      <c r="G3626">
        <f t="shared" si="113"/>
        <v>2024</v>
      </c>
    </row>
    <row r="3627" spans="1:7" x14ac:dyDescent="0.25">
      <c r="A3627">
        <v>8040033</v>
      </c>
      <c r="B3627" s="25">
        <v>45383</v>
      </c>
      <c r="C3627" t="s">
        <v>1015</v>
      </c>
      <c r="D3627" s="6">
        <v>594</v>
      </c>
      <c r="E3627" s="9">
        <v>6949.8</v>
      </c>
      <c r="F3627" t="str">
        <f t="shared" si="112"/>
        <v>abril</v>
      </c>
      <c r="G3627">
        <f t="shared" si="113"/>
        <v>2024</v>
      </c>
    </row>
    <row r="3628" spans="1:7" x14ac:dyDescent="0.25">
      <c r="A3628">
        <v>8040041</v>
      </c>
      <c r="B3628" s="25">
        <v>45383</v>
      </c>
      <c r="C3628" t="s">
        <v>568</v>
      </c>
      <c r="D3628" s="6">
        <v>864</v>
      </c>
      <c r="E3628" s="9">
        <v>2376</v>
      </c>
      <c r="F3628" t="str">
        <f t="shared" si="112"/>
        <v>abril</v>
      </c>
      <c r="G3628">
        <f t="shared" si="113"/>
        <v>2024</v>
      </c>
    </row>
    <row r="3629" spans="1:7" x14ac:dyDescent="0.25">
      <c r="A3629">
        <v>8040048</v>
      </c>
      <c r="B3629" s="25">
        <v>45383</v>
      </c>
      <c r="C3629" t="s">
        <v>699</v>
      </c>
      <c r="D3629" s="6">
        <v>373</v>
      </c>
      <c r="E3629" s="9">
        <v>968.49</v>
      </c>
      <c r="F3629" t="str">
        <f t="shared" si="112"/>
        <v>abril</v>
      </c>
      <c r="G3629">
        <f t="shared" si="113"/>
        <v>2024</v>
      </c>
    </row>
    <row r="3630" spans="1:7" x14ac:dyDescent="0.25">
      <c r="A3630">
        <v>8040049</v>
      </c>
      <c r="B3630" s="25">
        <v>45383</v>
      </c>
      <c r="C3630" t="s">
        <v>643</v>
      </c>
      <c r="D3630" s="6">
        <v>64</v>
      </c>
      <c r="E3630" s="9">
        <v>755.2</v>
      </c>
      <c r="F3630" t="str">
        <f t="shared" si="112"/>
        <v>abril</v>
      </c>
      <c r="G3630">
        <f t="shared" si="113"/>
        <v>2024</v>
      </c>
    </row>
    <row r="3631" spans="1:7" x14ac:dyDescent="0.25">
      <c r="A3631">
        <v>8040051</v>
      </c>
      <c r="B3631" s="25">
        <v>45383</v>
      </c>
      <c r="C3631" t="s">
        <v>644</v>
      </c>
      <c r="D3631" s="6">
        <v>1.8</v>
      </c>
      <c r="E3631" s="9">
        <v>19.350000000000001</v>
      </c>
      <c r="F3631" t="str">
        <f t="shared" si="112"/>
        <v>abril</v>
      </c>
      <c r="G3631">
        <f t="shared" si="113"/>
        <v>2024</v>
      </c>
    </row>
    <row r="3632" spans="1:7" x14ac:dyDescent="0.25">
      <c r="A3632">
        <v>8040053</v>
      </c>
      <c r="B3632" s="25">
        <v>45383</v>
      </c>
      <c r="C3632" t="s">
        <v>747</v>
      </c>
      <c r="D3632" s="6">
        <v>12.6</v>
      </c>
      <c r="E3632" s="9">
        <v>134.82</v>
      </c>
      <c r="F3632" t="str">
        <f t="shared" si="112"/>
        <v>abril</v>
      </c>
      <c r="G3632">
        <f t="shared" si="113"/>
        <v>2024</v>
      </c>
    </row>
    <row r="3633" spans="1:7" x14ac:dyDescent="0.25">
      <c r="A3633">
        <v>8040057</v>
      </c>
      <c r="B3633" s="25">
        <v>45383</v>
      </c>
      <c r="C3633" t="s">
        <v>734</v>
      </c>
      <c r="D3633" s="6">
        <v>0.4</v>
      </c>
      <c r="E3633" s="9">
        <v>1.92</v>
      </c>
      <c r="F3633" t="str">
        <f t="shared" si="112"/>
        <v>abril</v>
      </c>
      <c r="G3633">
        <f t="shared" si="113"/>
        <v>2024</v>
      </c>
    </row>
    <row r="3634" spans="1:7" x14ac:dyDescent="0.25">
      <c r="A3634">
        <v>8040060</v>
      </c>
      <c r="B3634" s="25">
        <v>45383</v>
      </c>
      <c r="C3634" t="s">
        <v>769</v>
      </c>
      <c r="D3634" s="6">
        <v>144</v>
      </c>
      <c r="E3634" s="9">
        <v>1872</v>
      </c>
      <c r="F3634" t="str">
        <f t="shared" si="112"/>
        <v>abril</v>
      </c>
      <c r="G3634">
        <f t="shared" si="113"/>
        <v>2024</v>
      </c>
    </row>
    <row r="3635" spans="1:7" x14ac:dyDescent="0.25">
      <c r="A3635">
        <v>8040067</v>
      </c>
      <c r="B3635" s="25">
        <v>45383</v>
      </c>
      <c r="C3635" t="s">
        <v>983</v>
      </c>
      <c r="D3635" s="6">
        <v>32</v>
      </c>
      <c r="E3635" s="9">
        <v>512</v>
      </c>
      <c r="F3635" t="str">
        <f t="shared" si="112"/>
        <v>abril</v>
      </c>
      <c r="G3635">
        <f t="shared" si="113"/>
        <v>2024</v>
      </c>
    </row>
    <row r="3636" spans="1:7" x14ac:dyDescent="0.25">
      <c r="A3636">
        <v>8040068</v>
      </c>
      <c r="B3636" s="25">
        <v>45383</v>
      </c>
      <c r="C3636" t="s">
        <v>1016</v>
      </c>
      <c r="D3636" s="6">
        <v>60</v>
      </c>
      <c r="E3636" s="9">
        <v>477</v>
      </c>
      <c r="F3636" t="str">
        <f t="shared" si="112"/>
        <v>abril</v>
      </c>
      <c r="G3636">
        <f t="shared" si="113"/>
        <v>2024</v>
      </c>
    </row>
    <row r="3637" spans="1:7" x14ac:dyDescent="0.25">
      <c r="A3637">
        <v>8050004</v>
      </c>
      <c r="B3637" s="25">
        <v>45383</v>
      </c>
      <c r="C3637" t="s">
        <v>324</v>
      </c>
      <c r="D3637" s="6">
        <v>4</v>
      </c>
      <c r="E3637" s="9">
        <v>21.8</v>
      </c>
      <c r="F3637" t="str">
        <f t="shared" si="112"/>
        <v>abril</v>
      </c>
      <c r="G3637">
        <f t="shared" si="113"/>
        <v>2024</v>
      </c>
    </row>
    <row r="3638" spans="1:7" x14ac:dyDescent="0.25">
      <c r="A3638">
        <v>8050008</v>
      </c>
      <c r="B3638" s="25">
        <v>45383</v>
      </c>
      <c r="C3638" t="s">
        <v>651</v>
      </c>
      <c r="D3638" s="6">
        <v>100</v>
      </c>
      <c r="E3638" s="9">
        <v>414.58</v>
      </c>
      <c r="F3638" t="str">
        <f t="shared" si="112"/>
        <v>abril</v>
      </c>
      <c r="G3638">
        <f t="shared" si="113"/>
        <v>2024</v>
      </c>
    </row>
    <row r="3639" spans="1:7" x14ac:dyDescent="0.25">
      <c r="A3639">
        <v>8060003</v>
      </c>
      <c r="B3639" s="25">
        <v>45383</v>
      </c>
      <c r="C3639" t="s">
        <v>771</v>
      </c>
      <c r="D3639" s="6">
        <v>216</v>
      </c>
      <c r="E3639" s="9">
        <v>1058.4000000000001</v>
      </c>
      <c r="F3639" t="str">
        <f t="shared" si="112"/>
        <v>abril</v>
      </c>
      <c r="G3639">
        <f t="shared" si="113"/>
        <v>2024</v>
      </c>
    </row>
    <row r="3640" spans="1:7" x14ac:dyDescent="0.25">
      <c r="A3640">
        <v>8070013</v>
      </c>
      <c r="B3640" s="25">
        <v>45383</v>
      </c>
      <c r="C3640" t="s">
        <v>986</v>
      </c>
      <c r="D3640" s="6">
        <v>6.38</v>
      </c>
      <c r="E3640" s="9">
        <v>37</v>
      </c>
      <c r="F3640" t="str">
        <f t="shared" si="112"/>
        <v>abril</v>
      </c>
      <c r="G3640">
        <f t="shared" si="113"/>
        <v>2024</v>
      </c>
    </row>
    <row r="3641" spans="1:7" x14ac:dyDescent="0.25">
      <c r="A3641">
        <v>8070015</v>
      </c>
      <c r="B3641" s="25">
        <v>45383</v>
      </c>
      <c r="C3641" t="s">
        <v>373</v>
      </c>
      <c r="D3641" s="6">
        <v>5.6000000000000005</v>
      </c>
      <c r="E3641" s="9">
        <v>11.14</v>
      </c>
      <c r="F3641" t="str">
        <f t="shared" si="112"/>
        <v>abril</v>
      </c>
      <c r="G3641">
        <f t="shared" si="113"/>
        <v>2024</v>
      </c>
    </row>
    <row r="3642" spans="1:7" x14ac:dyDescent="0.25">
      <c r="A3642">
        <v>8070016</v>
      </c>
      <c r="B3642" s="25">
        <v>45383</v>
      </c>
      <c r="C3642" t="s">
        <v>395</v>
      </c>
      <c r="D3642" s="6">
        <v>1800</v>
      </c>
      <c r="E3642" s="9">
        <v>10252.799999999999</v>
      </c>
      <c r="F3642" t="str">
        <f t="shared" si="112"/>
        <v>abril</v>
      </c>
      <c r="G3642">
        <f t="shared" si="113"/>
        <v>2024</v>
      </c>
    </row>
    <row r="3643" spans="1:7" x14ac:dyDescent="0.25">
      <c r="A3643">
        <v>8070018</v>
      </c>
      <c r="B3643" s="25">
        <v>45383</v>
      </c>
      <c r="C3643" t="s">
        <v>397</v>
      </c>
      <c r="D3643" s="6">
        <v>9.7799999999999994</v>
      </c>
      <c r="E3643" s="9">
        <v>37.56</v>
      </c>
      <c r="F3643" t="str">
        <f t="shared" si="112"/>
        <v>abril</v>
      </c>
      <c r="G3643">
        <f t="shared" si="113"/>
        <v>2024</v>
      </c>
    </row>
    <row r="3644" spans="1:7" x14ac:dyDescent="0.25">
      <c r="A3644">
        <v>8070026</v>
      </c>
      <c r="B3644" s="25">
        <v>45383</v>
      </c>
      <c r="C3644" t="s">
        <v>584</v>
      </c>
      <c r="D3644" s="6">
        <v>3080</v>
      </c>
      <c r="E3644" s="9">
        <v>9414</v>
      </c>
      <c r="F3644" t="str">
        <f t="shared" si="112"/>
        <v>abril</v>
      </c>
      <c r="G3644">
        <f t="shared" si="113"/>
        <v>2024</v>
      </c>
    </row>
    <row r="3645" spans="1:7" x14ac:dyDescent="0.25">
      <c r="A3645">
        <v>8070052</v>
      </c>
      <c r="B3645" s="25">
        <v>45383</v>
      </c>
      <c r="C3645" t="s">
        <v>751</v>
      </c>
      <c r="D3645" s="6">
        <v>1.5</v>
      </c>
      <c r="E3645" s="9">
        <v>4.82</v>
      </c>
      <c r="F3645" t="str">
        <f t="shared" si="112"/>
        <v>abril</v>
      </c>
      <c r="G3645">
        <f t="shared" si="113"/>
        <v>2024</v>
      </c>
    </row>
    <row r="3646" spans="1:7" x14ac:dyDescent="0.25">
      <c r="A3646">
        <v>8070054</v>
      </c>
      <c r="B3646" s="25">
        <v>45383</v>
      </c>
      <c r="C3646" t="s">
        <v>662</v>
      </c>
      <c r="D3646" s="6">
        <v>0.66</v>
      </c>
      <c r="E3646" s="9">
        <v>4.96</v>
      </c>
      <c r="F3646" t="str">
        <f t="shared" si="112"/>
        <v>abril</v>
      </c>
      <c r="G3646">
        <f t="shared" si="113"/>
        <v>2024</v>
      </c>
    </row>
    <row r="3647" spans="1:7" x14ac:dyDescent="0.25">
      <c r="A3647">
        <v>8070060</v>
      </c>
      <c r="B3647" s="25">
        <v>45383</v>
      </c>
      <c r="C3647" t="s">
        <v>701</v>
      </c>
      <c r="D3647" s="6">
        <v>17788</v>
      </c>
      <c r="E3647" s="9">
        <v>35899</v>
      </c>
      <c r="F3647" t="str">
        <f t="shared" si="112"/>
        <v>abril</v>
      </c>
      <c r="G3647">
        <f t="shared" si="113"/>
        <v>2024</v>
      </c>
    </row>
    <row r="3648" spans="1:7" x14ac:dyDescent="0.25">
      <c r="A3648">
        <v>8070061</v>
      </c>
      <c r="B3648" s="25">
        <v>45383</v>
      </c>
      <c r="C3648" t="s">
        <v>752</v>
      </c>
      <c r="D3648" s="6">
        <v>3370</v>
      </c>
      <c r="E3648" s="9">
        <v>7078</v>
      </c>
      <c r="F3648" t="str">
        <f t="shared" si="112"/>
        <v>abril</v>
      </c>
      <c r="G3648">
        <f t="shared" si="113"/>
        <v>2024</v>
      </c>
    </row>
    <row r="3649" spans="1:7" x14ac:dyDescent="0.25">
      <c r="A3649">
        <v>8070063</v>
      </c>
      <c r="B3649" s="25">
        <v>45383</v>
      </c>
      <c r="C3649" t="s">
        <v>988</v>
      </c>
      <c r="D3649" s="6">
        <v>1490</v>
      </c>
      <c r="E3649" s="9">
        <v>4503.8</v>
      </c>
      <c r="F3649" t="str">
        <f t="shared" si="112"/>
        <v>abril</v>
      </c>
      <c r="G3649">
        <f t="shared" si="113"/>
        <v>2024</v>
      </c>
    </row>
    <row r="3650" spans="1:7" x14ac:dyDescent="0.25">
      <c r="A3650">
        <v>8070069</v>
      </c>
      <c r="B3650" s="25">
        <v>45383</v>
      </c>
      <c r="C3650" t="s">
        <v>774</v>
      </c>
      <c r="D3650" s="6">
        <v>14</v>
      </c>
      <c r="E3650" s="9">
        <v>16.8</v>
      </c>
      <c r="F3650" t="str">
        <f t="shared" si="112"/>
        <v>abril</v>
      </c>
      <c r="G3650">
        <f t="shared" si="113"/>
        <v>2024</v>
      </c>
    </row>
    <row r="3651" spans="1:7" x14ac:dyDescent="0.25">
      <c r="A3651">
        <v>8120002</v>
      </c>
      <c r="B3651" s="25">
        <v>45383</v>
      </c>
      <c r="C3651" t="s">
        <v>501</v>
      </c>
      <c r="D3651" s="6">
        <v>2</v>
      </c>
      <c r="E3651" s="9">
        <v>8.1999999999999993</v>
      </c>
      <c r="F3651" t="str">
        <f t="shared" ref="F3651:F3685" si="114">TEXT(B3651,"mmmm")</f>
        <v>abril</v>
      </c>
      <c r="G3651">
        <f t="shared" ref="G3651:G3685" si="115">YEAR(B3651)</f>
        <v>2024</v>
      </c>
    </row>
    <row r="3652" spans="1:7" x14ac:dyDescent="0.25">
      <c r="A3652">
        <v>8120003</v>
      </c>
      <c r="B3652" s="25">
        <v>45383</v>
      </c>
      <c r="C3652" t="s">
        <v>376</v>
      </c>
      <c r="D3652" s="6">
        <v>238</v>
      </c>
      <c r="E3652" s="9">
        <v>618.79999999999995</v>
      </c>
      <c r="F3652" t="str">
        <f t="shared" si="114"/>
        <v>abril</v>
      </c>
      <c r="G3652">
        <f t="shared" si="115"/>
        <v>2024</v>
      </c>
    </row>
    <row r="3653" spans="1:7" x14ac:dyDescent="0.25">
      <c r="A3653">
        <v>8120004</v>
      </c>
      <c r="B3653" s="25">
        <v>45383</v>
      </c>
      <c r="C3653" t="s">
        <v>406</v>
      </c>
      <c r="D3653" s="6">
        <v>9.8000000000000007</v>
      </c>
      <c r="E3653" s="9">
        <v>60.07</v>
      </c>
      <c r="F3653" t="str">
        <f t="shared" si="114"/>
        <v>abril</v>
      </c>
      <c r="G3653">
        <f t="shared" si="115"/>
        <v>2024</v>
      </c>
    </row>
    <row r="3654" spans="1:7" x14ac:dyDescent="0.25">
      <c r="A3654">
        <v>8120006</v>
      </c>
      <c r="B3654" s="25">
        <v>45383</v>
      </c>
      <c r="C3654" t="s">
        <v>408</v>
      </c>
      <c r="D3654" s="6">
        <v>15.83</v>
      </c>
      <c r="E3654" s="9">
        <v>125.06</v>
      </c>
      <c r="F3654" t="str">
        <f t="shared" si="114"/>
        <v>abril</v>
      </c>
      <c r="G3654">
        <f t="shared" si="115"/>
        <v>2024</v>
      </c>
    </row>
    <row r="3655" spans="1:7" x14ac:dyDescent="0.25">
      <c r="A3655">
        <v>8120007</v>
      </c>
      <c r="B3655" s="25">
        <v>45383</v>
      </c>
      <c r="C3655" t="s">
        <v>377</v>
      </c>
      <c r="D3655" s="6">
        <v>-1063.1300000000001</v>
      </c>
      <c r="E3655" s="9">
        <v>-8499.68</v>
      </c>
      <c r="F3655" t="str">
        <f t="shared" si="114"/>
        <v>abril</v>
      </c>
      <c r="G3655">
        <f t="shared" si="115"/>
        <v>2024</v>
      </c>
    </row>
    <row r="3656" spans="1:7" x14ac:dyDescent="0.25">
      <c r="A3656">
        <v>8120008</v>
      </c>
      <c r="B3656" s="25">
        <v>45383</v>
      </c>
      <c r="C3656" t="s">
        <v>409</v>
      </c>
      <c r="D3656" s="6">
        <v>-454.75</v>
      </c>
      <c r="E3656" s="9">
        <v>-4209.63</v>
      </c>
      <c r="F3656" t="str">
        <f t="shared" si="114"/>
        <v>abril</v>
      </c>
      <c r="G3656">
        <f t="shared" si="115"/>
        <v>2024</v>
      </c>
    </row>
    <row r="3657" spans="1:7" x14ac:dyDescent="0.25">
      <c r="A3657">
        <v>8120031</v>
      </c>
      <c r="B3657" s="25">
        <v>45383</v>
      </c>
      <c r="C3657" t="s">
        <v>782</v>
      </c>
      <c r="D3657" s="6">
        <v>10</v>
      </c>
      <c r="E3657" s="9">
        <v>42</v>
      </c>
      <c r="F3657" t="str">
        <f t="shared" si="114"/>
        <v>abril</v>
      </c>
      <c r="G3657">
        <f t="shared" si="115"/>
        <v>2024</v>
      </c>
    </row>
    <row r="3658" spans="1:7" x14ac:dyDescent="0.25">
      <c r="A3658">
        <v>8120038</v>
      </c>
      <c r="B3658" s="25">
        <v>45383</v>
      </c>
      <c r="C3658" t="s">
        <v>1017</v>
      </c>
      <c r="D3658" s="6">
        <v>100</v>
      </c>
      <c r="E3658" s="9">
        <v>584</v>
      </c>
      <c r="F3658" t="str">
        <f t="shared" si="114"/>
        <v>abril</v>
      </c>
      <c r="G3658">
        <f t="shared" si="115"/>
        <v>2024</v>
      </c>
    </row>
    <row r="3659" spans="1:7" x14ac:dyDescent="0.25">
      <c r="A3659">
        <v>8120039</v>
      </c>
      <c r="B3659" s="25">
        <v>45383</v>
      </c>
      <c r="C3659" t="s">
        <v>755</v>
      </c>
      <c r="D3659" s="6">
        <v>100</v>
      </c>
      <c r="E3659" s="9">
        <v>470</v>
      </c>
      <c r="F3659" t="str">
        <f t="shared" si="114"/>
        <v>abril</v>
      </c>
      <c r="G3659">
        <f t="shared" si="115"/>
        <v>2024</v>
      </c>
    </row>
    <row r="3660" spans="1:7" x14ac:dyDescent="0.25">
      <c r="A3660">
        <v>8120040</v>
      </c>
      <c r="B3660" s="25">
        <v>45383</v>
      </c>
      <c r="C3660" t="s">
        <v>756</v>
      </c>
      <c r="D3660" s="6">
        <v>960</v>
      </c>
      <c r="E3660" s="9">
        <v>3936</v>
      </c>
      <c r="F3660" t="str">
        <f t="shared" si="114"/>
        <v>abril</v>
      </c>
      <c r="G3660">
        <f t="shared" si="115"/>
        <v>2024</v>
      </c>
    </row>
    <row r="3661" spans="1:7" x14ac:dyDescent="0.25">
      <c r="A3661">
        <v>8120052</v>
      </c>
      <c r="B3661" s="25">
        <v>45383</v>
      </c>
      <c r="C3661" t="s">
        <v>783</v>
      </c>
      <c r="D3661" s="6">
        <v>28</v>
      </c>
      <c r="E3661" s="9">
        <v>96.6</v>
      </c>
      <c r="F3661" t="str">
        <f t="shared" si="114"/>
        <v>abril</v>
      </c>
      <c r="G3661">
        <f t="shared" si="115"/>
        <v>2024</v>
      </c>
    </row>
    <row r="3662" spans="1:7" x14ac:dyDescent="0.25">
      <c r="A3662">
        <v>8130001</v>
      </c>
      <c r="B3662" s="25">
        <v>45383</v>
      </c>
      <c r="C3662" t="s">
        <v>380</v>
      </c>
      <c r="D3662" s="6">
        <v>1</v>
      </c>
      <c r="E3662" s="9">
        <v>2.2599999999999998</v>
      </c>
      <c r="F3662" t="str">
        <f t="shared" si="114"/>
        <v>abril</v>
      </c>
      <c r="G3662">
        <f t="shared" si="115"/>
        <v>2024</v>
      </c>
    </row>
    <row r="3663" spans="1:7" x14ac:dyDescent="0.25">
      <c r="A3663">
        <v>8130009</v>
      </c>
      <c r="B3663" s="25">
        <v>45383</v>
      </c>
      <c r="C3663" t="s">
        <v>738</v>
      </c>
      <c r="D3663" s="6">
        <v>186</v>
      </c>
      <c r="E3663" s="9">
        <v>329.76</v>
      </c>
      <c r="F3663" t="str">
        <f t="shared" si="114"/>
        <v>abril</v>
      </c>
      <c r="G3663">
        <f t="shared" si="115"/>
        <v>2024</v>
      </c>
    </row>
    <row r="3664" spans="1:7" x14ac:dyDescent="0.25">
      <c r="A3664">
        <v>8130014</v>
      </c>
      <c r="B3664" s="25">
        <v>45383</v>
      </c>
      <c r="C3664" t="s">
        <v>417</v>
      </c>
      <c r="D3664" s="6">
        <v>64</v>
      </c>
      <c r="E3664" s="9">
        <v>252</v>
      </c>
      <c r="F3664" t="str">
        <f t="shared" si="114"/>
        <v>abril</v>
      </c>
      <c r="G3664">
        <f t="shared" si="115"/>
        <v>2024</v>
      </c>
    </row>
    <row r="3665" spans="1:7" x14ac:dyDescent="0.25">
      <c r="A3665">
        <v>8130015</v>
      </c>
      <c r="B3665" s="25">
        <v>45383</v>
      </c>
      <c r="C3665" t="s">
        <v>622</v>
      </c>
      <c r="D3665" s="6">
        <v>24</v>
      </c>
      <c r="E3665" s="9">
        <v>85.2</v>
      </c>
      <c r="F3665" t="str">
        <f t="shared" si="114"/>
        <v>abril</v>
      </c>
      <c r="G3665">
        <f t="shared" si="115"/>
        <v>2024</v>
      </c>
    </row>
    <row r="3666" spans="1:7" x14ac:dyDescent="0.25">
      <c r="A3666">
        <v>8130017</v>
      </c>
      <c r="B3666" s="25">
        <v>45383</v>
      </c>
      <c r="C3666" t="s">
        <v>795</v>
      </c>
      <c r="D3666" s="6">
        <v>90</v>
      </c>
      <c r="E3666" s="9">
        <v>252.9</v>
      </c>
      <c r="F3666" t="str">
        <f t="shared" si="114"/>
        <v>abril</v>
      </c>
      <c r="G3666">
        <f t="shared" si="115"/>
        <v>2024</v>
      </c>
    </row>
    <row r="3667" spans="1:7" x14ac:dyDescent="0.25">
      <c r="A3667">
        <v>8140006</v>
      </c>
      <c r="B3667" s="25">
        <v>45383</v>
      </c>
      <c r="C3667" t="s">
        <v>423</v>
      </c>
      <c r="D3667" s="6">
        <v>5</v>
      </c>
      <c r="E3667" s="9">
        <v>11.6</v>
      </c>
      <c r="F3667" t="str">
        <f t="shared" si="114"/>
        <v>abril</v>
      </c>
      <c r="G3667">
        <f t="shared" si="115"/>
        <v>2024</v>
      </c>
    </row>
    <row r="3668" spans="1:7" x14ac:dyDescent="0.25">
      <c r="A3668">
        <v>8140010</v>
      </c>
      <c r="B3668" s="25">
        <v>45383</v>
      </c>
      <c r="C3668" t="s">
        <v>424</v>
      </c>
      <c r="D3668" s="6">
        <v>5450</v>
      </c>
      <c r="E3668" s="9">
        <v>10738.5</v>
      </c>
      <c r="F3668" t="str">
        <f t="shared" si="114"/>
        <v>abril</v>
      </c>
      <c r="G3668">
        <f t="shared" si="115"/>
        <v>2024</v>
      </c>
    </row>
    <row r="3669" spans="1:7" x14ac:dyDescent="0.25">
      <c r="A3669">
        <v>8140013</v>
      </c>
      <c r="B3669" s="25">
        <v>45383</v>
      </c>
      <c r="C3669" t="s">
        <v>674</v>
      </c>
      <c r="D3669" s="6">
        <v>1683</v>
      </c>
      <c r="E3669" s="9">
        <v>902.03</v>
      </c>
      <c r="F3669" t="str">
        <f t="shared" si="114"/>
        <v>abril</v>
      </c>
      <c r="G3669">
        <f t="shared" si="115"/>
        <v>2024</v>
      </c>
    </row>
    <row r="3670" spans="1:7" x14ac:dyDescent="0.25">
      <c r="A3670">
        <v>8140014</v>
      </c>
      <c r="B3670" s="25">
        <v>45383</v>
      </c>
      <c r="C3670" t="s">
        <v>675</v>
      </c>
      <c r="D3670" s="6">
        <v>100</v>
      </c>
      <c r="E3670" s="9">
        <v>89</v>
      </c>
      <c r="F3670" t="str">
        <f t="shared" si="114"/>
        <v>abril</v>
      </c>
      <c r="G3670">
        <f t="shared" si="115"/>
        <v>2024</v>
      </c>
    </row>
    <row r="3671" spans="1:7" x14ac:dyDescent="0.25">
      <c r="A3671">
        <v>8140015</v>
      </c>
      <c r="B3671" s="25">
        <v>45383</v>
      </c>
      <c r="C3671" t="s">
        <v>676</v>
      </c>
      <c r="D3671" s="6">
        <v>1200</v>
      </c>
      <c r="E3671" s="9">
        <v>1082</v>
      </c>
      <c r="F3671" t="str">
        <f t="shared" si="114"/>
        <v>abril</v>
      </c>
      <c r="G3671">
        <f t="shared" si="115"/>
        <v>2024</v>
      </c>
    </row>
    <row r="3672" spans="1:7" x14ac:dyDescent="0.25">
      <c r="A3672">
        <v>8140016</v>
      </c>
      <c r="B3672" s="25">
        <v>45383</v>
      </c>
      <c r="C3672" t="s">
        <v>677</v>
      </c>
      <c r="D3672" s="6">
        <v>1006</v>
      </c>
      <c r="E3672" s="9">
        <v>3475.54</v>
      </c>
      <c r="F3672" t="str">
        <f t="shared" si="114"/>
        <v>abril</v>
      </c>
      <c r="G3672">
        <f t="shared" si="115"/>
        <v>2024</v>
      </c>
    </row>
    <row r="3673" spans="1:7" x14ac:dyDescent="0.25">
      <c r="A3673">
        <v>8140025</v>
      </c>
      <c r="B3673" s="25">
        <v>45383</v>
      </c>
      <c r="C3673" t="s">
        <v>1018</v>
      </c>
      <c r="D3673" s="6">
        <v>16.2</v>
      </c>
      <c r="E3673" s="9">
        <v>84.24</v>
      </c>
      <c r="F3673" t="str">
        <f t="shared" si="114"/>
        <v>abril</v>
      </c>
      <c r="G3673">
        <f t="shared" si="115"/>
        <v>2024</v>
      </c>
    </row>
    <row r="3674" spans="1:7" x14ac:dyDescent="0.25">
      <c r="A3674">
        <v>8140027</v>
      </c>
      <c r="B3674" s="25">
        <v>45383</v>
      </c>
      <c r="C3674" t="s">
        <v>1019</v>
      </c>
      <c r="D3674" s="6">
        <v>18</v>
      </c>
      <c r="E3674" s="9">
        <v>75.599999999999994</v>
      </c>
      <c r="F3674" t="str">
        <f t="shared" si="114"/>
        <v>abril</v>
      </c>
      <c r="G3674">
        <f t="shared" si="115"/>
        <v>2024</v>
      </c>
    </row>
    <row r="3675" spans="1:7" x14ac:dyDescent="0.25">
      <c r="A3675">
        <v>8150001</v>
      </c>
      <c r="B3675" s="25">
        <v>45383</v>
      </c>
      <c r="C3675" t="s">
        <v>382</v>
      </c>
      <c r="D3675" s="6">
        <v>270</v>
      </c>
      <c r="E3675" s="9">
        <v>3280.5</v>
      </c>
      <c r="F3675" t="str">
        <f t="shared" si="114"/>
        <v>abril</v>
      </c>
      <c r="G3675">
        <f t="shared" si="115"/>
        <v>2024</v>
      </c>
    </row>
    <row r="3676" spans="1:7" x14ac:dyDescent="0.25">
      <c r="A3676">
        <v>8150002</v>
      </c>
      <c r="B3676" s="25">
        <v>45383</v>
      </c>
      <c r="C3676" t="s">
        <v>383</v>
      </c>
      <c r="D3676" s="6">
        <v>1173.75</v>
      </c>
      <c r="E3676" s="9">
        <v>9149.99</v>
      </c>
      <c r="F3676" t="str">
        <f t="shared" si="114"/>
        <v>abril</v>
      </c>
      <c r="G3676">
        <f t="shared" si="115"/>
        <v>2024</v>
      </c>
    </row>
    <row r="3677" spans="1:7" x14ac:dyDescent="0.25">
      <c r="A3677">
        <v>8150004</v>
      </c>
      <c r="B3677" s="25">
        <v>45383</v>
      </c>
      <c r="C3677" t="s">
        <v>625</v>
      </c>
      <c r="D3677" s="6">
        <v>2320.75</v>
      </c>
      <c r="E3677" s="9">
        <v>13468.53</v>
      </c>
      <c r="F3677" t="str">
        <f t="shared" si="114"/>
        <v>abril</v>
      </c>
      <c r="G3677">
        <f t="shared" si="115"/>
        <v>2024</v>
      </c>
    </row>
    <row r="3678" spans="1:7" x14ac:dyDescent="0.25">
      <c r="A3678">
        <v>8150005</v>
      </c>
      <c r="B3678" s="25">
        <v>45383</v>
      </c>
      <c r="C3678" t="s">
        <v>386</v>
      </c>
      <c r="D3678" s="6">
        <v>2240</v>
      </c>
      <c r="E3678" s="9">
        <v>11424</v>
      </c>
      <c r="F3678" t="str">
        <f t="shared" si="114"/>
        <v>abril</v>
      </c>
      <c r="G3678">
        <f t="shared" si="115"/>
        <v>2024</v>
      </c>
    </row>
    <row r="3679" spans="1:7" x14ac:dyDescent="0.25">
      <c r="A3679">
        <v>8150012</v>
      </c>
      <c r="B3679" s="25">
        <v>45383</v>
      </c>
      <c r="C3679" t="s">
        <v>626</v>
      </c>
      <c r="D3679" s="6">
        <v>1</v>
      </c>
      <c r="E3679" s="9">
        <v>5.49</v>
      </c>
      <c r="F3679" t="str">
        <f t="shared" si="114"/>
        <v>abril</v>
      </c>
      <c r="G3679">
        <f t="shared" si="115"/>
        <v>2024</v>
      </c>
    </row>
    <row r="3680" spans="1:7" x14ac:dyDescent="0.25">
      <c r="A3680">
        <v>8150013</v>
      </c>
      <c r="B3680" s="25">
        <v>45383</v>
      </c>
      <c r="C3680" t="s">
        <v>536</v>
      </c>
      <c r="D3680" s="6">
        <v>1290</v>
      </c>
      <c r="E3680" s="9">
        <v>5293</v>
      </c>
      <c r="F3680" t="str">
        <f t="shared" si="114"/>
        <v>abril</v>
      </c>
      <c r="G3680">
        <f t="shared" si="115"/>
        <v>2024</v>
      </c>
    </row>
    <row r="3681" spans="1:7" x14ac:dyDescent="0.25">
      <c r="A3681">
        <v>8150014</v>
      </c>
      <c r="B3681" s="25">
        <v>45383</v>
      </c>
      <c r="C3681" t="s">
        <v>538</v>
      </c>
      <c r="D3681" s="6">
        <v>37</v>
      </c>
      <c r="E3681" s="9">
        <v>149.85</v>
      </c>
      <c r="F3681" t="str">
        <f t="shared" si="114"/>
        <v>abril</v>
      </c>
      <c r="G3681">
        <f t="shared" si="115"/>
        <v>2024</v>
      </c>
    </row>
    <row r="3682" spans="1:7" x14ac:dyDescent="0.25">
      <c r="A3682">
        <v>8150015</v>
      </c>
      <c r="B3682" s="25">
        <v>45383</v>
      </c>
      <c r="C3682" t="s">
        <v>628</v>
      </c>
      <c r="D3682" s="6">
        <v>860</v>
      </c>
      <c r="E3682" s="9">
        <v>2838</v>
      </c>
      <c r="F3682" t="str">
        <f t="shared" si="114"/>
        <v>abril</v>
      </c>
      <c r="G3682">
        <f t="shared" si="115"/>
        <v>2024</v>
      </c>
    </row>
    <row r="3683" spans="1:7" x14ac:dyDescent="0.25">
      <c r="A3683">
        <v>8150020</v>
      </c>
      <c r="B3683" s="25">
        <v>45383</v>
      </c>
      <c r="C3683" t="s">
        <v>706</v>
      </c>
      <c r="D3683" s="6">
        <v>1171</v>
      </c>
      <c r="E3683" s="9">
        <v>9338.36</v>
      </c>
      <c r="F3683" t="str">
        <f t="shared" si="114"/>
        <v>abril</v>
      </c>
      <c r="G3683">
        <f t="shared" si="115"/>
        <v>2024</v>
      </c>
    </row>
    <row r="3684" spans="1:7" x14ac:dyDescent="0.25">
      <c r="A3684">
        <v>8150021</v>
      </c>
      <c r="B3684" s="25">
        <v>45383</v>
      </c>
      <c r="C3684" t="s">
        <v>739</v>
      </c>
      <c r="D3684" s="6">
        <v>1030</v>
      </c>
      <c r="E3684" s="9">
        <v>7467.5</v>
      </c>
      <c r="F3684" t="str">
        <f t="shared" si="114"/>
        <v>abril</v>
      </c>
      <c r="G3684">
        <f t="shared" si="115"/>
        <v>2024</v>
      </c>
    </row>
    <row r="3685" spans="1:7" x14ac:dyDescent="0.25">
      <c r="A3685">
        <v>8150027</v>
      </c>
      <c r="B3685" s="25">
        <v>45383</v>
      </c>
      <c r="C3685" t="s">
        <v>991</v>
      </c>
      <c r="D3685" s="6">
        <v>1120</v>
      </c>
      <c r="E3685" s="9">
        <v>4816</v>
      </c>
      <c r="F3685" t="str">
        <f t="shared" si="114"/>
        <v>abril</v>
      </c>
      <c r="G3685">
        <f t="shared" si="115"/>
        <v>2024</v>
      </c>
    </row>
  </sheetData>
  <autoFilter ref="A1:G3685" xr:uid="{0B432879-3959-4D46-AF6F-E107CCF79358}"/>
  <phoneticPr fontId="1" type="noConversion"/>
  <pageMargins left="0.7" right="0.7" top="0.75" bottom="0.75" header="0.3" footer="0.3"/>
  <pageSetup orientation="portrait" r:id="rId1"/>
  <ignoredErrors>
    <ignoredError sqref="A2:A2652 A2653:A29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D2A4-CC5E-4B1C-BA04-66205C09A336}">
  <dimension ref="A1:L3835"/>
  <sheetViews>
    <sheetView showGridLines="0" workbookViewId="0">
      <selection activeCell="A3054" sqref="A3054:F3835"/>
    </sheetView>
  </sheetViews>
  <sheetFormatPr defaultRowHeight="15" x14ac:dyDescent="0.25"/>
  <cols>
    <col min="1" max="1" width="9.7109375" customWidth="1"/>
    <col min="3" max="3" width="34.85546875" customWidth="1"/>
    <col min="4" max="4" width="10.42578125" style="6" customWidth="1"/>
    <col min="5" max="5" width="12.7109375" style="9" customWidth="1"/>
    <col min="6" max="6" width="8.85546875" style="15"/>
    <col min="8" max="8" width="20.7109375" style="21" bestFit="1" customWidth="1"/>
    <col min="9" max="9" width="32" customWidth="1"/>
    <col min="10" max="10" width="11.140625" customWidth="1"/>
    <col min="11" max="11" width="8.85546875" style="14"/>
  </cols>
  <sheetData>
    <row r="1" spans="1:12" x14ac:dyDescent="0.25">
      <c r="A1" t="s">
        <v>0</v>
      </c>
      <c r="B1" t="s">
        <v>1</v>
      </c>
      <c r="C1" t="s">
        <v>2</v>
      </c>
      <c r="D1" s="6" t="s">
        <v>3</v>
      </c>
      <c r="E1" s="9" t="s">
        <v>4</v>
      </c>
      <c r="F1" s="20" t="s">
        <v>895</v>
      </c>
      <c r="H1" s="26" t="s">
        <v>2</v>
      </c>
      <c r="J1" s="14"/>
    </row>
    <row r="2" spans="1:12" x14ac:dyDescent="0.25">
      <c r="A2" s="21" t="s">
        <v>5</v>
      </c>
      <c r="B2" s="1">
        <v>44896</v>
      </c>
      <c r="C2" t="s">
        <v>6</v>
      </c>
      <c r="D2" s="6">
        <v>628.79999999999995</v>
      </c>
      <c r="E2" s="9">
        <v>328.44</v>
      </c>
      <c r="F2" s="15">
        <f>IFERROR(PRD[[#This Row],[VALOR]]/PRD[[#This Row],[KGS]],"")</f>
        <v>0.52232824427480917</v>
      </c>
      <c r="H2" s="21" t="s">
        <v>131</v>
      </c>
      <c r="J2" s="25"/>
    </row>
    <row r="3" spans="1:12" x14ac:dyDescent="0.25">
      <c r="A3" s="21" t="s">
        <v>7</v>
      </c>
      <c r="B3" s="1">
        <v>44896</v>
      </c>
      <c r="C3" t="s">
        <v>334</v>
      </c>
      <c r="D3" s="6">
        <v>5411</v>
      </c>
      <c r="E3" s="9">
        <v>3833.78</v>
      </c>
      <c r="F3" s="15">
        <f>IFERROR(PRD[[#This Row],[VALOR]]/PRD[[#This Row],[KGS]],"")</f>
        <v>0.70851598595453713</v>
      </c>
      <c r="H3" s="28" t="s">
        <v>1</v>
      </c>
      <c r="I3" s="28" t="s">
        <v>2</v>
      </c>
      <c r="J3" s="29" t="s">
        <v>3</v>
      </c>
      <c r="K3" s="30" t="s">
        <v>895</v>
      </c>
      <c r="L3" s="30" t="s">
        <v>896</v>
      </c>
    </row>
    <row r="4" spans="1:12" x14ac:dyDescent="0.25">
      <c r="A4" s="21" t="s">
        <v>9</v>
      </c>
      <c r="B4" s="1">
        <v>44896</v>
      </c>
      <c r="C4" t="s">
        <v>10</v>
      </c>
      <c r="D4" s="6">
        <v>671</v>
      </c>
      <c r="E4" s="9">
        <v>1103.6400000000001</v>
      </c>
      <c r="F4" s="15">
        <f>IFERROR(PRD[[#This Row],[VALOR]]/PRD[[#This Row],[KGS]],"")</f>
        <v>1.6447690014903131</v>
      </c>
      <c r="H4" s="27" cm="1">
        <f t="array" ref="H4:K20">_xlfn.CHOOSECOLS(_xlfn._xlws.FILTER(PRD[],PRD[PRODUTO]=$H$2),{2,3,4,6})</f>
        <v>44896</v>
      </c>
      <c r="I4" t="str">
        <v>CHOURIÇO CRIOLO 1 KG</v>
      </c>
      <c r="J4">
        <v>5298</v>
      </c>
      <c r="K4" s="14">
        <v>3.0344110985277464</v>
      </c>
      <c r="L4">
        <v>0</v>
      </c>
    </row>
    <row r="5" spans="1:12" x14ac:dyDescent="0.25">
      <c r="A5" s="21" t="s">
        <v>11</v>
      </c>
      <c r="B5" s="1">
        <v>44896</v>
      </c>
      <c r="C5" t="s">
        <v>12</v>
      </c>
      <c r="D5" s="6">
        <v>63</v>
      </c>
      <c r="E5" s="9">
        <v>428.95</v>
      </c>
      <c r="F5" s="15">
        <f>IFERROR(PRD[[#This Row],[VALOR]]/PRD[[#This Row],[KGS]],"")</f>
        <v>6.8087301587301585</v>
      </c>
      <c r="H5" s="27">
        <v>44927</v>
      </c>
      <c r="I5" t="str">
        <v>CHOURIÇO CRIOLO 1 KG</v>
      </c>
      <c r="J5">
        <v>5634.9</v>
      </c>
      <c r="K5" s="14">
        <v>3.1417771389021989</v>
      </c>
      <c r="L5">
        <f>J5-J4</f>
        <v>336.89999999999964</v>
      </c>
    </row>
    <row r="6" spans="1:12" x14ac:dyDescent="0.25">
      <c r="A6" s="21" t="s">
        <v>13</v>
      </c>
      <c r="B6" s="1">
        <v>44896</v>
      </c>
      <c r="C6" t="s">
        <v>14</v>
      </c>
      <c r="D6" s="6">
        <v>20</v>
      </c>
      <c r="E6" s="9">
        <v>136</v>
      </c>
      <c r="F6" s="15">
        <f>IFERROR(PRD[[#This Row],[VALOR]]/PRD[[#This Row],[KGS]],"")</f>
        <v>6.8</v>
      </c>
      <c r="H6" s="27">
        <v>44958</v>
      </c>
      <c r="I6" t="str">
        <v>CHOURIÇO CRIOLO 1 KG</v>
      </c>
      <c r="J6">
        <v>6241.24</v>
      </c>
      <c r="K6" s="14">
        <v>3.1357550743121561</v>
      </c>
      <c r="L6">
        <f>J6-J5</f>
        <v>606.34000000000015</v>
      </c>
    </row>
    <row r="7" spans="1:12" x14ac:dyDescent="0.25">
      <c r="A7" s="21" t="s">
        <v>15</v>
      </c>
      <c r="B7" s="1">
        <v>44896</v>
      </c>
      <c r="C7" t="s">
        <v>16</v>
      </c>
      <c r="D7" s="6">
        <v>792</v>
      </c>
      <c r="E7" s="9">
        <v>1107.02</v>
      </c>
      <c r="F7" s="15">
        <f>IFERROR(PRD[[#This Row],[VALOR]]/PRD[[#This Row],[KGS]],"")</f>
        <v>1.3977525252525251</v>
      </c>
      <c r="H7" s="27">
        <v>44986</v>
      </c>
      <c r="I7" t="str">
        <v>CHOURIÇO CRIOLO 1 KG</v>
      </c>
      <c r="J7">
        <v>6138.86</v>
      </c>
      <c r="K7" s="14">
        <v>3.2213277383748773</v>
      </c>
      <c r="L7">
        <f t="shared" ref="L7:L17" si="0">J7-J6</f>
        <v>-102.38000000000011</v>
      </c>
    </row>
    <row r="8" spans="1:12" x14ac:dyDescent="0.25">
      <c r="A8" s="21" t="s">
        <v>17</v>
      </c>
      <c r="B8" s="1">
        <v>44896</v>
      </c>
      <c r="C8" t="s">
        <v>337</v>
      </c>
      <c r="D8" s="6">
        <v>34</v>
      </c>
      <c r="E8" s="9">
        <v>36.049999999999997</v>
      </c>
      <c r="F8" s="15">
        <f>IFERROR(PRD[[#This Row],[VALOR]]/PRD[[#This Row],[KGS]],"")</f>
        <v>1.0602941176470588</v>
      </c>
      <c r="H8" s="27">
        <v>45017</v>
      </c>
      <c r="I8" t="str">
        <v>CHOURIÇO CRIOLO 1 KG</v>
      </c>
      <c r="J8">
        <v>6713.51</v>
      </c>
      <c r="K8" s="14">
        <v>3.2939997110304442</v>
      </c>
      <c r="L8">
        <f t="shared" si="0"/>
        <v>574.65000000000055</v>
      </c>
    </row>
    <row r="9" spans="1:12" x14ac:dyDescent="0.25">
      <c r="A9" s="21" t="s">
        <v>19</v>
      </c>
      <c r="B9" s="1">
        <v>44896</v>
      </c>
      <c r="C9" t="s">
        <v>20</v>
      </c>
      <c r="D9" s="6">
        <v>1175</v>
      </c>
      <c r="E9" s="9">
        <v>671.28</v>
      </c>
      <c r="F9" s="15">
        <f>IFERROR(PRD[[#This Row],[VALOR]]/PRD[[#This Row],[KGS]],"")</f>
        <v>0.57130212765957444</v>
      </c>
      <c r="H9" s="27">
        <v>45047</v>
      </c>
      <c r="I9" t="str">
        <v>CHOURIÇO CRIOLO 1 KG</v>
      </c>
      <c r="J9">
        <v>6771.5</v>
      </c>
      <c r="K9" s="14">
        <v>3.3218947057520487</v>
      </c>
      <c r="L9">
        <f t="shared" si="0"/>
        <v>57.989999999999782</v>
      </c>
    </row>
    <row r="10" spans="1:12" x14ac:dyDescent="0.25">
      <c r="A10" s="21" t="s">
        <v>21</v>
      </c>
      <c r="B10" s="1">
        <v>44896</v>
      </c>
      <c r="C10" t="s">
        <v>22</v>
      </c>
      <c r="D10" s="6">
        <v>48</v>
      </c>
      <c r="E10" s="9">
        <v>24.1</v>
      </c>
      <c r="F10" s="15">
        <f>IFERROR(PRD[[#This Row],[VALOR]]/PRD[[#This Row],[KGS]],"")</f>
        <v>0.50208333333333333</v>
      </c>
      <c r="H10" s="27">
        <v>45078</v>
      </c>
      <c r="I10" t="str">
        <v>CHOURIÇO CRIOLO 1 KG</v>
      </c>
      <c r="J10">
        <v>8281.69</v>
      </c>
      <c r="K10" s="14">
        <v>3.2627446813391954</v>
      </c>
      <c r="L10">
        <f t="shared" si="0"/>
        <v>1510.1900000000005</v>
      </c>
    </row>
    <row r="11" spans="1:12" x14ac:dyDescent="0.25">
      <c r="A11" s="21" t="s">
        <v>23</v>
      </c>
      <c r="B11" s="1">
        <v>44896</v>
      </c>
      <c r="C11" t="s">
        <v>24</v>
      </c>
      <c r="D11" s="6">
        <v>46.8</v>
      </c>
      <c r="E11" s="9">
        <v>61.59</v>
      </c>
      <c r="F11" s="15">
        <f>IFERROR(PRD[[#This Row],[VALOR]]/PRD[[#This Row],[KGS]],"")</f>
        <v>1.3160256410256412</v>
      </c>
      <c r="H11" s="27">
        <v>45108</v>
      </c>
      <c r="I11" t="str">
        <v>CHOURIÇO CRIOLO 1 KG</v>
      </c>
      <c r="J11">
        <v>6235.15</v>
      </c>
      <c r="K11" s="14">
        <v>3.3337241285293859</v>
      </c>
      <c r="L11">
        <f t="shared" si="0"/>
        <v>-2046.5400000000009</v>
      </c>
    </row>
    <row r="12" spans="1:12" x14ac:dyDescent="0.25">
      <c r="A12" s="21">
        <v>1011400</v>
      </c>
      <c r="B12" s="1">
        <v>44896</v>
      </c>
      <c r="C12" t="s">
        <v>25</v>
      </c>
      <c r="D12" s="6">
        <v>11</v>
      </c>
      <c r="E12" s="9">
        <v>27.5</v>
      </c>
      <c r="F12" s="15">
        <f>IFERROR(PRD[[#This Row],[VALOR]]/PRD[[#This Row],[KGS]],"")</f>
        <v>2.5</v>
      </c>
      <c r="H12" s="27">
        <v>45139</v>
      </c>
      <c r="I12" t="str">
        <v>CHOURIÇO CRIOLO 1 KG</v>
      </c>
      <c r="J12">
        <v>8830.56</v>
      </c>
      <c r="K12" s="14">
        <v>3.3274922541718759</v>
      </c>
      <c r="L12">
        <f t="shared" si="0"/>
        <v>2595.41</v>
      </c>
    </row>
    <row r="13" spans="1:12" x14ac:dyDescent="0.25">
      <c r="A13" s="21" t="s">
        <v>26</v>
      </c>
      <c r="B13" s="1">
        <v>44896</v>
      </c>
      <c r="C13" t="s">
        <v>27</v>
      </c>
      <c r="D13" s="6">
        <v>2644</v>
      </c>
      <c r="E13" s="9">
        <v>2133.11</v>
      </c>
      <c r="F13" s="15">
        <f>IFERROR(PRD[[#This Row],[VALOR]]/PRD[[#This Row],[KGS]],"")</f>
        <v>0.80677382753403937</v>
      </c>
      <c r="H13" s="27">
        <v>45170</v>
      </c>
      <c r="I13" t="str">
        <v>CHOURIÇO CRIOLO 1 KG</v>
      </c>
      <c r="J13">
        <v>6418.6</v>
      </c>
      <c r="K13" s="14">
        <v>3.2988361948088367</v>
      </c>
      <c r="L13">
        <f t="shared" si="0"/>
        <v>-2411.9599999999991</v>
      </c>
    </row>
    <row r="14" spans="1:12" x14ac:dyDescent="0.25">
      <c r="A14" s="21" t="s">
        <v>28</v>
      </c>
      <c r="B14" s="1">
        <v>44896</v>
      </c>
      <c r="C14" t="s">
        <v>29</v>
      </c>
      <c r="D14" s="6">
        <v>27087</v>
      </c>
      <c r="E14" s="9">
        <v>1625.22</v>
      </c>
      <c r="F14" s="15">
        <f>IFERROR(PRD[[#This Row],[VALOR]]/PRD[[#This Row],[KGS]],"")</f>
        <v>0.06</v>
      </c>
      <c r="H14" s="27">
        <v>45200</v>
      </c>
      <c r="I14" t="str">
        <v>CHOURIÇO CRIOLO 1 KG</v>
      </c>
      <c r="J14">
        <v>6762.73</v>
      </c>
      <c r="K14" s="14">
        <v>3.2560208673124613</v>
      </c>
      <c r="L14">
        <f t="shared" si="0"/>
        <v>344.1299999999992</v>
      </c>
    </row>
    <row r="15" spans="1:12" x14ac:dyDescent="0.25">
      <c r="A15" s="21" t="s">
        <v>30</v>
      </c>
      <c r="B15" s="1">
        <v>44896</v>
      </c>
      <c r="C15" t="s">
        <v>31</v>
      </c>
      <c r="D15" s="6">
        <v>185.6</v>
      </c>
      <c r="E15" s="9">
        <v>310.69</v>
      </c>
      <c r="F15" s="15">
        <f>IFERROR(PRD[[#This Row],[VALOR]]/PRD[[#This Row],[KGS]],"")</f>
        <v>1.6739762931034483</v>
      </c>
      <c r="H15" s="27">
        <v>45231</v>
      </c>
      <c r="I15" t="str">
        <v>CHOURIÇO CRIOLO 1 KG</v>
      </c>
      <c r="J15">
        <v>6656.39</v>
      </c>
      <c r="K15" s="14">
        <v>3.299739047742094</v>
      </c>
      <c r="L15">
        <f t="shared" si="0"/>
        <v>-106.33999999999924</v>
      </c>
    </row>
    <row r="16" spans="1:12" x14ac:dyDescent="0.25">
      <c r="A16" s="21" t="s">
        <v>32</v>
      </c>
      <c r="B16" s="1">
        <v>44896</v>
      </c>
      <c r="C16" t="s">
        <v>33</v>
      </c>
      <c r="D16" s="6">
        <v>4023</v>
      </c>
      <c r="E16" s="9">
        <v>7455.49</v>
      </c>
      <c r="F16" s="15">
        <f>IFERROR(PRD[[#This Row],[VALOR]]/PRD[[#This Row],[KGS]],"")</f>
        <v>1.8532165050956997</v>
      </c>
      <c r="H16" s="27">
        <v>45261</v>
      </c>
      <c r="I16" t="str">
        <v>CHOURIÇO CRIOLO 1 KG</v>
      </c>
      <c r="J16">
        <v>6918.17</v>
      </c>
      <c r="K16" s="14">
        <v>3.2468152705122888</v>
      </c>
      <c r="L16">
        <f t="shared" si="0"/>
        <v>261.77999999999975</v>
      </c>
    </row>
    <row r="17" spans="1:12" x14ac:dyDescent="0.25">
      <c r="A17" s="21" t="s">
        <v>34</v>
      </c>
      <c r="B17" s="1">
        <v>44896</v>
      </c>
      <c r="C17" t="s">
        <v>35</v>
      </c>
      <c r="D17" s="6">
        <v>85.9</v>
      </c>
      <c r="E17" s="9">
        <v>128.88</v>
      </c>
      <c r="F17" s="15">
        <f>IFERROR(PRD[[#This Row],[VALOR]]/PRD[[#This Row],[KGS]],"")</f>
        <v>1.5003492433061698</v>
      </c>
      <c r="H17" s="27">
        <v>45292</v>
      </c>
      <c r="I17" t="str">
        <v>CHOURIÇO CRIOLO 1 KG</v>
      </c>
      <c r="J17">
        <v>6373.58</v>
      </c>
      <c r="K17" s="14">
        <v>3.1471700363061266</v>
      </c>
      <c r="L17">
        <f t="shared" si="0"/>
        <v>-544.59000000000015</v>
      </c>
    </row>
    <row r="18" spans="1:12" x14ac:dyDescent="0.25">
      <c r="A18" s="21" t="s">
        <v>36</v>
      </c>
      <c r="B18" s="1">
        <v>44896</v>
      </c>
      <c r="C18" t="s">
        <v>37</v>
      </c>
      <c r="D18" s="6">
        <v>128.5</v>
      </c>
      <c r="E18" s="9">
        <v>64.25</v>
      </c>
      <c r="F18" s="15">
        <f>IFERROR(PRD[[#This Row],[VALOR]]/PRD[[#This Row],[KGS]],"")</f>
        <v>0.5</v>
      </c>
      <c r="H18" s="27">
        <v>45323</v>
      </c>
      <c r="I18" t="str">
        <v>CHOURIÇO CRIOLO 1 KG</v>
      </c>
      <c r="J18">
        <v>4636.3</v>
      </c>
      <c r="K18" s="14">
        <v>3.3300282552897782</v>
      </c>
    </row>
    <row r="19" spans="1:12" x14ac:dyDescent="0.25">
      <c r="A19" s="21" t="s">
        <v>38</v>
      </c>
      <c r="B19" s="1">
        <v>44896</v>
      </c>
      <c r="C19" t="s">
        <v>39</v>
      </c>
      <c r="D19" s="6">
        <v>814.3</v>
      </c>
      <c r="E19" s="9">
        <v>1114.55</v>
      </c>
      <c r="F19" s="15">
        <f>IFERROR(PRD[[#This Row],[VALOR]]/PRD[[#This Row],[KGS]],"")</f>
        <v>1.3687216013754144</v>
      </c>
      <c r="H19" s="27">
        <v>45352</v>
      </c>
      <c r="I19" t="str">
        <v>CHOURIÇO CRIOLO 1 KG</v>
      </c>
      <c r="J19">
        <v>5327</v>
      </c>
      <c r="K19" s="14">
        <v>3.3394687441336584</v>
      </c>
    </row>
    <row r="20" spans="1:12" x14ac:dyDescent="0.25">
      <c r="A20" s="21" t="s">
        <v>40</v>
      </c>
      <c r="B20" s="1">
        <v>44896</v>
      </c>
      <c r="C20" t="s">
        <v>41</v>
      </c>
      <c r="D20" s="6">
        <v>212</v>
      </c>
      <c r="E20" s="9">
        <v>392.5</v>
      </c>
      <c r="F20" s="15">
        <f>IFERROR(PRD[[#This Row],[VALOR]]/PRD[[#This Row],[KGS]],"")</f>
        <v>1.8514150943396226</v>
      </c>
      <c r="H20" s="27">
        <v>45383</v>
      </c>
      <c r="I20" t="str">
        <v>CHOURIÇO CRIOLO 1 KG</v>
      </c>
      <c r="J20">
        <v>6026.7560000000003</v>
      </c>
      <c r="K20" s="14">
        <v>3.3471854510121193</v>
      </c>
    </row>
    <row r="21" spans="1:12" x14ac:dyDescent="0.25">
      <c r="A21" s="21" t="s">
        <v>42</v>
      </c>
      <c r="B21" s="1">
        <v>44896</v>
      </c>
      <c r="C21" t="s">
        <v>43</v>
      </c>
      <c r="D21" s="6">
        <v>381</v>
      </c>
      <c r="E21" s="9">
        <v>552.14</v>
      </c>
      <c r="F21" s="15">
        <f>IFERROR(PRD[[#This Row],[VALOR]]/PRD[[#This Row],[KGS]],"")</f>
        <v>1.4491863517060366</v>
      </c>
      <c r="H21" s="27"/>
    </row>
    <row r="22" spans="1:12" x14ac:dyDescent="0.25">
      <c r="A22" s="21" t="s">
        <v>44</v>
      </c>
      <c r="B22" s="1">
        <v>44896</v>
      </c>
      <c r="C22" t="s">
        <v>45</v>
      </c>
      <c r="D22" s="6">
        <v>356.8</v>
      </c>
      <c r="E22" s="9">
        <v>577.95000000000005</v>
      </c>
      <c r="F22" s="15">
        <f>IFERROR(PRD[[#This Row],[VALOR]]/PRD[[#This Row],[KGS]],"")</f>
        <v>1.6198150224215246</v>
      </c>
      <c r="H22" s="27"/>
    </row>
    <row r="23" spans="1:12" x14ac:dyDescent="0.25">
      <c r="A23" s="21" t="s">
        <v>46</v>
      </c>
      <c r="B23" s="1">
        <v>44896</v>
      </c>
      <c r="C23" t="s">
        <v>47</v>
      </c>
      <c r="D23" s="6">
        <v>90</v>
      </c>
      <c r="E23" s="9">
        <v>135</v>
      </c>
      <c r="F23" s="15">
        <f>IFERROR(PRD[[#This Row],[VALOR]]/PRD[[#This Row],[KGS]],"")</f>
        <v>1.5</v>
      </c>
      <c r="H23" s="27"/>
    </row>
    <row r="24" spans="1:12" x14ac:dyDescent="0.25">
      <c r="A24" s="21" t="s">
        <v>48</v>
      </c>
      <c r="B24" s="1">
        <v>44896</v>
      </c>
      <c r="C24" t="s">
        <v>49</v>
      </c>
      <c r="D24" s="6">
        <v>1014.47</v>
      </c>
      <c r="E24" s="9">
        <v>1644.09</v>
      </c>
      <c r="F24" s="15">
        <f>IFERROR(PRD[[#This Row],[VALOR]]/PRD[[#This Row],[KGS]],"")</f>
        <v>1.6206393486253905</v>
      </c>
      <c r="H24" s="27"/>
    </row>
    <row r="25" spans="1:12" x14ac:dyDescent="0.25">
      <c r="A25" s="21" t="s">
        <v>50</v>
      </c>
      <c r="B25" s="1">
        <v>44896</v>
      </c>
      <c r="C25" t="s">
        <v>51</v>
      </c>
      <c r="D25" s="6">
        <v>10</v>
      </c>
      <c r="E25" s="9">
        <v>17.5</v>
      </c>
      <c r="F25" s="15">
        <f>IFERROR(PRD[[#This Row],[VALOR]]/PRD[[#This Row],[KGS]],"")</f>
        <v>1.75</v>
      </c>
      <c r="H25" s="27"/>
    </row>
    <row r="26" spans="1:12" x14ac:dyDescent="0.25">
      <c r="A26" s="21" t="s">
        <v>52</v>
      </c>
      <c r="B26" s="1">
        <v>44896</v>
      </c>
      <c r="C26" t="s">
        <v>53</v>
      </c>
      <c r="D26" s="6">
        <v>23.4</v>
      </c>
      <c r="E26" s="9">
        <v>11.76</v>
      </c>
      <c r="F26" s="15">
        <f>IFERROR(PRD[[#This Row],[VALOR]]/PRD[[#This Row],[KGS]],"")</f>
        <v>0.50256410256410255</v>
      </c>
      <c r="H26" s="27"/>
    </row>
    <row r="27" spans="1:12" x14ac:dyDescent="0.25">
      <c r="A27" s="21" t="s">
        <v>54</v>
      </c>
      <c r="B27" s="1">
        <v>44896</v>
      </c>
      <c r="C27" t="s">
        <v>55</v>
      </c>
      <c r="D27" s="6">
        <v>156</v>
      </c>
      <c r="E27" s="9">
        <v>155.5</v>
      </c>
      <c r="F27" s="15">
        <f>IFERROR(PRD[[#This Row],[VALOR]]/PRD[[#This Row],[KGS]],"")</f>
        <v>0.99679487179487181</v>
      </c>
      <c r="H27" s="27"/>
    </row>
    <row r="28" spans="1:12" x14ac:dyDescent="0.25">
      <c r="A28" s="21" t="s">
        <v>56</v>
      </c>
      <c r="B28" s="1">
        <v>44896</v>
      </c>
      <c r="C28" t="s">
        <v>57</v>
      </c>
      <c r="D28" s="6">
        <v>337.3</v>
      </c>
      <c r="E28" s="9">
        <v>355.48</v>
      </c>
      <c r="F28" s="15">
        <f>IFERROR(PRD[[#This Row],[VALOR]]/PRD[[#This Row],[KGS]],"")</f>
        <v>1.053898606581678</v>
      </c>
      <c r="H28" s="27"/>
    </row>
    <row r="29" spans="1:12" x14ac:dyDescent="0.25">
      <c r="A29" s="21" t="s">
        <v>58</v>
      </c>
      <c r="B29" s="1">
        <v>44896</v>
      </c>
      <c r="C29" t="s">
        <v>59</v>
      </c>
      <c r="D29" s="6">
        <v>1748</v>
      </c>
      <c r="E29" s="9">
        <v>1799.59</v>
      </c>
      <c r="F29" s="15">
        <f>IFERROR(PRD[[#This Row],[VALOR]]/PRD[[#This Row],[KGS]],"")</f>
        <v>1.0295137299771167</v>
      </c>
      <c r="H29" s="27"/>
    </row>
    <row r="30" spans="1:12" x14ac:dyDescent="0.25">
      <c r="A30" s="21" t="s">
        <v>60</v>
      </c>
      <c r="B30" s="1">
        <v>44896</v>
      </c>
      <c r="C30" t="s">
        <v>61</v>
      </c>
      <c r="D30" s="6">
        <v>34.1</v>
      </c>
      <c r="E30" s="9">
        <v>17.05</v>
      </c>
      <c r="F30" s="15">
        <f>IFERROR(PRD[[#This Row],[VALOR]]/PRD[[#This Row],[KGS]],"")</f>
        <v>0.5</v>
      </c>
      <c r="H30" s="27"/>
    </row>
    <row r="31" spans="1:12" x14ac:dyDescent="0.25">
      <c r="A31" s="21" t="s">
        <v>62</v>
      </c>
      <c r="B31" s="1">
        <v>44896</v>
      </c>
      <c r="C31" t="s">
        <v>63</v>
      </c>
      <c r="D31" s="6">
        <v>44219.35</v>
      </c>
      <c r="E31" s="9">
        <v>109811.57</v>
      </c>
      <c r="F31" s="15">
        <f>IFERROR(PRD[[#This Row],[VALOR]]/PRD[[#This Row],[KGS]],"")</f>
        <v>2.4833374981767036</v>
      </c>
      <c r="H31" s="27"/>
    </row>
    <row r="32" spans="1:12" x14ac:dyDescent="0.25">
      <c r="A32" s="21" t="s">
        <v>64</v>
      </c>
      <c r="B32" s="1">
        <v>44896</v>
      </c>
      <c r="C32" t="s">
        <v>65</v>
      </c>
      <c r="D32" s="6">
        <v>178.1</v>
      </c>
      <c r="E32" s="9">
        <v>480.87</v>
      </c>
      <c r="F32" s="15">
        <f>IFERROR(PRD[[#This Row],[VALOR]]/PRD[[#This Row],[KGS]],"")</f>
        <v>2.7</v>
      </c>
      <c r="H32" s="27"/>
    </row>
    <row r="33" spans="1:8" x14ac:dyDescent="0.25">
      <c r="A33" s="21" t="s">
        <v>66</v>
      </c>
      <c r="B33" s="1">
        <v>44896</v>
      </c>
      <c r="C33" t="s">
        <v>67</v>
      </c>
      <c r="D33" s="6">
        <v>66649.72</v>
      </c>
      <c r="E33" s="9">
        <v>178299.51</v>
      </c>
      <c r="F33" s="15">
        <f>IFERROR(PRD[[#This Row],[VALOR]]/PRD[[#This Row],[KGS]],"")</f>
        <v>2.6751726788949752</v>
      </c>
      <c r="H33" s="27"/>
    </row>
    <row r="34" spans="1:8" x14ac:dyDescent="0.25">
      <c r="A34" s="21" t="s">
        <v>68</v>
      </c>
      <c r="B34" s="1">
        <v>44896</v>
      </c>
      <c r="C34" t="s">
        <v>69</v>
      </c>
      <c r="D34" s="6">
        <v>10042.48</v>
      </c>
      <c r="E34" s="9">
        <v>26679.279999999999</v>
      </c>
      <c r="F34" s="15">
        <f>IFERROR(PRD[[#This Row],[VALOR]]/PRD[[#This Row],[KGS]],"")</f>
        <v>2.6566425823103454</v>
      </c>
      <c r="H34" s="27"/>
    </row>
    <row r="35" spans="1:8" x14ac:dyDescent="0.25">
      <c r="A35" s="21" t="s">
        <v>70</v>
      </c>
      <c r="B35" s="1">
        <v>44896</v>
      </c>
      <c r="C35" t="s">
        <v>71</v>
      </c>
      <c r="D35" s="6">
        <v>2571.1</v>
      </c>
      <c r="E35" s="9">
        <v>7340.39</v>
      </c>
      <c r="F35" s="15">
        <f>IFERROR(PRD[[#This Row],[VALOR]]/PRD[[#This Row],[KGS]],"")</f>
        <v>2.8549609116720474</v>
      </c>
      <c r="H35" s="27"/>
    </row>
    <row r="36" spans="1:8" x14ac:dyDescent="0.25">
      <c r="A36" s="21" t="s">
        <v>72</v>
      </c>
      <c r="B36" s="1">
        <v>44896</v>
      </c>
      <c r="C36" t="s">
        <v>73</v>
      </c>
      <c r="D36" s="6">
        <v>12766.5</v>
      </c>
      <c r="E36" s="9">
        <v>29763.77</v>
      </c>
      <c r="F36" s="15">
        <f>IFERROR(PRD[[#This Row],[VALOR]]/PRD[[#This Row],[KGS]],"")</f>
        <v>2.3313962323267927</v>
      </c>
      <c r="H36" s="27"/>
    </row>
    <row r="37" spans="1:8" x14ac:dyDescent="0.25">
      <c r="A37" s="21" t="s">
        <v>74</v>
      </c>
      <c r="B37" s="1">
        <v>44896</v>
      </c>
      <c r="C37" t="s">
        <v>75</v>
      </c>
      <c r="D37" s="6">
        <v>115.6</v>
      </c>
      <c r="E37" s="9">
        <v>340.61</v>
      </c>
      <c r="F37" s="15">
        <f>IFERROR(PRD[[#This Row],[VALOR]]/PRD[[#This Row],[KGS]],"")</f>
        <v>2.9464532871972322</v>
      </c>
      <c r="H37" s="27"/>
    </row>
    <row r="38" spans="1:8" x14ac:dyDescent="0.25">
      <c r="A38" s="21" t="s">
        <v>76</v>
      </c>
      <c r="B38" s="1">
        <v>44896</v>
      </c>
      <c r="C38" t="s">
        <v>77</v>
      </c>
      <c r="D38" s="6">
        <v>2735.6</v>
      </c>
      <c r="E38" s="9">
        <v>8074.16</v>
      </c>
      <c r="F38" s="15">
        <f>IFERROR(PRD[[#This Row],[VALOR]]/PRD[[#This Row],[KGS]],"")</f>
        <v>2.9515133791489983</v>
      </c>
      <c r="H38" s="27"/>
    </row>
    <row r="39" spans="1:8" x14ac:dyDescent="0.25">
      <c r="A39" s="21" t="s">
        <v>78</v>
      </c>
      <c r="B39" s="1">
        <v>44896</v>
      </c>
      <c r="C39" t="s">
        <v>79</v>
      </c>
      <c r="D39" s="6">
        <v>305.3</v>
      </c>
      <c r="E39" s="9">
        <v>1418.96</v>
      </c>
      <c r="F39" s="15">
        <f>IFERROR(PRD[[#This Row],[VALOR]]/PRD[[#This Row],[KGS]],"")</f>
        <v>4.6477563052735018</v>
      </c>
      <c r="H39" s="27"/>
    </row>
    <row r="40" spans="1:8" x14ac:dyDescent="0.25">
      <c r="A40" s="21">
        <v>1100603</v>
      </c>
      <c r="B40" s="1">
        <v>44896</v>
      </c>
      <c r="C40" t="s">
        <v>79</v>
      </c>
      <c r="D40" s="6">
        <v>80</v>
      </c>
      <c r="E40" s="9">
        <v>304.8</v>
      </c>
      <c r="F40" s="15">
        <f>IFERROR(PRD[[#This Row],[VALOR]]/PRD[[#This Row],[KGS]],"")</f>
        <v>3.81</v>
      </c>
      <c r="H40" s="27"/>
    </row>
    <row r="41" spans="1:8" x14ac:dyDescent="0.25">
      <c r="A41" s="21" t="s">
        <v>80</v>
      </c>
      <c r="B41" s="1">
        <v>44896</v>
      </c>
      <c r="C41" t="s">
        <v>81</v>
      </c>
      <c r="D41" s="6">
        <v>1482</v>
      </c>
      <c r="E41" s="9">
        <v>4109.96</v>
      </c>
      <c r="F41" s="15">
        <f>IFERROR(PRD[[#This Row],[VALOR]]/PRD[[#This Row],[KGS]],"")</f>
        <v>2.7732523616734142</v>
      </c>
      <c r="H41" s="27"/>
    </row>
    <row r="42" spans="1:8" x14ac:dyDescent="0.25">
      <c r="A42" s="21" t="s">
        <v>82</v>
      </c>
      <c r="B42" s="1">
        <v>44896</v>
      </c>
      <c r="C42" t="s">
        <v>83</v>
      </c>
      <c r="D42" s="6">
        <v>11981.36</v>
      </c>
      <c r="E42" s="9">
        <v>34611.870000000003</v>
      </c>
      <c r="F42" s="15">
        <f>IFERROR(PRD[[#This Row],[VALOR]]/PRD[[#This Row],[KGS]],"")</f>
        <v>2.8888097845319729</v>
      </c>
      <c r="H42" s="27"/>
    </row>
    <row r="43" spans="1:8" x14ac:dyDescent="0.25">
      <c r="A43" s="21">
        <v>1100701</v>
      </c>
      <c r="B43" s="1">
        <v>44896</v>
      </c>
      <c r="C43" t="s">
        <v>84</v>
      </c>
      <c r="D43" s="6">
        <v>38.4</v>
      </c>
      <c r="E43" s="9">
        <v>173.57</v>
      </c>
      <c r="F43" s="15">
        <f>IFERROR(PRD[[#This Row],[VALOR]]/PRD[[#This Row],[KGS]],"")</f>
        <v>4.5200520833333337</v>
      </c>
      <c r="H43" s="27"/>
    </row>
    <row r="44" spans="1:8" x14ac:dyDescent="0.25">
      <c r="A44" s="21" t="s">
        <v>85</v>
      </c>
      <c r="B44" s="1">
        <v>44896</v>
      </c>
      <c r="C44" t="s">
        <v>86</v>
      </c>
      <c r="D44" s="6">
        <v>2204.1999999999998</v>
      </c>
      <c r="E44" s="9">
        <v>7473.64</v>
      </c>
      <c r="F44" s="15">
        <f>IFERROR(PRD[[#This Row],[VALOR]]/PRD[[#This Row],[KGS]],"")</f>
        <v>3.3906360584338993</v>
      </c>
      <c r="H44" s="27"/>
    </row>
    <row r="45" spans="1:8" x14ac:dyDescent="0.25">
      <c r="A45" s="21" t="s">
        <v>87</v>
      </c>
      <c r="B45" s="1">
        <v>44896</v>
      </c>
      <c r="C45" t="s">
        <v>88</v>
      </c>
      <c r="D45" s="6">
        <v>135.80000000000001</v>
      </c>
      <c r="E45" s="9">
        <v>186.26</v>
      </c>
      <c r="F45" s="15">
        <f>IFERROR(PRD[[#This Row],[VALOR]]/PRD[[#This Row],[KGS]],"")</f>
        <v>1.3715758468335786</v>
      </c>
      <c r="H45" s="27"/>
    </row>
    <row r="46" spans="1:8" x14ac:dyDescent="0.25">
      <c r="A46" s="21" t="s">
        <v>89</v>
      </c>
      <c r="B46" s="1">
        <v>44896</v>
      </c>
      <c r="C46" t="s">
        <v>90</v>
      </c>
      <c r="D46" s="6">
        <v>15447.4</v>
      </c>
      <c r="E46" s="9">
        <v>41206.85</v>
      </c>
      <c r="F46" s="15">
        <f>IFERROR(PRD[[#This Row],[VALOR]]/PRD[[#This Row],[KGS]],"")</f>
        <v>2.66755894195787</v>
      </c>
      <c r="H46" s="27"/>
    </row>
    <row r="47" spans="1:8" x14ac:dyDescent="0.25">
      <c r="A47" s="21" t="s">
        <v>91</v>
      </c>
      <c r="B47" s="1">
        <v>44896</v>
      </c>
      <c r="C47" t="s">
        <v>92</v>
      </c>
      <c r="D47" s="6">
        <v>247.4</v>
      </c>
      <c r="E47" s="9">
        <v>676.56</v>
      </c>
      <c r="F47" s="15">
        <f>IFERROR(PRD[[#This Row],[VALOR]]/PRD[[#This Row],[KGS]],"")</f>
        <v>2.7346806790622469</v>
      </c>
      <c r="H47" s="27"/>
    </row>
    <row r="48" spans="1:8" x14ac:dyDescent="0.25">
      <c r="A48" s="21" t="s">
        <v>93</v>
      </c>
      <c r="B48" s="1">
        <v>44896</v>
      </c>
      <c r="C48" t="s">
        <v>94</v>
      </c>
      <c r="D48" s="6">
        <v>732</v>
      </c>
      <c r="E48" s="9">
        <v>4070.29</v>
      </c>
      <c r="F48" s="15">
        <f>IFERROR(PRD[[#This Row],[VALOR]]/PRD[[#This Row],[KGS]],"")</f>
        <v>5.5605054644808742</v>
      </c>
      <c r="H48" s="27"/>
    </row>
    <row r="49" spans="1:8" x14ac:dyDescent="0.25">
      <c r="A49" s="21" t="s">
        <v>95</v>
      </c>
      <c r="B49" s="1">
        <v>44896</v>
      </c>
      <c r="C49" t="s">
        <v>96</v>
      </c>
      <c r="D49" s="6">
        <v>9239.82</v>
      </c>
      <c r="E49" s="9">
        <v>32075.09</v>
      </c>
      <c r="F49" s="15">
        <f>IFERROR(PRD[[#This Row],[VALOR]]/PRD[[#This Row],[KGS]],"")</f>
        <v>3.4713977112108245</v>
      </c>
      <c r="H49" s="27"/>
    </row>
    <row r="50" spans="1:8" x14ac:dyDescent="0.25">
      <c r="A50" s="21" t="s">
        <v>97</v>
      </c>
      <c r="B50" s="1">
        <v>44896</v>
      </c>
      <c r="C50" t="s">
        <v>98</v>
      </c>
      <c r="D50" s="6">
        <v>1407</v>
      </c>
      <c r="E50" s="9">
        <v>5071.68</v>
      </c>
      <c r="F50" s="15">
        <f>IFERROR(PRD[[#This Row],[VALOR]]/PRD[[#This Row],[KGS]],"")</f>
        <v>3.6046055437100217</v>
      </c>
      <c r="H50" s="27"/>
    </row>
    <row r="51" spans="1:8" x14ac:dyDescent="0.25">
      <c r="A51" s="21" t="s">
        <v>99</v>
      </c>
      <c r="B51" s="1">
        <v>44896</v>
      </c>
      <c r="C51" t="s">
        <v>100</v>
      </c>
      <c r="D51" s="6">
        <v>38782.54</v>
      </c>
      <c r="E51" s="9">
        <v>126545.2</v>
      </c>
      <c r="F51" s="15">
        <f>IFERROR(PRD[[#This Row],[VALOR]]/PRD[[#This Row],[KGS]],"")</f>
        <v>3.2629425509520518</v>
      </c>
      <c r="H51" s="27"/>
    </row>
    <row r="52" spans="1:8" x14ac:dyDescent="0.25">
      <c r="A52" s="21" t="s">
        <v>101</v>
      </c>
      <c r="B52" s="1">
        <v>44896</v>
      </c>
      <c r="C52" t="s">
        <v>102</v>
      </c>
      <c r="D52" s="6">
        <v>79.400000000000006</v>
      </c>
      <c r="E52" s="9">
        <v>352.05</v>
      </c>
      <c r="F52" s="15">
        <f>IFERROR(PRD[[#This Row],[VALOR]]/PRD[[#This Row],[KGS]],"")</f>
        <v>4.4338790931989926</v>
      </c>
      <c r="H52" s="27"/>
    </row>
    <row r="53" spans="1:8" x14ac:dyDescent="0.25">
      <c r="A53" s="21" t="s">
        <v>103</v>
      </c>
      <c r="B53" s="1">
        <v>44896</v>
      </c>
      <c r="C53" t="s">
        <v>104</v>
      </c>
      <c r="D53" s="6">
        <v>15030.45</v>
      </c>
      <c r="E53" s="9">
        <v>34674.97</v>
      </c>
      <c r="F53" s="15">
        <f>IFERROR(PRD[[#This Row],[VALOR]]/PRD[[#This Row],[KGS]],"")</f>
        <v>2.3069814942333728</v>
      </c>
      <c r="H53" s="27"/>
    </row>
    <row r="54" spans="1:8" x14ac:dyDescent="0.25">
      <c r="A54" s="21" t="s">
        <v>105</v>
      </c>
      <c r="B54" s="1">
        <v>44896</v>
      </c>
      <c r="C54" t="s">
        <v>106</v>
      </c>
      <c r="D54" s="6">
        <v>675.1</v>
      </c>
      <c r="E54" s="9">
        <v>1644.88</v>
      </c>
      <c r="F54" s="15">
        <f>IFERROR(PRD[[#This Row],[VALOR]]/PRD[[#This Row],[KGS]],"")</f>
        <v>2.4364982965486597</v>
      </c>
      <c r="H54" s="27"/>
    </row>
    <row r="55" spans="1:8" x14ac:dyDescent="0.25">
      <c r="A55" s="21" t="s">
        <v>107</v>
      </c>
      <c r="B55" s="1">
        <v>44896</v>
      </c>
      <c r="C55" t="s">
        <v>108</v>
      </c>
      <c r="D55" s="6">
        <v>77.7</v>
      </c>
      <c r="E55" s="9">
        <v>212.76</v>
      </c>
      <c r="F55" s="15">
        <f>IFERROR(PRD[[#This Row],[VALOR]]/PRD[[#This Row],[KGS]],"")</f>
        <v>2.7382239382239382</v>
      </c>
      <c r="H55" s="27"/>
    </row>
    <row r="56" spans="1:8" x14ac:dyDescent="0.25">
      <c r="A56" s="21" t="s">
        <v>109</v>
      </c>
      <c r="B56" s="1">
        <v>44896</v>
      </c>
      <c r="C56" t="s">
        <v>110</v>
      </c>
      <c r="D56" s="6">
        <v>7147.3</v>
      </c>
      <c r="E56" s="9">
        <v>15952.14</v>
      </c>
      <c r="F56" s="15">
        <f>IFERROR(PRD[[#This Row],[VALOR]]/PRD[[#This Row],[KGS]],"")</f>
        <v>2.2319113511395909</v>
      </c>
      <c r="H56" s="27"/>
    </row>
    <row r="57" spans="1:8" x14ac:dyDescent="0.25">
      <c r="A57" s="21" t="s">
        <v>111</v>
      </c>
      <c r="B57" s="1">
        <v>44896</v>
      </c>
      <c r="C57" t="s">
        <v>112</v>
      </c>
      <c r="D57" s="6">
        <v>3823.74</v>
      </c>
      <c r="E57" s="9">
        <v>8580.42</v>
      </c>
      <c r="F57" s="15">
        <f>IFERROR(PRD[[#This Row],[VALOR]]/PRD[[#This Row],[KGS]],"")</f>
        <v>2.2439862542955327</v>
      </c>
      <c r="H57" s="27"/>
    </row>
    <row r="58" spans="1:8" x14ac:dyDescent="0.25">
      <c r="A58" s="21" t="s">
        <v>113</v>
      </c>
      <c r="B58" s="1">
        <v>44896</v>
      </c>
      <c r="C58" t="s">
        <v>114</v>
      </c>
      <c r="D58" s="6">
        <v>2563.1</v>
      </c>
      <c r="E58" s="9">
        <v>7514.58</v>
      </c>
      <c r="F58" s="15">
        <f>IFERROR(PRD[[#This Row],[VALOR]]/PRD[[#This Row],[KGS]],"")</f>
        <v>2.9318325465256918</v>
      </c>
      <c r="H58" s="27"/>
    </row>
    <row r="59" spans="1:8" x14ac:dyDescent="0.25">
      <c r="A59" s="21">
        <v>1102000</v>
      </c>
      <c r="B59" s="1">
        <v>44896</v>
      </c>
      <c r="C59" t="s">
        <v>115</v>
      </c>
      <c r="D59" s="6">
        <v>5.0999999999999996</v>
      </c>
      <c r="E59" s="9">
        <v>28.05</v>
      </c>
      <c r="F59" s="15">
        <f>IFERROR(PRD[[#This Row],[VALOR]]/PRD[[#This Row],[KGS]],"")</f>
        <v>5.5000000000000009</v>
      </c>
      <c r="H59" s="27"/>
    </row>
    <row r="60" spans="1:8" x14ac:dyDescent="0.25">
      <c r="A60" s="21" t="s">
        <v>116</v>
      </c>
      <c r="B60" s="1">
        <v>44896</v>
      </c>
      <c r="C60" t="s">
        <v>117</v>
      </c>
      <c r="D60" s="6">
        <v>22.4</v>
      </c>
      <c r="E60" s="9">
        <v>72.8</v>
      </c>
      <c r="F60" s="15">
        <f>IFERROR(PRD[[#This Row],[VALOR]]/PRD[[#This Row],[KGS]],"")</f>
        <v>3.25</v>
      </c>
      <c r="H60" s="27"/>
    </row>
    <row r="61" spans="1:8" x14ac:dyDescent="0.25">
      <c r="A61" s="21" t="s">
        <v>118</v>
      </c>
      <c r="B61" s="1">
        <v>44896</v>
      </c>
      <c r="C61" t="s">
        <v>119</v>
      </c>
      <c r="D61" s="6">
        <v>2197.1999999999998</v>
      </c>
      <c r="E61" s="9">
        <v>5989.89</v>
      </c>
      <c r="F61" s="15">
        <f>IFERROR(PRD[[#This Row],[VALOR]]/PRD[[#This Row],[KGS]],"")</f>
        <v>2.7261469142545063</v>
      </c>
      <c r="H61" s="27"/>
    </row>
    <row r="62" spans="1:8" x14ac:dyDescent="0.25">
      <c r="A62" s="21" t="s">
        <v>120</v>
      </c>
      <c r="B62" s="1">
        <v>44896</v>
      </c>
      <c r="C62" t="s">
        <v>121</v>
      </c>
      <c r="D62" s="6">
        <v>426.5</v>
      </c>
      <c r="E62" s="9">
        <v>784.3</v>
      </c>
      <c r="F62" s="15">
        <f>IFERROR(PRD[[#This Row],[VALOR]]/PRD[[#This Row],[KGS]],"")</f>
        <v>1.8389214536928487</v>
      </c>
      <c r="H62" s="27"/>
    </row>
    <row r="63" spans="1:8" x14ac:dyDescent="0.25">
      <c r="A63" s="21" t="s">
        <v>122</v>
      </c>
      <c r="B63" s="1">
        <v>44896</v>
      </c>
      <c r="C63" t="s">
        <v>123</v>
      </c>
      <c r="D63" s="6">
        <v>30</v>
      </c>
      <c r="E63" s="9">
        <v>57</v>
      </c>
      <c r="F63" s="15">
        <f>IFERROR(PRD[[#This Row],[VALOR]]/PRD[[#This Row],[KGS]],"")</f>
        <v>1.9</v>
      </c>
      <c r="H63" s="27"/>
    </row>
    <row r="64" spans="1:8" x14ac:dyDescent="0.25">
      <c r="A64" s="21" t="s">
        <v>124</v>
      </c>
      <c r="B64" s="1">
        <v>44896</v>
      </c>
      <c r="C64" t="s">
        <v>125</v>
      </c>
      <c r="D64" s="6">
        <v>320</v>
      </c>
      <c r="E64" s="9">
        <v>474</v>
      </c>
      <c r="F64" s="15">
        <f>IFERROR(PRD[[#This Row],[VALOR]]/PRD[[#This Row],[KGS]],"")</f>
        <v>1.48125</v>
      </c>
      <c r="H64" s="27"/>
    </row>
    <row r="65" spans="1:8" x14ac:dyDescent="0.25">
      <c r="A65" s="21" t="s">
        <v>126</v>
      </c>
      <c r="B65" s="1">
        <v>44896</v>
      </c>
      <c r="C65" t="s">
        <v>127</v>
      </c>
      <c r="D65" s="6">
        <v>130</v>
      </c>
      <c r="E65" s="9">
        <v>133</v>
      </c>
      <c r="F65" s="15">
        <f>IFERROR(PRD[[#This Row],[VALOR]]/PRD[[#This Row],[KGS]],"")</f>
        <v>1.023076923076923</v>
      </c>
      <c r="H65" s="27"/>
    </row>
    <row r="66" spans="1:8" x14ac:dyDescent="0.25">
      <c r="A66" s="21" t="s">
        <v>128</v>
      </c>
      <c r="B66" s="1">
        <v>44896</v>
      </c>
      <c r="C66" t="s">
        <v>129</v>
      </c>
      <c r="D66" s="6">
        <v>151.30000000000001</v>
      </c>
      <c r="E66" s="9">
        <v>450.02</v>
      </c>
      <c r="F66" s="15">
        <f>IFERROR(PRD[[#This Row],[VALOR]]/PRD[[#This Row],[KGS]],"")</f>
        <v>2.9743555849306009</v>
      </c>
      <c r="H66" s="27"/>
    </row>
    <row r="67" spans="1:8" x14ac:dyDescent="0.25">
      <c r="A67" s="21" t="s">
        <v>130</v>
      </c>
      <c r="B67" s="1">
        <v>44896</v>
      </c>
      <c r="C67" t="s">
        <v>131</v>
      </c>
      <c r="D67" s="6">
        <v>5298</v>
      </c>
      <c r="E67" s="9">
        <v>16076.31</v>
      </c>
      <c r="F67" s="15">
        <f>IFERROR(PRD[[#This Row],[VALOR]]/PRD[[#This Row],[KGS]],"")</f>
        <v>3.0344110985277464</v>
      </c>
      <c r="H67" s="27"/>
    </row>
    <row r="68" spans="1:8" x14ac:dyDescent="0.25">
      <c r="A68" s="21" t="s">
        <v>132</v>
      </c>
      <c r="B68" s="1">
        <v>44896</v>
      </c>
      <c r="C68" t="s">
        <v>133</v>
      </c>
      <c r="D68" s="6">
        <v>1192.0999999999999</v>
      </c>
      <c r="E68" s="9">
        <v>4137.67</v>
      </c>
      <c r="F68" s="15">
        <f>IFERROR(PRD[[#This Row],[VALOR]]/PRD[[#This Row],[KGS]],"")</f>
        <v>3.4709084808321453</v>
      </c>
      <c r="H68" s="27"/>
    </row>
    <row r="69" spans="1:8" x14ac:dyDescent="0.25">
      <c r="A69" s="21" t="s">
        <v>134</v>
      </c>
      <c r="B69" s="1">
        <v>44896</v>
      </c>
      <c r="C69" t="s">
        <v>135</v>
      </c>
      <c r="D69" s="6">
        <v>323</v>
      </c>
      <c r="E69" s="9">
        <v>1103.82</v>
      </c>
      <c r="F69" s="15">
        <f>IFERROR(PRD[[#This Row],[VALOR]]/PRD[[#This Row],[KGS]],"")</f>
        <v>3.4173993808049534</v>
      </c>
      <c r="H69" s="27"/>
    </row>
    <row r="70" spans="1:8" x14ac:dyDescent="0.25">
      <c r="A70" s="21" t="s">
        <v>136</v>
      </c>
      <c r="B70" s="1">
        <v>44896</v>
      </c>
      <c r="C70" t="s">
        <v>137</v>
      </c>
      <c r="D70" s="6">
        <v>2333</v>
      </c>
      <c r="E70" s="9">
        <v>7826.21</v>
      </c>
      <c r="F70" s="15">
        <f>IFERROR(PRD[[#This Row],[VALOR]]/PRD[[#This Row],[KGS]],"")</f>
        <v>3.3545692241748823</v>
      </c>
      <c r="H70" s="27"/>
    </row>
    <row r="71" spans="1:8" x14ac:dyDescent="0.25">
      <c r="A71" s="21" t="s">
        <v>138</v>
      </c>
      <c r="B71" s="1">
        <v>44896</v>
      </c>
      <c r="C71" t="s">
        <v>139</v>
      </c>
      <c r="D71" s="6">
        <v>421.31</v>
      </c>
      <c r="E71" s="9">
        <v>1327.12</v>
      </c>
      <c r="F71" s="15">
        <f>IFERROR(PRD[[#This Row],[VALOR]]/PRD[[#This Row],[KGS]],"")</f>
        <v>3.1499845719304074</v>
      </c>
      <c r="H71" s="27"/>
    </row>
    <row r="72" spans="1:8" x14ac:dyDescent="0.25">
      <c r="A72" s="21" t="s">
        <v>140</v>
      </c>
      <c r="B72" s="1">
        <v>44896</v>
      </c>
      <c r="C72" t="s">
        <v>141</v>
      </c>
      <c r="D72" s="6">
        <v>1415</v>
      </c>
      <c r="E72" s="9">
        <v>4518.1000000000004</v>
      </c>
      <c r="F72" s="15">
        <f>IFERROR(PRD[[#This Row],[VALOR]]/PRD[[#This Row],[KGS]],"")</f>
        <v>3.1930035335689047</v>
      </c>
      <c r="H72" s="27"/>
    </row>
    <row r="73" spans="1:8" x14ac:dyDescent="0.25">
      <c r="A73" s="21" t="s">
        <v>142</v>
      </c>
      <c r="B73" s="1">
        <v>44896</v>
      </c>
      <c r="C73" t="s">
        <v>143</v>
      </c>
      <c r="D73" s="6">
        <v>843</v>
      </c>
      <c r="E73" s="9">
        <v>2854.56</v>
      </c>
      <c r="F73" s="15">
        <f>IFERROR(PRD[[#This Row],[VALOR]]/PRD[[#This Row],[KGS]],"")</f>
        <v>3.3861921708185054</v>
      </c>
      <c r="H73" s="27"/>
    </row>
    <row r="74" spans="1:8" x14ac:dyDescent="0.25">
      <c r="A74" s="21" t="s">
        <v>144</v>
      </c>
      <c r="B74" s="1">
        <v>44896</v>
      </c>
      <c r="C74" t="s">
        <v>145</v>
      </c>
      <c r="D74" s="6">
        <v>6820</v>
      </c>
      <c r="E74" s="9">
        <v>22742.240000000002</v>
      </c>
      <c r="F74" s="15">
        <f>IFERROR(PRD[[#This Row],[VALOR]]/PRD[[#This Row],[KGS]],"")</f>
        <v>3.3346392961876834</v>
      </c>
      <c r="H74" s="27"/>
    </row>
    <row r="75" spans="1:8" x14ac:dyDescent="0.25">
      <c r="A75" s="21" t="s">
        <v>146</v>
      </c>
      <c r="B75" s="1">
        <v>44896</v>
      </c>
      <c r="C75" t="s">
        <v>147</v>
      </c>
      <c r="D75" s="6">
        <v>1485</v>
      </c>
      <c r="E75" s="9">
        <v>5148.8500000000004</v>
      </c>
      <c r="F75" s="15">
        <f>IFERROR(PRD[[#This Row],[VALOR]]/PRD[[#This Row],[KGS]],"")</f>
        <v>3.4672390572390577</v>
      </c>
      <c r="H75" s="27"/>
    </row>
    <row r="76" spans="1:8" x14ac:dyDescent="0.25">
      <c r="A76" s="21" t="s">
        <v>148</v>
      </c>
      <c r="B76" s="1">
        <v>44896</v>
      </c>
      <c r="C76" t="s">
        <v>149</v>
      </c>
      <c r="D76" s="6">
        <v>262.14</v>
      </c>
      <c r="E76" s="9">
        <v>919.79</v>
      </c>
      <c r="F76" s="15">
        <f>IFERROR(PRD[[#This Row],[VALOR]]/PRD[[#This Row],[KGS]],"")</f>
        <v>3.5087739375906004</v>
      </c>
      <c r="H76" s="27"/>
    </row>
    <row r="77" spans="1:8" x14ac:dyDescent="0.25">
      <c r="A77" s="21" t="s">
        <v>150</v>
      </c>
      <c r="B77" s="1">
        <v>44896</v>
      </c>
      <c r="C77" t="s">
        <v>151</v>
      </c>
      <c r="D77" s="6">
        <v>1222.71</v>
      </c>
      <c r="E77" s="9">
        <v>4310.97</v>
      </c>
      <c r="F77" s="15">
        <f>IFERROR(PRD[[#This Row],[VALOR]]/PRD[[#This Row],[KGS]],"")</f>
        <v>3.525750177883554</v>
      </c>
      <c r="H77" s="27"/>
    </row>
    <row r="78" spans="1:8" x14ac:dyDescent="0.25">
      <c r="A78" s="21" t="s">
        <v>152</v>
      </c>
      <c r="B78" s="1">
        <v>44896</v>
      </c>
      <c r="C78" t="s">
        <v>153</v>
      </c>
      <c r="D78" s="6">
        <v>1785.44</v>
      </c>
      <c r="E78" s="9">
        <v>6166.39</v>
      </c>
      <c r="F78" s="15">
        <f>IFERROR(PRD[[#This Row],[VALOR]]/PRD[[#This Row],[KGS]],"")</f>
        <v>3.4537088896854558</v>
      </c>
      <c r="H78" s="27"/>
    </row>
    <row r="79" spans="1:8" x14ac:dyDescent="0.25">
      <c r="A79" s="21" t="s">
        <v>154</v>
      </c>
      <c r="B79" s="1">
        <v>44896</v>
      </c>
      <c r="C79" t="s">
        <v>155</v>
      </c>
      <c r="D79" s="6">
        <v>1004.07</v>
      </c>
      <c r="E79" s="9">
        <v>3522.02</v>
      </c>
      <c r="F79" s="15">
        <f>IFERROR(PRD[[#This Row],[VALOR]]/PRD[[#This Row],[KGS]],"")</f>
        <v>3.5077434840200383</v>
      </c>
      <c r="H79" s="27"/>
    </row>
    <row r="80" spans="1:8" x14ac:dyDescent="0.25">
      <c r="A80" s="21" t="s">
        <v>156</v>
      </c>
      <c r="B80" s="1">
        <v>44896</v>
      </c>
      <c r="C80" t="s">
        <v>157</v>
      </c>
      <c r="D80" s="6">
        <v>628.79999999999995</v>
      </c>
      <c r="E80" s="9">
        <v>2158.62</v>
      </c>
      <c r="F80" s="15">
        <f>IFERROR(PRD[[#This Row],[VALOR]]/PRD[[#This Row],[KGS]],"")</f>
        <v>3.4329198473282445</v>
      </c>
      <c r="H80" s="27"/>
    </row>
    <row r="81" spans="1:8" x14ac:dyDescent="0.25">
      <c r="A81" s="21" t="s">
        <v>158</v>
      </c>
      <c r="B81" s="1">
        <v>44896</v>
      </c>
      <c r="C81" t="s">
        <v>159</v>
      </c>
      <c r="D81" s="6">
        <v>1928.08</v>
      </c>
      <c r="E81" s="9">
        <v>5368.76</v>
      </c>
      <c r="F81" s="15">
        <f>IFERROR(PRD[[#This Row],[VALOR]]/PRD[[#This Row],[KGS]],"")</f>
        <v>2.7845110161404092</v>
      </c>
      <c r="H81" s="27"/>
    </row>
    <row r="82" spans="1:8" x14ac:dyDescent="0.25">
      <c r="A82" s="21" t="s">
        <v>160</v>
      </c>
      <c r="B82" s="1">
        <v>44896</v>
      </c>
      <c r="C82" t="s">
        <v>161</v>
      </c>
      <c r="D82" s="6">
        <v>45.1</v>
      </c>
      <c r="E82" s="9">
        <v>127.78</v>
      </c>
      <c r="F82" s="15">
        <f>IFERROR(PRD[[#This Row],[VALOR]]/PRD[[#This Row],[KGS]],"")</f>
        <v>2.8332594235033257</v>
      </c>
      <c r="H82" s="27"/>
    </row>
    <row r="83" spans="1:8" x14ac:dyDescent="0.25">
      <c r="A83" s="21" t="s">
        <v>162</v>
      </c>
      <c r="B83" s="1">
        <v>44896</v>
      </c>
      <c r="C83" t="s">
        <v>163</v>
      </c>
      <c r="D83" s="6">
        <v>53.73</v>
      </c>
      <c r="E83" s="9">
        <v>159.44</v>
      </c>
      <c r="F83" s="15">
        <f>IFERROR(PRD[[#This Row],[VALOR]]/PRD[[#This Row],[KGS]],"")</f>
        <v>2.967429741299088</v>
      </c>
      <c r="H83" s="27"/>
    </row>
    <row r="84" spans="1:8" x14ac:dyDescent="0.25">
      <c r="A84" s="21" t="s">
        <v>164</v>
      </c>
      <c r="B84" s="1">
        <v>44896</v>
      </c>
      <c r="C84" t="s">
        <v>165</v>
      </c>
      <c r="D84" s="6">
        <v>1196.27</v>
      </c>
      <c r="E84" s="9">
        <v>3360.65</v>
      </c>
      <c r="F84" s="15">
        <f>IFERROR(PRD[[#This Row],[VALOR]]/PRD[[#This Row],[KGS]],"")</f>
        <v>2.8092738261429275</v>
      </c>
      <c r="H84" s="27"/>
    </row>
    <row r="85" spans="1:8" x14ac:dyDescent="0.25">
      <c r="A85" s="21" t="s">
        <v>166</v>
      </c>
      <c r="B85" s="1">
        <v>44896</v>
      </c>
      <c r="C85" t="s">
        <v>167</v>
      </c>
      <c r="D85" s="6">
        <v>3259.76</v>
      </c>
      <c r="E85" s="9">
        <v>6947.15</v>
      </c>
      <c r="F85" s="15">
        <f>IFERROR(PRD[[#This Row],[VALOR]]/PRD[[#This Row],[KGS]],"")</f>
        <v>2.1311845043806903</v>
      </c>
      <c r="H85" s="27"/>
    </row>
    <row r="86" spans="1:8" x14ac:dyDescent="0.25">
      <c r="A86" s="21" t="s">
        <v>168</v>
      </c>
      <c r="B86" s="1">
        <v>44896</v>
      </c>
      <c r="C86" t="s">
        <v>169</v>
      </c>
      <c r="D86" s="6">
        <v>4638.4399999999996</v>
      </c>
      <c r="E86" s="9">
        <v>9728.1200000000008</v>
      </c>
      <c r="F86" s="15">
        <f>IFERROR(PRD[[#This Row],[VALOR]]/PRD[[#This Row],[KGS]],"")</f>
        <v>2.0972827071170483</v>
      </c>
      <c r="H86" s="27"/>
    </row>
    <row r="87" spans="1:8" x14ac:dyDescent="0.25">
      <c r="A87" s="21" t="s">
        <v>170</v>
      </c>
      <c r="B87" s="1">
        <v>44896</v>
      </c>
      <c r="C87" t="s">
        <v>171</v>
      </c>
      <c r="D87" s="6">
        <v>1154.5</v>
      </c>
      <c r="E87" s="9">
        <v>2197.06</v>
      </c>
      <c r="F87" s="15">
        <f>IFERROR(PRD[[#This Row],[VALOR]]/PRD[[#This Row],[KGS]],"")</f>
        <v>1.9030402771762667</v>
      </c>
      <c r="H87" s="27"/>
    </row>
    <row r="88" spans="1:8" x14ac:dyDescent="0.25">
      <c r="A88" s="21" t="s">
        <v>172</v>
      </c>
      <c r="B88" s="1">
        <v>44896</v>
      </c>
      <c r="C88" t="s">
        <v>173</v>
      </c>
      <c r="D88" s="6">
        <v>40.020000000000003</v>
      </c>
      <c r="E88" s="9">
        <v>139.16</v>
      </c>
      <c r="F88" s="15">
        <f>IFERROR(PRD[[#This Row],[VALOR]]/PRD[[#This Row],[KGS]],"")</f>
        <v>3.4772613693153418</v>
      </c>
      <c r="H88" s="27"/>
    </row>
    <row r="89" spans="1:8" x14ac:dyDescent="0.25">
      <c r="A89" s="21" t="s">
        <v>174</v>
      </c>
      <c r="B89" s="1">
        <v>44896</v>
      </c>
      <c r="C89" t="s">
        <v>173</v>
      </c>
      <c r="D89" s="6">
        <v>8.85</v>
      </c>
      <c r="E89" s="9">
        <v>30.78</v>
      </c>
      <c r="F89" s="15">
        <f>IFERROR(PRD[[#This Row],[VALOR]]/PRD[[#This Row],[KGS]],"")</f>
        <v>3.4779661016949155</v>
      </c>
      <c r="H89" s="27"/>
    </row>
    <row r="90" spans="1:8" x14ac:dyDescent="0.25">
      <c r="A90" s="21" t="s">
        <v>175</v>
      </c>
      <c r="B90" s="1">
        <v>44896</v>
      </c>
      <c r="C90" t="s">
        <v>176</v>
      </c>
      <c r="D90" s="6">
        <v>1704.95</v>
      </c>
      <c r="E90" s="9">
        <v>3528.31</v>
      </c>
      <c r="F90" s="15">
        <f>IFERROR(PRD[[#This Row],[VALOR]]/PRD[[#This Row],[KGS]],"")</f>
        <v>2.0694507170298246</v>
      </c>
      <c r="H90" s="27"/>
    </row>
    <row r="91" spans="1:8" x14ac:dyDescent="0.25">
      <c r="A91" s="21" t="s">
        <v>177</v>
      </c>
      <c r="B91" s="1">
        <v>44896</v>
      </c>
      <c r="C91" t="s">
        <v>178</v>
      </c>
      <c r="D91" s="6">
        <v>40.4</v>
      </c>
      <c r="E91" s="9">
        <v>95.85</v>
      </c>
      <c r="F91" s="15">
        <f>IFERROR(PRD[[#This Row],[VALOR]]/PRD[[#This Row],[KGS]],"")</f>
        <v>2.3725247524752473</v>
      </c>
      <c r="H91" s="27"/>
    </row>
    <row r="92" spans="1:8" x14ac:dyDescent="0.25">
      <c r="A92" s="21" t="s">
        <v>179</v>
      </c>
      <c r="B92" s="1">
        <v>44896</v>
      </c>
      <c r="C92" t="s">
        <v>180</v>
      </c>
      <c r="D92" s="6">
        <v>6.61</v>
      </c>
      <c r="E92" s="9">
        <v>14.98</v>
      </c>
      <c r="F92" s="15">
        <f>IFERROR(PRD[[#This Row],[VALOR]]/PRD[[#This Row],[KGS]],"")</f>
        <v>2.2662632375189107</v>
      </c>
      <c r="H92" s="27"/>
    </row>
    <row r="93" spans="1:8" x14ac:dyDescent="0.25">
      <c r="A93" s="21" t="s">
        <v>181</v>
      </c>
      <c r="B93" s="1">
        <v>44896</v>
      </c>
      <c r="C93" t="s">
        <v>182</v>
      </c>
      <c r="D93" s="6">
        <v>477.5</v>
      </c>
      <c r="E93" s="9">
        <v>1977.7</v>
      </c>
      <c r="F93" s="15">
        <f>IFERROR(PRD[[#This Row],[VALOR]]/PRD[[#This Row],[KGS]],"")</f>
        <v>4.1417801047120424</v>
      </c>
      <c r="H93" s="27"/>
    </row>
    <row r="94" spans="1:8" x14ac:dyDescent="0.25">
      <c r="A94" s="21" t="s">
        <v>183</v>
      </c>
      <c r="B94" s="1">
        <v>44896</v>
      </c>
      <c r="C94" t="s">
        <v>309</v>
      </c>
      <c r="D94" s="6">
        <v>977</v>
      </c>
      <c r="E94" s="9">
        <v>2010.75</v>
      </c>
      <c r="F94" s="15">
        <f>IFERROR(PRD[[#This Row],[VALOR]]/PRD[[#This Row],[KGS]],"")</f>
        <v>2.0580859774820879</v>
      </c>
      <c r="H94" s="27"/>
    </row>
    <row r="95" spans="1:8" x14ac:dyDescent="0.25">
      <c r="A95" s="21" t="s">
        <v>185</v>
      </c>
      <c r="B95" s="1">
        <v>44896</v>
      </c>
      <c r="C95" t="s">
        <v>186</v>
      </c>
      <c r="D95" s="6">
        <v>1585</v>
      </c>
      <c r="E95" s="9">
        <v>2791.45</v>
      </c>
      <c r="F95" s="15">
        <f>IFERROR(PRD[[#This Row],[VALOR]]/PRD[[#This Row],[KGS]],"")</f>
        <v>1.761167192429022</v>
      </c>
      <c r="H95" s="27"/>
    </row>
    <row r="96" spans="1:8" x14ac:dyDescent="0.25">
      <c r="A96" s="21" t="s">
        <v>187</v>
      </c>
      <c r="B96" s="1">
        <v>44896</v>
      </c>
      <c r="C96" t="s">
        <v>188</v>
      </c>
      <c r="D96" s="6">
        <v>3020</v>
      </c>
      <c r="E96" s="9">
        <v>5317</v>
      </c>
      <c r="F96" s="15">
        <f>IFERROR(PRD[[#This Row],[VALOR]]/PRD[[#This Row],[KGS]],"")</f>
        <v>1.7605960264900662</v>
      </c>
      <c r="H96" s="27"/>
    </row>
    <row r="97" spans="1:8" x14ac:dyDescent="0.25">
      <c r="A97" s="21" t="s">
        <v>189</v>
      </c>
      <c r="B97" s="1">
        <v>44896</v>
      </c>
      <c r="C97" t="s">
        <v>190</v>
      </c>
      <c r="D97" s="6">
        <v>880</v>
      </c>
      <c r="E97" s="9">
        <v>1526</v>
      </c>
      <c r="F97" s="15">
        <f>IFERROR(PRD[[#This Row],[VALOR]]/PRD[[#This Row],[KGS]],"")</f>
        <v>1.7340909090909091</v>
      </c>
      <c r="H97" s="27"/>
    </row>
    <row r="98" spans="1:8" x14ac:dyDescent="0.25">
      <c r="A98" s="21" t="s">
        <v>191</v>
      </c>
      <c r="B98" s="1">
        <v>44896</v>
      </c>
      <c r="C98" t="s">
        <v>192</v>
      </c>
      <c r="D98" s="6">
        <v>1534</v>
      </c>
      <c r="E98" s="9">
        <v>5861.46</v>
      </c>
      <c r="F98" s="15">
        <f>IFERROR(PRD[[#This Row],[VALOR]]/PRD[[#This Row],[KGS]],"")</f>
        <v>3.8210299869621904</v>
      </c>
      <c r="H98" s="27"/>
    </row>
    <row r="99" spans="1:8" x14ac:dyDescent="0.25">
      <c r="A99" s="21" t="s">
        <v>193</v>
      </c>
      <c r="B99" s="1">
        <v>44896</v>
      </c>
      <c r="C99" t="s">
        <v>194</v>
      </c>
      <c r="D99" s="6">
        <v>4</v>
      </c>
      <c r="E99" s="9">
        <v>15.2</v>
      </c>
      <c r="F99" s="15">
        <f>IFERROR(PRD[[#This Row],[VALOR]]/PRD[[#This Row],[KGS]],"")</f>
        <v>3.8</v>
      </c>
      <c r="H99" s="27"/>
    </row>
    <row r="100" spans="1:8" x14ac:dyDescent="0.25">
      <c r="A100" s="21" t="s">
        <v>195</v>
      </c>
      <c r="B100" s="1">
        <v>44896</v>
      </c>
      <c r="C100" t="s">
        <v>196</v>
      </c>
      <c r="D100" s="6">
        <v>384.38</v>
      </c>
      <c r="E100" s="9">
        <v>997.89</v>
      </c>
      <c r="F100" s="15">
        <f>IFERROR(PRD[[#This Row],[VALOR]]/PRD[[#This Row],[KGS]],"")</f>
        <v>2.5961028149227325</v>
      </c>
      <c r="H100" s="27"/>
    </row>
    <row r="101" spans="1:8" x14ac:dyDescent="0.25">
      <c r="A101" s="21" t="s">
        <v>197</v>
      </c>
      <c r="B101" s="1">
        <v>44896</v>
      </c>
      <c r="C101" t="s">
        <v>198</v>
      </c>
      <c r="D101" s="6">
        <v>1538.3</v>
      </c>
      <c r="E101" s="9">
        <v>1122.78</v>
      </c>
      <c r="F101" s="15">
        <f>IFERROR(PRD[[#This Row],[VALOR]]/PRD[[#This Row],[KGS]],"")</f>
        <v>0.72988363778196708</v>
      </c>
      <c r="H101" s="27"/>
    </row>
    <row r="102" spans="1:8" x14ac:dyDescent="0.25">
      <c r="A102" s="21" t="s">
        <v>199</v>
      </c>
      <c r="B102" s="1">
        <v>44896</v>
      </c>
      <c r="C102" t="s">
        <v>200</v>
      </c>
      <c r="D102" s="6">
        <v>357.9</v>
      </c>
      <c r="E102" s="9">
        <v>2049.65</v>
      </c>
      <c r="F102" s="15">
        <f>IFERROR(PRD[[#This Row],[VALOR]]/PRD[[#This Row],[KGS]],"")</f>
        <v>5.7268790164850527</v>
      </c>
      <c r="H102" s="27"/>
    </row>
    <row r="103" spans="1:8" x14ac:dyDescent="0.25">
      <c r="A103" s="21" t="s">
        <v>201</v>
      </c>
      <c r="B103" s="1">
        <v>44896</v>
      </c>
      <c r="C103" t="s">
        <v>202</v>
      </c>
      <c r="D103" s="6">
        <v>1025</v>
      </c>
      <c r="E103" s="9">
        <v>5865.25</v>
      </c>
      <c r="F103" s="15">
        <f>IFERROR(PRD[[#This Row],[VALOR]]/PRD[[#This Row],[KGS]],"")</f>
        <v>5.7221951219512199</v>
      </c>
      <c r="H103" s="27"/>
    </row>
    <row r="104" spans="1:8" x14ac:dyDescent="0.25">
      <c r="A104" s="21" t="s">
        <v>203</v>
      </c>
      <c r="B104" s="1">
        <v>44896</v>
      </c>
      <c r="C104" t="s">
        <v>311</v>
      </c>
      <c r="D104" s="6">
        <v>665</v>
      </c>
      <c r="E104" s="9">
        <v>2488.58</v>
      </c>
      <c r="F104" s="15">
        <f>IFERROR(PRD[[#This Row],[VALOR]]/PRD[[#This Row],[KGS]],"")</f>
        <v>3.7422255639097743</v>
      </c>
      <c r="H104" s="27"/>
    </row>
    <row r="105" spans="1:8" x14ac:dyDescent="0.25">
      <c r="A105" s="21" t="s">
        <v>205</v>
      </c>
      <c r="B105" s="1">
        <v>44896</v>
      </c>
      <c r="C105" t="s">
        <v>461</v>
      </c>
      <c r="D105" s="6">
        <v>390</v>
      </c>
      <c r="E105" s="9">
        <v>2503.85</v>
      </c>
      <c r="F105" s="15">
        <f>IFERROR(PRD[[#This Row],[VALOR]]/PRD[[#This Row],[KGS]],"")</f>
        <v>6.4201282051282051</v>
      </c>
      <c r="H105" s="27"/>
    </row>
    <row r="106" spans="1:8" x14ac:dyDescent="0.25">
      <c r="A106" s="21" t="s">
        <v>207</v>
      </c>
      <c r="B106" s="1">
        <v>44896</v>
      </c>
      <c r="C106" t="s">
        <v>208</v>
      </c>
      <c r="D106" s="6">
        <v>188.9</v>
      </c>
      <c r="E106" s="9">
        <v>985.43</v>
      </c>
      <c r="F106" s="15">
        <f>IFERROR(PRD[[#This Row],[VALOR]]/PRD[[#This Row],[KGS]],"")</f>
        <v>5.2166754896770771</v>
      </c>
      <c r="H106" s="27"/>
    </row>
    <row r="107" spans="1:8" x14ac:dyDescent="0.25">
      <c r="A107" s="21" t="s">
        <v>209</v>
      </c>
      <c r="B107" s="1">
        <v>44896</v>
      </c>
      <c r="C107" t="s">
        <v>210</v>
      </c>
      <c r="D107" s="6">
        <v>692.4</v>
      </c>
      <c r="E107" s="9">
        <v>3478.72</v>
      </c>
      <c r="F107" s="15">
        <f>IFERROR(PRD[[#This Row],[VALOR]]/PRD[[#This Row],[KGS]],"")</f>
        <v>5.0241478913922588</v>
      </c>
      <c r="H107" s="27"/>
    </row>
    <row r="108" spans="1:8" x14ac:dyDescent="0.25">
      <c r="A108" s="21" t="s">
        <v>211</v>
      </c>
      <c r="B108" s="1">
        <v>44896</v>
      </c>
      <c r="C108" t="s">
        <v>212</v>
      </c>
      <c r="D108" s="6">
        <v>1194.7</v>
      </c>
      <c r="E108" s="9">
        <v>3037.66</v>
      </c>
      <c r="F108" s="15">
        <f>IFERROR(PRD[[#This Row],[VALOR]]/PRD[[#This Row],[KGS]],"")</f>
        <v>2.5426132083368209</v>
      </c>
      <c r="H108" s="27"/>
    </row>
    <row r="109" spans="1:8" x14ac:dyDescent="0.25">
      <c r="A109" s="21" t="s">
        <v>213</v>
      </c>
      <c r="B109" s="1">
        <v>44896</v>
      </c>
      <c r="C109" t="s">
        <v>214</v>
      </c>
      <c r="D109" s="6">
        <v>2640</v>
      </c>
      <c r="E109" s="9">
        <v>7419.41</v>
      </c>
      <c r="F109" s="15">
        <f>IFERROR(PRD[[#This Row],[VALOR]]/PRD[[#This Row],[KGS]],"")</f>
        <v>2.8103825757575756</v>
      </c>
      <c r="H109" s="27"/>
    </row>
    <row r="110" spans="1:8" x14ac:dyDescent="0.25">
      <c r="A110" s="21" t="s">
        <v>215</v>
      </c>
      <c r="B110" s="1">
        <v>44896</v>
      </c>
      <c r="C110" t="s">
        <v>216</v>
      </c>
      <c r="D110" s="6">
        <v>2821</v>
      </c>
      <c r="E110" s="9">
        <v>7605.7</v>
      </c>
      <c r="F110" s="15">
        <f>IFERROR(PRD[[#This Row],[VALOR]]/PRD[[#This Row],[KGS]],"")</f>
        <v>2.6961006735200281</v>
      </c>
      <c r="H110" s="27"/>
    </row>
    <row r="111" spans="1:8" x14ac:dyDescent="0.25">
      <c r="A111" s="21" t="s">
        <v>217</v>
      </c>
      <c r="B111" s="1">
        <v>44896</v>
      </c>
      <c r="C111" t="s">
        <v>218</v>
      </c>
      <c r="D111" s="6">
        <v>2528</v>
      </c>
      <c r="E111" s="9">
        <v>6765.95</v>
      </c>
      <c r="F111" s="15">
        <f>IFERROR(PRD[[#This Row],[VALOR]]/PRD[[#This Row],[KGS]],"")</f>
        <v>2.6764042721518986</v>
      </c>
      <c r="H111" s="27"/>
    </row>
    <row r="112" spans="1:8" x14ac:dyDescent="0.25">
      <c r="A112" s="21" t="s">
        <v>219</v>
      </c>
      <c r="B112" s="1">
        <v>44896</v>
      </c>
      <c r="C112" t="s">
        <v>220</v>
      </c>
      <c r="D112" s="6">
        <v>5299.55</v>
      </c>
      <c r="E112" s="9">
        <v>14175.82</v>
      </c>
      <c r="F112" s="15">
        <f>IFERROR(PRD[[#This Row],[VALOR]]/PRD[[#This Row],[KGS]],"")</f>
        <v>2.6749101338792913</v>
      </c>
      <c r="H112" s="27"/>
    </row>
    <row r="113" spans="1:8" x14ac:dyDescent="0.25">
      <c r="A113" s="21" t="s">
        <v>221</v>
      </c>
      <c r="B113" s="1">
        <v>44896</v>
      </c>
      <c r="C113" t="s">
        <v>222</v>
      </c>
      <c r="D113" s="6">
        <v>393</v>
      </c>
      <c r="E113" s="9">
        <v>1085.9000000000001</v>
      </c>
      <c r="F113" s="15">
        <f>IFERROR(PRD[[#This Row],[VALOR]]/PRD[[#This Row],[KGS]],"")</f>
        <v>2.7631043256997456</v>
      </c>
      <c r="H113" s="27"/>
    </row>
    <row r="114" spans="1:8" x14ac:dyDescent="0.25">
      <c r="A114" s="21" t="s">
        <v>223</v>
      </c>
      <c r="B114" s="1">
        <v>44896</v>
      </c>
      <c r="C114" t="s">
        <v>224</v>
      </c>
      <c r="D114" s="6">
        <v>1001.08</v>
      </c>
      <c r="E114" s="9">
        <v>2771.52</v>
      </c>
      <c r="F114" s="15">
        <f>IFERROR(PRD[[#This Row],[VALOR]]/PRD[[#This Row],[KGS]],"")</f>
        <v>2.7685299876133773</v>
      </c>
      <c r="H114" s="27"/>
    </row>
    <row r="115" spans="1:8" ht="15" customHeight="1" x14ac:dyDescent="0.25">
      <c r="A115" s="21" t="s">
        <v>225</v>
      </c>
      <c r="B115" s="1">
        <v>44896</v>
      </c>
      <c r="C115" t="s">
        <v>226</v>
      </c>
      <c r="D115" s="6">
        <v>2583</v>
      </c>
      <c r="E115" s="9">
        <v>1467.48</v>
      </c>
      <c r="F115" s="15">
        <f>IFERROR(PRD[[#This Row],[VALOR]]/PRD[[#This Row],[KGS]],"")</f>
        <v>0.56813008130081299</v>
      </c>
      <c r="H115" s="27"/>
    </row>
    <row r="116" spans="1:8" x14ac:dyDescent="0.25">
      <c r="A116" s="21" t="s">
        <v>227</v>
      </c>
      <c r="B116" s="1">
        <v>44896</v>
      </c>
      <c r="C116" t="s">
        <v>228</v>
      </c>
      <c r="D116" s="6">
        <v>8036.3</v>
      </c>
      <c r="E116" s="9">
        <v>20748.95</v>
      </c>
      <c r="F116" s="15">
        <f>IFERROR(PRD[[#This Row],[VALOR]]/PRD[[#This Row],[KGS]],"")</f>
        <v>2.5819033634881725</v>
      </c>
      <c r="H116" s="27"/>
    </row>
    <row r="117" spans="1:8" x14ac:dyDescent="0.25">
      <c r="A117" s="21" t="s">
        <v>229</v>
      </c>
      <c r="B117" s="1">
        <v>44896</v>
      </c>
      <c r="C117" t="s">
        <v>230</v>
      </c>
      <c r="D117" s="6">
        <v>982.2</v>
      </c>
      <c r="E117" s="9">
        <v>2504.88</v>
      </c>
      <c r="F117" s="15">
        <f>IFERROR(PRD[[#This Row],[VALOR]]/PRD[[#This Row],[KGS]],"")</f>
        <v>2.5502748930971291</v>
      </c>
      <c r="H117" s="27"/>
    </row>
    <row r="118" spans="1:8" x14ac:dyDescent="0.25">
      <c r="A118" s="21" t="s">
        <v>231</v>
      </c>
      <c r="B118" s="1">
        <v>44896</v>
      </c>
      <c r="C118" t="s">
        <v>232</v>
      </c>
      <c r="D118" s="6">
        <v>1133</v>
      </c>
      <c r="E118" s="9">
        <v>2867.52</v>
      </c>
      <c r="F118" s="15">
        <f>IFERROR(PRD[[#This Row],[VALOR]]/PRD[[#This Row],[KGS]],"")</f>
        <v>2.5309090909090908</v>
      </c>
      <c r="H118" s="27"/>
    </row>
    <row r="119" spans="1:8" x14ac:dyDescent="0.25">
      <c r="A119" s="21" t="s">
        <v>233</v>
      </c>
      <c r="B119" s="1">
        <v>44896</v>
      </c>
      <c r="C119" t="s">
        <v>234</v>
      </c>
      <c r="D119" s="6">
        <v>139</v>
      </c>
      <c r="E119" s="9">
        <v>348.7</v>
      </c>
      <c r="F119" s="15">
        <f>IFERROR(PRD[[#This Row],[VALOR]]/PRD[[#This Row],[KGS]],"")</f>
        <v>2.5086330935251797</v>
      </c>
      <c r="H119" s="27"/>
    </row>
    <row r="120" spans="1:8" x14ac:dyDescent="0.25">
      <c r="A120" s="21" t="s">
        <v>235</v>
      </c>
      <c r="B120" s="1">
        <v>44896</v>
      </c>
      <c r="C120" t="s">
        <v>236</v>
      </c>
      <c r="D120" s="6">
        <v>6035.5</v>
      </c>
      <c r="E120" s="9">
        <v>14097.97</v>
      </c>
      <c r="F120" s="15">
        <f>IFERROR(PRD[[#This Row],[VALOR]]/PRD[[#This Row],[KGS]],"")</f>
        <v>2.3358412724712121</v>
      </c>
      <c r="H120" s="27"/>
    </row>
    <row r="121" spans="1:8" x14ac:dyDescent="0.25">
      <c r="A121" s="21" t="s">
        <v>237</v>
      </c>
      <c r="B121" s="1">
        <v>44896</v>
      </c>
      <c r="C121" t="s">
        <v>238</v>
      </c>
      <c r="D121" s="6">
        <v>5839</v>
      </c>
      <c r="E121" s="9">
        <v>13653.96</v>
      </c>
      <c r="F121" s="15">
        <f>IFERROR(PRD[[#This Row],[VALOR]]/PRD[[#This Row],[KGS]],"")</f>
        <v>2.338407261517383</v>
      </c>
      <c r="H121" s="27"/>
    </row>
    <row r="122" spans="1:8" x14ac:dyDescent="0.25">
      <c r="A122" s="21" t="s">
        <v>239</v>
      </c>
      <c r="B122" s="1">
        <v>44896</v>
      </c>
      <c r="C122" t="s">
        <v>240</v>
      </c>
      <c r="D122" s="6">
        <v>121.7</v>
      </c>
      <c r="E122" s="9">
        <v>334.13</v>
      </c>
      <c r="F122" s="15">
        <f>IFERROR(PRD[[#This Row],[VALOR]]/PRD[[#This Row],[KGS]],"")</f>
        <v>2.7455217748562037</v>
      </c>
      <c r="H122" s="27"/>
    </row>
    <row r="123" spans="1:8" x14ac:dyDescent="0.25">
      <c r="A123" s="21" t="s">
        <v>241</v>
      </c>
      <c r="B123" s="1">
        <v>44896</v>
      </c>
      <c r="C123" t="s">
        <v>242</v>
      </c>
      <c r="D123" s="6">
        <v>598.5</v>
      </c>
      <c r="E123" s="9">
        <v>1534.26</v>
      </c>
      <c r="F123" s="15">
        <f>IFERROR(PRD[[#This Row],[VALOR]]/PRD[[#This Row],[KGS]],"")</f>
        <v>2.5635087719298246</v>
      </c>
      <c r="H123" s="27"/>
    </row>
    <row r="124" spans="1:8" x14ac:dyDescent="0.25">
      <c r="A124" s="21" t="s">
        <v>243</v>
      </c>
      <c r="B124" s="1">
        <v>44896</v>
      </c>
      <c r="C124" t="s">
        <v>244</v>
      </c>
      <c r="D124" s="6">
        <v>380.4</v>
      </c>
      <c r="E124" s="9">
        <v>1022.37</v>
      </c>
      <c r="F124" s="15">
        <f>IFERROR(PRD[[#This Row],[VALOR]]/PRD[[#This Row],[KGS]],"")</f>
        <v>2.6876182965299686</v>
      </c>
      <c r="H124" s="27"/>
    </row>
    <row r="125" spans="1:8" x14ac:dyDescent="0.25">
      <c r="A125" s="21" t="s">
        <v>245</v>
      </c>
      <c r="B125" s="1">
        <v>44896</v>
      </c>
      <c r="C125" t="s">
        <v>246</v>
      </c>
      <c r="D125" s="6">
        <v>933.5</v>
      </c>
      <c r="E125" s="9">
        <v>2634.45</v>
      </c>
      <c r="F125" s="15">
        <f>IFERROR(PRD[[#This Row],[VALOR]]/PRD[[#This Row],[KGS]],"")</f>
        <v>2.8221210498125333</v>
      </c>
      <c r="H125" s="27"/>
    </row>
    <row r="126" spans="1:8" x14ac:dyDescent="0.25">
      <c r="A126" s="21" t="s">
        <v>247</v>
      </c>
      <c r="B126" s="1">
        <v>44896</v>
      </c>
      <c r="C126" t="s">
        <v>248</v>
      </c>
      <c r="D126" s="6">
        <v>62.2</v>
      </c>
      <c r="E126" s="9">
        <v>310.70999999999998</v>
      </c>
      <c r="F126" s="15">
        <f>IFERROR(PRD[[#This Row],[VALOR]]/PRD[[#This Row],[KGS]],"")</f>
        <v>4.9953376205787778</v>
      </c>
      <c r="H126" s="27"/>
    </row>
    <row r="127" spans="1:8" x14ac:dyDescent="0.25">
      <c r="A127" s="21" t="s">
        <v>249</v>
      </c>
      <c r="B127" s="1">
        <v>44896</v>
      </c>
      <c r="C127" t="s">
        <v>250</v>
      </c>
      <c r="D127" s="6">
        <v>133.80000000000001</v>
      </c>
      <c r="E127" s="9">
        <v>647.28</v>
      </c>
      <c r="F127" s="15">
        <f>IFERROR(PRD[[#This Row],[VALOR]]/PRD[[#This Row],[KGS]],"")</f>
        <v>4.8376681614349772</v>
      </c>
      <c r="H127" s="27"/>
    </row>
    <row r="128" spans="1:8" x14ac:dyDescent="0.25">
      <c r="A128" s="21" t="s">
        <v>251</v>
      </c>
      <c r="B128" s="1">
        <v>44896</v>
      </c>
      <c r="C128" t="s">
        <v>252</v>
      </c>
      <c r="D128" s="6">
        <v>321.24</v>
      </c>
      <c r="E128" s="9">
        <v>1262.92</v>
      </c>
      <c r="F128" s="15">
        <f>IFERROR(PRD[[#This Row],[VALOR]]/PRD[[#This Row],[KGS]],"")</f>
        <v>3.9313908604158887</v>
      </c>
      <c r="H128" s="27"/>
    </row>
    <row r="129" spans="1:8" x14ac:dyDescent="0.25">
      <c r="A129" s="21" t="s">
        <v>253</v>
      </c>
      <c r="B129" s="1">
        <v>44896</v>
      </c>
      <c r="C129" t="s">
        <v>254</v>
      </c>
      <c r="D129" s="6">
        <v>85.65</v>
      </c>
      <c r="E129" s="9">
        <v>330.63</v>
      </c>
      <c r="F129" s="15">
        <f>IFERROR(PRD[[#This Row],[VALOR]]/PRD[[#This Row],[KGS]],"")</f>
        <v>3.8602451838879155</v>
      </c>
      <c r="H129" s="27"/>
    </row>
    <row r="130" spans="1:8" x14ac:dyDescent="0.25">
      <c r="A130" s="21" t="s">
        <v>255</v>
      </c>
      <c r="B130" s="1">
        <v>44896</v>
      </c>
      <c r="C130" t="s">
        <v>256</v>
      </c>
      <c r="D130" s="6">
        <v>347.7</v>
      </c>
      <c r="E130" s="9">
        <v>782.41</v>
      </c>
      <c r="F130" s="15">
        <f>IFERROR(PRD[[#This Row],[VALOR]]/PRD[[#This Row],[KGS]],"")</f>
        <v>2.2502444636180616</v>
      </c>
      <c r="H130" s="27"/>
    </row>
    <row r="131" spans="1:8" x14ac:dyDescent="0.25">
      <c r="A131" s="21" t="s">
        <v>257</v>
      </c>
      <c r="B131" s="1">
        <v>44896</v>
      </c>
      <c r="C131" t="s">
        <v>258</v>
      </c>
      <c r="D131" s="6">
        <v>74.8</v>
      </c>
      <c r="E131" s="9">
        <v>195.25</v>
      </c>
      <c r="F131" s="15">
        <f>IFERROR(PRD[[#This Row],[VALOR]]/PRD[[#This Row],[KGS]],"")</f>
        <v>2.6102941176470589</v>
      </c>
      <c r="H131" s="27"/>
    </row>
    <row r="132" spans="1:8" x14ac:dyDescent="0.25">
      <c r="A132" s="21" t="s">
        <v>259</v>
      </c>
      <c r="B132" s="1">
        <v>44896</v>
      </c>
      <c r="C132" t="s">
        <v>260</v>
      </c>
      <c r="D132" s="6">
        <v>258.35000000000002</v>
      </c>
      <c r="E132" s="9">
        <v>664.48</v>
      </c>
      <c r="F132" s="15">
        <f>IFERROR(PRD[[#This Row],[VALOR]]/PRD[[#This Row],[KGS]],"")</f>
        <v>2.572014708728469</v>
      </c>
      <c r="H132" s="27"/>
    </row>
    <row r="133" spans="1:8" x14ac:dyDescent="0.25">
      <c r="A133" s="21" t="s">
        <v>261</v>
      </c>
      <c r="B133" s="1">
        <v>44896</v>
      </c>
      <c r="C133" t="s">
        <v>262</v>
      </c>
      <c r="D133" s="6">
        <v>258.3</v>
      </c>
      <c r="E133" s="9">
        <v>1308.4000000000001</v>
      </c>
      <c r="F133" s="15">
        <f>IFERROR(PRD[[#This Row],[VALOR]]/PRD[[#This Row],[KGS]],"")</f>
        <v>5.065427797135114</v>
      </c>
      <c r="H133" s="27"/>
    </row>
    <row r="134" spans="1:8" x14ac:dyDescent="0.25">
      <c r="A134" s="21" t="s">
        <v>263</v>
      </c>
      <c r="B134" s="1">
        <v>44896</v>
      </c>
      <c r="C134" t="s">
        <v>264</v>
      </c>
      <c r="D134" s="6">
        <v>214.6</v>
      </c>
      <c r="E134" s="9">
        <v>1068.43</v>
      </c>
      <c r="F134" s="15">
        <f>IFERROR(PRD[[#This Row],[VALOR]]/PRD[[#This Row],[KGS]],"")</f>
        <v>4.9787045666356011</v>
      </c>
      <c r="H134" s="27"/>
    </row>
    <row r="135" spans="1:8" x14ac:dyDescent="0.25">
      <c r="A135" s="21" t="s">
        <v>265</v>
      </c>
      <c r="B135" s="1">
        <v>44896</v>
      </c>
      <c r="C135" t="s">
        <v>266</v>
      </c>
      <c r="D135" s="6">
        <v>78.900000000000006</v>
      </c>
      <c r="E135" s="9">
        <v>382.58</v>
      </c>
      <c r="F135" s="15">
        <f>IFERROR(PRD[[#This Row],[VALOR]]/PRD[[#This Row],[KGS]],"")</f>
        <v>4.8489226869455004</v>
      </c>
      <c r="H135" s="27"/>
    </row>
    <row r="136" spans="1:8" x14ac:dyDescent="0.25">
      <c r="A136" s="21" t="s">
        <v>267</v>
      </c>
      <c r="B136" s="1">
        <v>44896</v>
      </c>
      <c r="C136" t="s">
        <v>268</v>
      </c>
      <c r="D136" s="6">
        <v>45.7</v>
      </c>
      <c r="E136" s="9">
        <v>200.86</v>
      </c>
      <c r="F136" s="15">
        <f>IFERROR(PRD[[#This Row],[VALOR]]/PRD[[#This Row],[KGS]],"")</f>
        <v>4.3951859956236321</v>
      </c>
      <c r="H136" s="27"/>
    </row>
    <row r="137" spans="1:8" x14ac:dyDescent="0.25">
      <c r="A137" s="21" t="s">
        <v>269</v>
      </c>
      <c r="B137" s="1">
        <v>44896</v>
      </c>
      <c r="C137" t="s">
        <v>270</v>
      </c>
      <c r="D137" s="6">
        <v>236</v>
      </c>
      <c r="E137" s="9">
        <v>1038.76</v>
      </c>
      <c r="F137" s="15">
        <f>IFERROR(PRD[[#This Row],[VALOR]]/PRD[[#This Row],[KGS]],"")</f>
        <v>4.4015254237288133</v>
      </c>
      <c r="H137" s="27"/>
    </row>
    <row r="138" spans="1:8" x14ac:dyDescent="0.25">
      <c r="A138" s="21" t="s">
        <v>271</v>
      </c>
      <c r="B138" s="1">
        <v>44896</v>
      </c>
      <c r="C138" t="s">
        <v>272</v>
      </c>
      <c r="D138" s="6">
        <v>50.5</v>
      </c>
      <c r="E138" s="9">
        <v>276.08</v>
      </c>
      <c r="F138" s="15">
        <f>IFERROR(PRD[[#This Row],[VALOR]]/PRD[[#This Row],[KGS]],"")</f>
        <v>5.4669306930693065</v>
      </c>
      <c r="H138" s="27"/>
    </row>
    <row r="139" spans="1:8" x14ac:dyDescent="0.25">
      <c r="A139" s="21" t="s">
        <v>273</v>
      </c>
      <c r="B139" s="1">
        <v>44896</v>
      </c>
      <c r="C139" t="s">
        <v>274</v>
      </c>
      <c r="D139" s="6">
        <v>1490.8</v>
      </c>
      <c r="E139" s="9">
        <v>3615.51</v>
      </c>
      <c r="F139" s="15">
        <f>IFERROR(PRD[[#This Row],[VALOR]]/PRD[[#This Row],[KGS]],"")</f>
        <v>2.4252146498524283</v>
      </c>
      <c r="H139" s="27"/>
    </row>
    <row r="140" spans="1:8" x14ac:dyDescent="0.25">
      <c r="A140" s="21" t="s">
        <v>275</v>
      </c>
      <c r="B140" s="1">
        <v>44896</v>
      </c>
      <c r="C140" t="s">
        <v>276</v>
      </c>
      <c r="D140" s="6">
        <v>2930</v>
      </c>
      <c r="E140" s="9">
        <v>7951.83</v>
      </c>
      <c r="F140" s="15">
        <f>IFERROR(PRD[[#This Row],[VALOR]]/PRD[[#This Row],[KGS]],"")</f>
        <v>2.7139351535836176</v>
      </c>
      <c r="H140" s="27"/>
    </row>
    <row r="141" spans="1:8" x14ac:dyDescent="0.25">
      <c r="A141" s="21" t="s">
        <v>277</v>
      </c>
      <c r="B141" s="1">
        <v>44896</v>
      </c>
      <c r="C141" t="s">
        <v>278</v>
      </c>
      <c r="D141" s="6">
        <v>194.5</v>
      </c>
      <c r="E141" s="9">
        <v>939.86</v>
      </c>
      <c r="F141" s="15">
        <f>IFERROR(PRD[[#This Row],[VALOR]]/PRD[[#This Row],[KGS]],"")</f>
        <v>4.8321850899742929</v>
      </c>
      <c r="H141" s="27"/>
    </row>
    <row r="142" spans="1:8" x14ac:dyDescent="0.25">
      <c r="A142" s="21" t="s">
        <v>279</v>
      </c>
      <c r="B142" s="1">
        <v>44896</v>
      </c>
      <c r="C142" t="s">
        <v>280</v>
      </c>
      <c r="D142" s="6">
        <v>1083.7</v>
      </c>
      <c r="E142" s="9">
        <v>5100.74</v>
      </c>
      <c r="F142" s="15">
        <f>IFERROR(PRD[[#This Row],[VALOR]]/PRD[[#This Row],[KGS]],"")</f>
        <v>4.7067823198302108</v>
      </c>
      <c r="H142" s="27"/>
    </row>
    <row r="143" spans="1:8" x14ac:dyDescent="0.25">
      <c r="A143" s="21" t="s">
        <v>281</v>
      </c>
      <c r="B143" s="1">
        <v>44896</v>
      </c>
      <c r="C143" t="s">
        <v>282</v>
      </c>
      <c r="D143" s="6">
        <v>186.67</v>
      </c>
      <c r="E143" s="9">
        <v>737.73</v>
      </c>
      <c r="F143" s="15">
        <f>IFERROR(PRD[[#This Row],[VALOR]]/PRD[[#This Row],[KGS]],"")</f>
        <v>3.9520544275995073</v>
      </c>
      <c r="H143" s="27"/>
    </row>
    <row r="144" spans="1:8" x14ac:dyDescent="0.25">
      <c r="A144" s="21" t="s">
        <v>283</v>
      </c>
      <c r="B144" s="1">
        <v>44896</v>
      </c>
      <c r="C144" t="s">
        <v>284</v>
      </c>
      <c r="D144" s="6">
        <v>210.8</v>
      </c>
      <c r="E144" s="9">
        <v>526.74</v>
      </c>
      <c r="F144" s="15">
        <f>IFERROR(PRD[[#This Row],[VALOR]]/PRD[[#This Row],[KGS]],"")</f>
        <v>2.4987666034155596</v>
      </c>
      <c r="H144" s="27"/>
    </row>
    <row r="145" spans="1:8" x14ac:dyDescent="0.25">
      <c r="A145" s="21" t="s">
        <v>285</v>
      </c>
      <c r="B145" s="1">
        <v>44896</v>
      </c>
      <c r="C145" t="s">
        <v>286</v>
      </c>
      <c r="D145" s="6">
        <v>149.80000000000001</v>
      </c>
      <c r="E145" s="9">
        <v>375.47</v>
      </c>
      <c r="F145" s="15">
        <f>IFERROR(PRD[[#This Row],[VALOR]]/PRD[[#This Row],[KGS]],"")</f>
        <v>2.5064753004005342</v>
      </c>
      <c r="H145" s="27"/>
    </row>
    <row r="146" spans="1:8" x14ac:dyDescent="0.25">
      <c r="A146" s="21">
        <v>8040001</v>
      </c>
      <c r="B146" s="1">
        <v>44896</v>
      </c>
      <c r="C146" t="s">
        <v>287</v>
      </c>
      <c r="D146" s="6">
        <v>125</v>
      </c>
      <c r="E146" s="9">
        <v>670</v>
      </c>
      <c r="F146" s="15">
        <f>IFERROR(PRD[[#This Row],[VALOR]]/PRD[[#This Row],[KGS]],"")</f>
        <v>5.36</v>
      </c>
      <c r="H146" s="27"/>
    </row>
    <row r="147" spans="1:8" x14ac:dyDescent="0.25">
      <c r="A147" s="21">
        <v>8040002</v>
      </c>
      <c r="B147" s="1">
        <v>44896</v>
      </c>
      <c r="C147" t="s">
        <v>288</v>
      </c>
      <c r="D147" s="6">
        <v>525</v>
      </c>
      <c r="E147" s="9">
        <v>4294.5</v>
      </c>
      <c r="F147" s="15">
        <f>IFERROR(PRD[[#This Row],[VALOR]]/PRD[[#This Row],[KGS]],"")</f>
        <v>8.18</v>
      </c>
      <c r="H147" s="27"/>
    </row>
    <row r="148" spans="1:8" x14ac:dyDescent="0.25">
      <c r="A148" s="21">
        <v>8040003</v>
      </c>
      <c r="B148" s="1">
        <v>44896</v>
      </c>
      <c r="C148" t="s">
        <v>289</v>
      </c>
      <c r="D148" s="6">
        <v>180</v>
      </c>
      <c r="E148" s="9">
        <v>1389.6</v>
      </c>
      <c r="F148" s="15">
        <f>IFERROR(PRD[[#This Row],[VALOR]]/PRD[[#This Row],[KGS]],"")</f>
        <v>7.72</v>
      </c>
      <c r="H148" s="27"/>
    </row>
    <row r="149" spans="1:8" x14ac:dyDescent="0.25">
      <c r="A149" s="21">
        <v>8040004</v>
      </c>
      <c r="B149" s="1">
        <v>44896</v>
      </c>
      <c r="C149" t="s">
        <v>290</v>
      </c>
      <c r="D149" s="6">
        <v>520</v>
      </c>
      <c r="E149" s="9">
        <v>4342</v>
      </c>
      <c r="F149" s="15">
        <f>IFERROR(PRD[[#This Row],[VALOR]]/PRD[[#This Row],[KGS]],"")</f>
        <v>8.35</v>
      </c>
      <c r="H149" s="27"/>
    </row>
    <row r="150" spans="1:8" x14ac:dyDescent="0.25">
      <c r="A150" s="21">
        <v>8040005</v>
      </c>
      <c r="B150" s="1">
        <v>44896</v>
      </c>
      <c r="C150" t="s">
        <v>291</v>
      </c>
      <c r="D150" s="6">
        <v>14595</v>
      </c>
      <c r="E150" s="9">
        <v>129901.5</v>
      </c>
      <c r="F150" s="15">
        <f>IFERROR(PRD[[#This Row],[VALOR]]/PRD[[#This Row],[KGS]],"")</f>
        <v>8.9004110996916754</v>
      </c>
      <c r="H150" s="27"/>
    </row>
    <row r="151" spans="1:8" x14ac:dyDescent="0.25">
      <c r="A151" s="21">
        <v>8040006</v>
      </c>
      <c r="B151" s="1">
        <v>44896</v>
      </c>
      <c r="C151" t="s">
        <v>292</v>
      </c>
      <c r="D151" s="6">
        <v>1100</v>
      </c>
      <c r="E151" s="9">
        <v>4741</v>
      </c>
      <c r="F151" s="15">
        <f>IFERROR(PRD[[#This Row],[VALOR]]/PRD[[#This Row],[KGS]],"")</f>
        <v>4.3099999999999996</v>
      </c>
      <c r="H151" s="27"/>
    </row>
    <row r="152" spans="1:8" x14ac:dyDescent="0.25">
      <c r="A152" s="21" t="s">
        <v>5</v>
      </c>
      <c r="B152" s="1">
        <v>44927</v>
      </c>
      <c r="C152" t="s">
        <v>6</v>
      </c>
      <c r="D152" s="6">
        <v>1197.5999999999999</v>
      </c>
      <c r="E152" s="9">
        <v>593.9</v>
      </c>
      <c r="F152" s="15">
        <f>IFERROR(PRD[[#This Row],[VALOR]]/PRD[[#This Row],[KGS]],"")</f>
        <v>0.49590848363393453</v>
      </c>
      <c r="H152" s="27"/>
    </row>
    <row r="153" spans="1:8" x14ac:dyDescent="0.25">
      <c r="A153" s="21" t="s">
        <v>7</v>
      </c>
      <c r="B153" s="1">
        <v>44927</v>
      </c>
      <c r="C153" t="s">
        <v>334</v>
      </c>
      <c r="D153" s="6">
        <v>5754</v>
      </c>
      <c r="E153" s="9">
        <v>4523</v>
      </c>
      <c r="F153" s="15">
        <f>IFERROR(PRD[[#This Row],[VALOR]]/PRD[[#This Row],[KGS]],"")</f>
        <v>0.78606187000347583</v>
      </c>
      <c r="H153" s="27"/>
    </row>
    <row r="154" spans="1:8" x14ac:dyDescent="0.25">
      <c r="A154" s="21" t="s">
        <v>9</v>
      </c>
      <c r="B154" s="1">
        <v>44927</v>
      </c>
      <c r="C154" t="s">
        <v>10</v>
      </c>
      <c r="D154" s="6">
        <v>1429</v>
      </c>
      <c r="E154" s="9">
        <v>2355</v>
      </c>
      <c r="F154" s="15">
        <f>IFERROR(PRD[[#This Row],[VALOR]]/PRD[[#This Row],[KGS]],"")</f>
        <v>1.6480055983205038</v>
      </c>
      <c r="H154" s="27"/>
    </row>
    <row r="155" spans="1:8" x14ac:dyDescent="0.25">
      <c r="A155" s="21" t="s">
        <v>11</v>
      </c>
      <c r="B155" s="1">
        <v>44927</v>
      </c>
      <c r="C155" t="s">
        <v>12</v>
      </c>
      <c r="D155" s="6">
        <v>33.299999999999997</v>
      </c>
      <c r="E155" s="9">
        <v>227</v>
      </c>
      <c r="F155" s="15">
        <f>IFERROR(PRD[[#This Row],[VALOR]]/PRD[[#This Row],[KGS]],"")</f>
        <v>6.8168168168168171</v>
      </c>
      <c r="H155" s="27"/>
    </row>
    <row r="156" spans="1:8" x14ac:dyDescent="0.25">
      <c r="A156" s="21" t="s">
        <v>15</v>
      </c>
      <c r="B156" s="1">
        <v>44927</v>
      </c>
      <c r="C156" t="s">
        <v>16</v>
      </c>
      <c r="D156" s="6">
        <v>608.79999999999995</v>
      </c>
      <c r="E156" s="9">
        <v>984</v>
      </c>
      <c r="F156" s="15">
        <f>IFERROR(PRD[[#This Row],[VALOR]]/PRD[[#This Row],[KGS]],"")</f>
        <v>1.616294349540079</v>
      </c>
      <c r="H156" s="27"/>
    </row>
    <row r="157" spans="1:8" x14ac:dyDescent="0.25">
      <c r="A157" s="21" t="s">
        <v>17</v>
      </c>
      <c r="B157" s="1">
        <v>44927</v>
      </c>
      <c r="C157" t="s">
        <v>337</v>
      </c>
      <c r="D157" s="6">
        <v>81.3</v>
      </c>
      <c r="E157" s="9">
        <v>94</v>
      </c>
      <c r="F157" s="15">
        <f>IFERROR(PRD[[#This Row],[VALOR]]/PRD[[#This Row],[KGS]],"")</f>
        <v>1.1562115621156213</v>
      </c>
      <c r="H157" s="27"/>
    </row>
    <row r="158" spans="1:8" x14ac:dyDescent="0.25">
      <c r="A158" s="21" t="s">
        <v>19</v>
      </c>
      <c r="B158" s="1">
        <v>44927</v>
      </c>
      <c r="C158" t="s">
        <v>20</v>
      </c>
      <c r="D158" s="6">
        <v>1398.5</v>
      </c>
      <c r="E158" s="9">
        <v>797</v>
      </c>
      <c r="F158" s="15">
        <f>IFERROR(PRD[[#This Row],[VALOR]]/PRD[[#This Row],[KGS]],"")</f>
        <v>0.5698963174830175</v>
      </c>
      <c r="H158" s="27"/>
    </row>
    <row r="159" spans="1:8" x14ac:dyDescent="0.25">
      <c r="A159" s="21">
        <v>1011100</v>
      </c>
      <c r="B159" s="1">
        <v>44927</v>
      </c>
      <c r="C159" t="s">
        <v>22</v>
      </c>
      <c r="D159" s="6">
        <v>182.5</v>
      </c>
      <c r="E159" s="9">
        <v>81</v>
      </c>
      <c r="F159" s="15">
        <f>IFERROR(PRD[[#This Row],[VALOR]]/PRD[[#This Row],[KGS]],"")</f>
        <v>0.44383561643835617</v>
      </c>
      <c r="H159" s="27"/>
    </row>
    <row r="160" spans="1:8" x14ac:dyDescent="0.25">
      <c r="A160" s="21">
        <v>1011200</v>
      </c>
      <c r="B160" s="1">
        <v>44927</v>
      </c>
      <c r="C160" t="s">
        <v>24</v>
      </c>
      <c r="D160" s="6">
        <v>50</v>
      </c>
      <c r="E160" s="9">
        <v>67</v>
      </c>
      <c r="F160" s="15">
        <f>IFERROR(PRD[[#This Row],[VALOR]]/PRD[[#This Row],[KGS]],"")</f>
        <v>1.34</v>
      </c>
      <c r="H160" s="27"/>
    </row>
    <row r="161" spans="1:8" x14ac:dyDescent="0.25">
      <c r="A161" s="21" t="s">
        <v>294</v>
      </c>
      <c r="B161" s="1">
        <v>44927</v>
      </c>
      <c r="C161" t="s">
        <v>295</v>
      </c>
      <c r="D161" s="6">
        <v>14562</v>
      </c>
      <c r="E161" s="9">
        <v>11560</v>
      </c>
      <c r="F161" s="15">
        <f>IFERROR(PRD[[#This Row],[VALOR]]/PRD[[#This Row],[KGS]],"")</f>
        <v>0.79384699903859357</v>
      </c>
      <c r="H161" s="27"/>
    </row>
    <row r="162" spans="1:8" x14ac:dyDescent="0.25">
      <c r="A162" s="21">
        <v>1011400</v>
      </c>
      <c r="B162" s="1">
        <v>44927</v>
      </c>
      <c r="C162" t="s">
        <v>25</v>
      </c>
      <c r="D162" s="6">
        <v>20</v>
      </c>
      <c r="E162" s="9">
        <v>50</v>
      </c>
      <c r="F162" s="15">
        <f>IFERROR(PRD[[#This Row],[VALOR]]/PRD[[#This Row],[KGS]],"")</f>
        <v>2.5</v>
      </c>
      <c r="H162" s="27"/>
    </row>
    <row r="163" spans="1:8" x14ac:dyDescent="0.25">
      <c r="A163" s="21" t="s">
        <v>26</v>
      </c>
      <c r="B163" s="1">
        <v>44927</v>
      </c>
      <c r="C163" t="s">
        <v>27</v>
      </c>
      <c r="D163" s="6">
        <v>3335</v>
      </c>
      <c r="E163" s="9">
        <v>2682</v>
      </c>
      <c r="F163" s="15">
        <f>IFERROR(PRD[[#This Row],[VALOR]]/PRD[[#This Row],[KGS]],"")</f>
        <v>0.80419790104947531</v>
      </c>
      <c r="H163" s="27"/>
    </row>
    <row r="164" spans="1:8" x14ac:dyDescent="0.25">
      <c r="A164" s="21" t="s">
        <v>296</v>
      </c>
      <c r="B164" s="1">
        <v>44927</v>
      </c>
      <c r="C164" t="s">
        <v>297</v>
      </c>
      <c r="D164" s="6">
        <v>3288</v>
      </c>
      <c r="E164" s="9">
        <v>1644</v>
      </c>
      <c r="F164" s="15">
        <f>IFERROR(PRD[[#This Row],[VALOR]]/PRD[[#This Row],[KGS]],"")</f>
        <v>0.5</v>
      </c>
      <c r="H164" s="27"/>
    </row>
    <row r="165" spans="1:8" x14ac:dyDescent="0.25">
      <c r="A165" s="21" t="s">
        <v>28</v>
      </c>
      <c r="B165" s="1">
        <v>44927</v>
      </c>
      <c r="C165" t="s">
        <v>29</v>
      </c>
      <c r="D165" s="6">
        <v>31840</v>
      </c>
      <c r="E165" s="9">
        <v>1910</v>
      </c>
      <c r="F165" s="15">
        <f>IFERROR(PRD[[#This Row],[VALOR]]/PRD[[#This Row],[KGS]],"")</f>
        <v>5.9987437185929651E-2</v>
      </c>
      <c r="H165" s="27"/>
    </row>
    <row r="166" spans="1:8" x14ac:dyDescent="0.25">
      <c r="A166" s="21" t="s">
        <v>30</v>
      </c>
      <c r="B166" s="1">
        <v>44927</v>
      </c>
      <c r="C166" t="s">
        <v>31</v>
      </c>
      <c r="D166" s="6">
        <v>283</v>
      </c>
      <c r="E166" s="9">
        <v>467</v>
      </c>
      <c r="F166" s="15">
        <f>IFERROR(PRD[[#This Row],[VALOR]]/PRD[[#This Row],[KGS]],"")</f>
        <v>1.6501766784452296</v>
      </c>
      <c r="H166" s="27"/>
    </row>
    <row r="167" spans="1:8" x14ac:dyDescent="0.25">
      <c r="A167" s="21">
        <v>1011701</v>
      </c>
      <c r="B167" s="1">
        <v>44927</v>
      </c>
      <c r="C167" t="s">
        <v>298</v>
      </c>
      <c r="D167" s="6">
        <v>1644</v>
      </c>
      <c r="E167" s="9">
        <v>1315</v>
      </c>
      <c r="F167" s="15">
        <f>IFERROR(PRD[[#This Row],[VALOR]]/PRD[[#This Row],[KGS]],"")</f>
        <v>0.79987834549878345</v>
      </c>
      <c r="H167" s="27"/>
    </row>
    <row r="168" spans="1:8" x14ac:dyDescent="0.25">
      <c r="A168" s="21" t="s">
        <v>32</v>
      </c>
      <c r="B168" s="1">
        <v>44927</v>
      </c>
      <c r="C168" t="s">
        <v>33</v>
      </c>
      <c r="D168" s="6">
        <v>4363</v>
      </c>
      <c r="E168" s="9">
        <v>8318</v>
      </c>
      <c r="F168" s="15">
        <f>IFERROR(PRD[[#This Row],[VALOR]]/PRD[[#This Row],[KGS]],"")</f>
        <v>1.906486362594545</v>
      </c>
      <c r="H168" s="27"/>
    </row>
    <row r="169" spans="1:8" x14ac:dyDescent="0.25">
      <c r="A169" s="21" t="s">
        <v>34</v>
      </c>
      <c r="B169" s="1">
        <v>44927</v>
      </c>
      <c r="C169" t="s">
        <v>35</v>
      </c>
      <c r="D169" s="6">
        <v>420.9</v>
      </c>
      <c r="E169" s="9">
        <v>651.48</v>
      </c>
      <c r="F169" s="15">
        <f>IFERROR(PRD[[#This Row],[VALOR]]/PRD[[#This Row],[KGS]],"")</f>
        <v>1.5478260869565219</v>
      </c>
      <c r="H169" s="27"/>
    </row>
    <row r="170" spans="1:8" x14ac:dyDescent="0.25">
      <c r="A170" s="21" t="s">
        <v>299</v>
      </c>
      <c r="B170" s="1">
        <v>44927</v>
      </c>
      <c r="C170" t="s">
        <v>300</v>
      </c>
      <c r="D170" s="6">
        <v>110</v>
      </c>
      <c r="E170" s="9">
        <v>55</v>
      </c>
      <c r="F170" s="15">
        <f>IFERROR(PRD[[#This Row],[VALOR]]/PRD[[#This Row],[KGS]],"")</f>
        <v>0.5</v>
      </c>
      <c r="H170" s="27"/>
    </row>
    <row r="171" spans="1:8" x14ac:dyDescent="0.25">
      <c r="A171" s="21" t="s">
        <v>301</v>
      </c>
      <c r="B171" s="1">
        <v>44927</v>
      </c>
      <c r="C171" t="s">
        <v>302</v>
      </c>
      <c r="D171" s="6">
        <v>2567</v>
      </c>
      <c r="E171" s="9">
        <v>4235.55</v>
      </c>
      <c r="F171" s="15">
        <f>IFERROR(PRD[[#This Row],[VALOR]]/PRD[[#This Row],[KGS]],"")</f>
        <v>1.6500000000000001</v>
      </c>
      <c r="H171" s="27"/>
    </row>
    <row r="172" spans="1:8" x14ac:dyDescent="0.25">
      <c r="A172" s="21" t="s">
        <v>38</v>
      </c>
      <c r="B172" s="1">
        <v>44927</v>
      </c>
      <c r="C172" t="s">
        <v>39</v>
      </c>
      <c r="D172" s="6">
        <v>1368.8</v>
      </c>
      <c r="E172" s="9">
        <v>2066.17</v>
      </c>
      <c r="F172" s="15">
        <f>IFERROR(PRD[[#This Row],[VALOR]]/PRD[[#This Row],[KGS]],"")</f>
        <v>1.5094754529514904</v>
      </c>
      <c r="H172" s="27"/>
    </row>
    <row r="173" spans="1:8" x14ac:dyDescent="0.25">
      <c r="A173" s="21" t="s">
        <v>40</v>
      </c>
      <c r="B173" s="1">
        <v>44927</v>
      </c>
      <c r="C173" t="s">
        <v>41</v>
      </c>
      <c r="D173" s="6">
        <v>346</v>
      </c>
      <c r="E173" s="9">
        <v>659.68</v>
      </c>
      <c r="F173" s="15">
        <f>IFERROR(PRD[[#This Row],[VALOR]]/PRD[[#This Row],[KGS]],"")</f>
        <v>1.9065895953757224</v>
      </c>
      <c r="H173" s="27"/>
    </row>
    <row r="174" spans="1:8" x14ac:dyDescent="0.25">
      <c r="A174" s="21" t="s">
        <v>42</v>
      </c>
      <c r="B174" s="1">
        <v>44927</v>
      </c>
      <c r="C174" t="s">
        <v>43</v>
      </c>
      <c r="D174" s="6">
        <v>876</v>
      </c>
      <c r="E174" s="9">
        <v>1362</v>
      </c>
      <c r="F174" s="15">
        <f>IFERROR(PRD[[#This Row],[VALOR]]/PRD[[#This Row],[KGS]],"")</f>
        <v>1.5547945205479452</v>
      </c>
      <c r="H174" s="27"/>
    </row>
    <row r="175" spans="1:8" x14ac:dyDescent="0.25">
      <c r="A175" s="21" t="s">
        <v>44</v>
      </c>
      <c r="B175" s="1">
        <v>44927</v>
      </c>
      <c r="C175" t="s">
        <v>45</v>
      </c>
      <c r="D175" s="6">
        <v>501.31</v>
      </c>
      <c r="E175" s="9">
        <v>748.04</v>
      </c>
      <c r="F175" s="15">
        <f>IFERROR(PRD[[#This Row],[VALOR]]/PRD[[#This Row],[KGS]],"")</f>
        <v>1.4921705132552712</v>
      </c>
      <c r="H175" s="27"/>
    </row>
    <row r="176" spans="1:8" x14ac:dyDescent="0.25">
      <c r="A176" s="21" t="s">
        <v>46</v>
      </c>
      <c r="B176" s="1">
        <v>44927</v>
      </c>
      <c r="C176" t="s">
        <v>47</v>
      </c>
      <c r="D176" s="6">
        <v>1350</v>
      </c>
      <c r="E176" s="9">
        <v>1665</v>
      </c>
      <c r="F176" s="15">
        <f>IFERROR(PRD[[#This Row],[VALOR]]/PRD[[#This Row],[KGS]],"")</f>
        <v>1.2333333333333334</v>
      </c>
      <c r="H176" s="27"/>
    </row>
    <row r="177" spans="1:8" x14ac:dyDescent="0.25">
      <c r="A177" s="21" t="s">
        <v>48</v>
      </c>
      <c r="B177" s="1">
        <v>44927</v>
      </c>
      <c r="C177" t="s">
        <v>49</v>
      </c>
      <c r="D177" s="6">
        <v>969.85</v>
      </c>
      <c r="E177" s="9">
        <v>1606.82</v>
      </c>
      <c r="F177" s="15">
        <f>IFERROR(PRD[[#This Row],[VALOR]]/PRD[[#This Row],[KGS]],"")</f>
        <v>1.6567716657215033</v>
      </c>
      <c r="H177" s="27"/>
    </row>
    <row r="178" spans="1:8" x14ac:dyDescent="0.25">
      <c r="A178" s="21" t="s">
        <v>50</v>
      </c>
      <c r="B178" s="1">
        <v>44927</v>
      </c>
      <c r="C178" t="s">
        <v>51</v>
      </c>
      <c r="D178" s="6">
        <v>80</v>
      </c>
      <c r="E178" s="9">
        <v>140</v>
      </c>
      <c r="F178" s="15">
        <f>IFERROR(PRD[[#This Row],[VALOR]]/PRD[[#This Row],[KGS]],"")</f>
        <v>1.75</v>
      </c>
      <c r="H178" s="27"/>
    </row>
    <row r="179" spans="1:8" x14ac:dyDescent="0.25">
      <c r="A179" s="21" t="s">
        <v>52</v>
      </c>
      <c r="B179" s="1">
        <v>44927</v>
      </c>
      <c r="C179" t="s">
        <v>53</v>
      </c>
      <c r="D179" s="6">
        <v>55.6</v>
      </c>
      <c r="E179" s="9">
        <v>22.72</v>
      </c>
      <c r="F179" s="15">
        <f>IFERROR(PRD[[#This Row],[VALOR]]/PRD[[#This Row],[KGS]],"")</f>
        <v>0.40863309352517985</v>
      </c>
      <c r="H179" s="27"/>
    </row>
    <row r="180" spans="1:8" x14ac:dyDescent="0.25">
      <c r="A180" s="21" t="s">
        <v>54</v>
      </c>
      <c r="B180" s="1">
        <v>44927</v>
      </c>
      <c r="C180" t="s">
        <v>55</v>
      </c>
      <c r="D180" s="6">
        <v>183</v>
      </c>
      <c r="E180" s="9">
        <v>183</v>
      </c>
      <c r="F180" s="15">
        <f>IFERROR(PRD[[#This Row],[VALOR]]/PRD[[#This Row],[KGS]],"")</f>
        <v>1</v>
      </c>
      <c r="H180" s="27"/>
    </row>
    <row r="181" spans="1:8" x14ac:dyDescent="0.25">
      <c r="A181" s="21" t="s">
        <v>56</v>
      </c>
      <c r="B181" s="1">
        <v>44927</v>
      </c>
      <c r="C181" t="s">
        <v>57</v>
      </c>
      <c r="D181" s="6">
        <v>192</v>
      </c>
      <c r="E181" s="9">
        <v>198</v>
      </c>
      <c r="F181" s="15">
        <f>IFERROR(PRD[[#This Row],[VALOR]]/PRD[[#This Row],[KGS]],"")</f>
        <v>1.03125</v>
      </c>
      <c r="H181" s="27"/>
    </row>
    <row r="182" spans="1:8" x14ac:dyDescent="0.25">
      <c r="A182" s="21" t="s">
        <v>58</v>
      </c>
      <c r="B182" s="1">
        <v>44927</v>
      </c>
      <c r="C182" t="s">
        <v>59</v>
      </c>
      <c r="D182" s="6">
        <v>2218</v>
      </c>
      <c r="E182" s="9">
        <v>2268</v>
      </c>
      <c r="F182" s="15">
        <f>IFERROR(PRD[[#This Row],[VALOR]]/PRD[[#This Row],[KGS]],"")</f>
        <v>1.0225428313796212</v>
      </c>
      <c r="H182" s="27"/>
    </row>
    <row r="183" spans="1:8" x14ac:dyDescent="0.25">
      <c r="A183" s="21" t="s">
        <v>60</v>
      </c>
      <c r="B183" s="1">
        <v>44927</v>
      </c>
      <c r="C183" t="s">
        <v>61</v>
      </c>
      <c r="D183" s="6">
        <v>46</v>
      </c>
      <c r="E183" s="9">
        <v>23</v>
      </c>
      <c r="F183" s="15">
        <f>IFERROR(PRD[[#This Row],[VALOR]]/PRD[[#This Row],[KGS]],"")</f>
        <v>0.5</v>
      </c>
      <c r="H183" s="27"/>
    </row>
    <row r="184" spans="1:8" x14ac:dyDescent="0.25">
      <c r="A184" s="21" t="s">
        <v>62</v>
      </c>
      <c r="B184" s="1">
        <v>44927</v>
      </c>
      <c r="C184" t="s">
        <v>63</v>
      </c>
      <c r="D184" s="6">
        <v>50226.45</v>
      </c>
      <c r="E184" s="9">
        <v>126777</v>
      </c>
      <c r="F184" s="15">
        <f>IFERROR(PRD[[#This Row],[VALOR]]/PRD[[#This Row],[KGS]],"")</f>
        <v>2.5241083134483926</v>
      </c>
      <c r="H184" s="27"/>
    </row>
    <row r="185" spans="1:8" x14ac:dyDescent="0.25">
      <c r="A185" s="21" t="s">
        <v>64</v>
      </c>
      <c r="B185" s="1">
        <v>44927</v>
      </c>
      <c r="C185" t="s">
        <v>65</v>
      </c>
      <c r="D185" s="6">
        <v>452.7</v>
      </c>
      <c r="E185" s="9">
        <v>1229.55</v>
      </c>
      <c r="F185" s="15">
        <f>IFERROR(PRD[[#This Row],[VALOR]]/PRD[[#This Row],[KGS]],"")</f>
        <v>2.7160371106693173</v>
      </c>
      <c r="H185" s="27"/>
    </row>
    <row r="186" spans="1:8" x14ac:dyDescent="0.25">
      <c r="A186" s="21" t="s">
        <v>66</v>
      </c>
      <c r="B186" s="1">
        <v>44927</v>
      </c>
      <c r="C186" t="s">
        <v>67</v>
      </c>
      <c r="D186" s="6">
        <v>72844.19</v>
      </c>
      <c r="E186" s="9">
        <v>196953</v>
      </c>
      <c r="F186" s="15">
        <f>IFERROR(PRD[[#This Row],[VALOR]]/PRD[[#This Row],[KGS]],"")</f>
        <v>2.7037571561987304</v>
      </c>
      <c r="H186" s="27"/>
    </row>
    <row r="187" spans="1:8" x14ac:dyDescent="0.25">
      <c r="A187" s="21" t="s">
        <v>68</v>
      </c>
      <c r="B187" s="1">
        <v>44927</v>
      </c>
      <c r="C187" t="s">
        <v>69</v>
      </c>
      <c r="D187" s="6">
        <v>11575.93</v>
      </c>
      <c r="E187" s="9">
        <v>31255.62</v>
      </c>
      <c r="F187" s="15">
        <f>IFERROR(PRD[[#This Row],[VALOR]]/PRD[[#This Row],[KGS]],"")</f>
        <v>2.7000526091640151</v>
      </c>
      <c r="H187" s="27"/>
    </row>
    <row r="188" spans="1:8" x14ac:dyDescent="0.25">
      <c r="A188" s="21" t="s">
        <v>70</v>
      </c>
      <c r="B188" s="1">
        <v>44927</v>
      </c>
      <c r="C188" t="s">
        <v>71</v>
      </c>
      <c r="D188" s="6">
        <v>1716</v>
      </c>
      <c r="E188" s="9">
        <v>4919</v>
      </c>
      <c r="F188" s="15">
        <f>IFERROR(PRD[[#This Row],[VALOR]]/PRD[[#This Row],[KGS]],"")</f>
        <v>2.8665501165501164</v>
      </c>
      <c r="H188" s="27"/>
    </row>
    <row r="189" spans="1:8" x14ac:dyDescent="0.25">
      <c r="A189" s="21" t="s">
        <v>72</v>
      </c>
      <c r="B189" s="1">
        <v>44927</v>
      </c>
      <c r="C189" t="s">
        <v>73</v>
      </c>
      <c r="D189" s="6">
        <v>8144.6</v>
      </c>
      <c r="E189" s="9">
        <v>19997</v>
      </c>
      <c r="F189" s="15">
        <f>IFERROR(PRD[[#This Row],[VALOR]]/PRD[[#This Row],[KGS]],"")</f>
        <v>2.4552464209414824</v>
      </c>
      <c r="H189" s="27"/>
    </row>
    <row r="190" spans="1:8" x14ac:dyDescent="0.25">
      <c r="A190" s="21" t="s">
        <v>74</v>
      </c>
      <c r="B190" s="1">
        <v>44927</v>
      </c>
      <c r="C190" t="s">
        <v>75</v>
      </c>
      <c r="D190" s="6">
        <v>684</v>
      </c>
      <c r="E190" s="9">
        <v>1931.25</v>
      </c>
      <c r="F190" s="15">
        <f>IFERROR(PRD[[#This Row],[VALOR]]/PRD[[#This Row],[KGS]],"")</f>
        <v>2.8234649122807016</v>
      </c>
      <c r="H190" s="27"/>
    </row>
    <row r="191" spans="1:8" x14ac:dyDescent="0.25">
      <c r="A191" s="21" t="s">
        <v>76</v>
      </c>
      <c r="B191" s="1">
        <v>44927</v>
      </c>
      <c r="C191" t="s">
        <v>77</v>
      </c>
      <c r="D191" s="6">
        <v>3913</v>
      </c>
      <c r="E191" s="9">
        <v>11342</v>
      </c>
      <c r="F191" s="15">
        <f>IFERROR(PRD[[#This Row],[VALOR]]/PRD[[#This Row],[KGS]],"")</f>
        <v>2.8985433171479684</v>
      </c>
      <c r="H191" s="27"/>
    </row>
    <row r="192" spans="1:8" x14ac:dyDescent="0.25">
      <c r="A192" s="21" t="s">
        <v>78</v>
      </c>
      <c r="B192" s="1">
        <v>44927</v>
      </c>
      <c r="C192" t="s">
        <v>79</v>
      </c>
      <c r="D192" s="6">
        <v>452.9</v>
      </c>
      <c r="E192" s="9">
        <v>2155</v>
      </c>
      <c r="F192" s="15">
        <f>IFERROR(PRD[[#This Row],[VALOR]]/PRD[[#This Row],[KGS]],"")</f>
        <v>4.7582247736807242</v>
      </c>
      <c r="H192" s="27"/>
    </row>
    <row r="193" spans="1:8" x14ac:dyDescent="0.25">
      <c r="A193" s="21" t="s">
        <v>303</v>
      </c>
      <c r="B193" s="1">
        <v>44927</v>
      </c>
      <c r="C193" t="s">
        <v>304</v>
      </c>
      <c r="D193" s="6">
        <v>10</v>
      </c>
      <c r="E193" s="9">
        <v>58.1</v>
      </c>
      <c r="F193" s="15">
        <f>IFERROR(PRD[[#This Row],[VALOR]]/PRD[[#This Row],[KGS]],"")</f>
        <v>5.8100000000000005</v>
      </c>
      <c r="H193" s="27"/>
    </row>
    <row r="194" spans="1:8" x14ac:dyDescent="0.25">
      <c r="A194" s="21">
        <v>1100608</v>
      </c>
      <c r="B194" s="1">
        <v>44927</v>
      </c>
      <c r="C194" t="s">
        <v>81</v>
      </c>
      <c r="D194" s="6">
        <v>6724</v>
      </c>
      <c r="E194" s="9">
        <v>18492</v>
      </c>
      <c r="F194" s="15">
        <f>IFERROR(PRD[[#This Row],[VALOR]]/PRD[[#This Row],[KGS]],"")</f>
        <v>2.7501487209994053</v>
      </c>
      <c r="H194" s="27"/>
    </row>
    <row r="195" spans="1:8" x14ac:dyDescent="0.25">
      <c r="A195" s="21">
        <v>1100700</v>
      </c>
      <c r="B195" s="1">
        <v>44927</v>
      </c>
      <c r="C195" t="s">
        <v>83</v>
      </c>
      <c r="D195" s="6">
        <v>12512.8</v>
      </c>
      <c r="E195" s="9">
        <v>36598</v>
      </c>
      <c r="F195" s="15">
        <f>IFERROR(PRD[[#This Row],[VALOR]]/PRD[[#This Row],[KGS]],"")</f>
        <v>2.9248449587622276</v>
      </c>
      <c r="H195" s="27"/>
    </row>
    <row r="196" spans="1:8" x14ac:dyDescent="0.25">
      <c r="A196" s="21">
        <v>1100701</v>
      </c>
      <c r="B196" s="1">
        <v>44927</v>
      </c>
      <c r="C196" t="s">
        <v>84</v>
      </c>
      <c r="D196" s="6">
        <v>37.9</v>
      </c>
      <c r="E196" s="9">
        <v>173.42</v>
      </c>
      <c r="F196" s="15">
        <f>IFERROR(PRD[[#This Row],[VALOR]]/PRD[[#This Row],[KGS]],"")</f>
        <v>4.5757255936675456</v>
      </c>
      <c r="H196" s="27"/>
    </row>
    <row r="197" spans="1:8" x14ac:dyDescent="0.25">
      <c r="A197" s="21">
        <v>1100703</v>
      </c>
      <c r="B197" s="1">
        <v>44927</v>
      </c>
      <c r="C197" t="s">
        <v>86</v>
      </c>
      <c r="D197" s="6">
        <v>2561.4</v>
      </c>
      <c r="E197" s="9">
        <v>8907.41</v>
      </c>
      <c r="F197" s="15">
        <f>IFERROR(PRD[[#This Row],[VALOR]]/PRD[[#This Row],[KGS]],"")</f>
        <v>3.4775552432263606</v>
      </c>
      <c r="H197" s="27"/>
    </row>
    <row r="198" spans="1:8" x14ac:dyDescent="0.25">
      <c r="A198" s="21">
        <v>1100705</v>
      </c>
      <c r="B198" s="1">
        <v>44927</v>
      </c>
      <c r="C198" t="s">
        <v>88</v>
      </c>
      <c r="D198" s="6">
        <v>187.3</v>
      </c>
      <c r="E198" s="9">
        <v>261.05</v>
      </c>
      <c r="F198" s="15">
        <f>IFERROR(PRD[[#This Row],[VALOR]]/PRD[[#This Row],[KGS]],"")</f>
        <v>1.3937533368926855</v>
      </c>
      <c r="H198" s="27"/>
    </row>
    <row r="199" spans="1:8" x14ac:dyDescent="0.25">
      <c r="A199" s="21">
        <v>1100706</v>
      </c>
      <c r="B199" s="1">
        <v>44927</v>
      </c>
      <c r="C199" t="s">
        <v>305</v>
      </c>
      <c r="D199" s="6">
        <v>20</v>
      </c>
      <c r="E199" s="9">
        <v>28.9</v>
      </c>
      <c r="F199" s="15">
        <f>IFERROR(PRD[[#This Row],[VALOR]]/PRD[[#This Row],[KGS]],"")</f>
        <v>1.4449999999999998</v>
      </c>
      <c r="H199" s="27"/>
    </row>
    <row r="200" spans="1:8" x14ac:dyDescent="0.25">
      <c r="A200" s="21">
        <v>1100800</v>
      </c>
      <c r="B200" s="1">
        <v>44927</v>
      </c>
      <c r="C200" t="s">
        <v>90</v>
      </c>
      <c r="D200" s="6">
        <v>20376</v>
      </c>
      <c r="E200" s="9">
        <v>54877</v>
      </c>
      <c r="F200" s="15">
        <f>IFERROR(PRD[[#This Row],[VALOR]]/PRD[[#This Row],[KGS]],"")</f>
        <v>2.693217510797016</v>
      </c>
      <c r="H200" s="27"/>
    </row>
    <row r="201" spans="1:8" x14ac:dyDescent="0.25">
      <c r="A201" s="21">
        <v>1100802</v>
      </c>
      <c r="B201" s="1">
        <v>44927</v>
      </c>
      <c r="C201" t="s">
        <v>306</v>
      </c>
      <c r="D201" s="6">
        <v>1320.6</v>
      </c>
      <c r="E201" s="9">
        <v>3651.52</v>
      </c>
      <c r="F201" s="15">
        <f>IFERROR(PRD[[#This Row],[VALOR]]/PRD[[#This Row],[KGS]],"")</f>
        <v>2.7650461911252462</v>
      </c>
      <c r="H201" s="27"/>
    </row>
    <row r="202" spans="1:8" x14ac:dyDescent="0.25">
      <c r="A202" s="21">
        <v>1100900</v>
      </c>
      <c r="B202" s="1">
        <v>44927</v>
      </c>
      <c r="C202" t="s">
        <v>94</v>
      </c>
      <c r="D202" s="6">
        <v>862</v>
      </c>
      <c r="E202" s="9">
        <v>4529</v>
      </c>
      <c r="F202" s="15">
        <f>IFERROR(PRD[[#This Row],[VALOR]]/PRD[[#This Row],[KGS]],"")</f>
        <v>5.2540603248259865</v>
      </c>
      <c r="H202" s="27"/>
    </row>
    <row r="203" spans="1:8" x14ac:dyDescent="0.25">
      <c r="A203" s="21">
        <v>1101000</v>
      </c>
      <c r="B203" s="1">
        <v>44927</v>
      </c>
      <c r="C203" t="s">
        <v>96</v>
      </c>
      <c r="D203" s="6">
        <v>9126.4</v>
      </c>
      <c r="E203" s="9">
        <v>30848</v>
      </c>
      <c r="F203" s="15">
        <f>IFERROR(PRD[[#This Row],[VALOR]]/PRD[[#This Row],[KGS]],"")</f>
        <v>3.380084151472651</v>
      </c>
      <c r="H203" s="27"/>
    </row>
    <row r="204" spans="1:8" x14ac:dyDescent="0.25">
      <c r="A204" s="21">
        <v>1101001</v>
      </c>
      <c r="B204" s="1">
        <v>44927</v>
      </c>
      <c r="C204" t="s">
        <v>98</v>
      </c>
      <c r="D204" s="6">
        <v>665.1</v>
      </c>
      <c r="E204" s="9">
        <v>2438.58</v>
      </c>
      <c r="F204" s="15">
        <f>IFERROR(PRD[[#This Row],[VALOR]]/PRD[[#This Row],[KGS]],"")</f>
        <v>3.6664862426702749</v>
      </c>
      <c r="H204" s="27"/>
    </row>
    <row r="205" spans="1:8" x14ac:dyDescent="0.25">
      <c r="A205" s="21">
        <v>1101100</v>
      </c>
      <c r="B205" s="1">
        <v>44927</v>
      </c>
      <c r="C205" t="s">
        <v>100</v>
      </c>
      <c r="D205" s="6">
        <v>51336</v>
      </c>
      <c r="E205" s="9">
        <v>167991</v>
      </c>
      <c r="F205" s="15">
        <f>IFERROR(PRD[[#This Row],[VALOR]]/PRD[[#This Row],[KGS]],"")</f>
        <v>3.2723819541841981</v>
      </c>
      <c r="H205" s="27"/>
    </row>
    <row r="206" spans="1:8" x14ac:dyDescent="0.25">
      <c r="A206" s="21">
        <v>1101300</v>
      </c>
      <c r="B206" s="1">
        <v>44927</v>
      </c>
      <c r="C206" t="s">
        <v>102</v>
      </c>
      <c r="D206" s="6">
        <v>98.4</v>
      </c>
      <c r="E206" s="9">
        <v>449.6</v>
      </c>
      <c r="F206" s="15">
        <f>IFERROR(PRD[[#This Row],[VALOR]]/PRD[[#This Row],[KGS]],"")</f>
        <v>4.5691056910569108</v>
      </c>
      <c r="H206" s="27"/>
    </row>
    <row r="207" spans="1:8" x14ac:dyDescent="0.25">
      <c r="A207" s="21">
        <v>1101400</v>
      </c>
      <c r="B207" s="1">
        <v>44927</v>
      </c>
      <c r="C207" t="s">
        <v>104</v>
      </c>
      <c r="D207" s="6">
        <v>16866</v>
      </c>
      <c r="E207" s="9">
        <v>39180</v>
      </c>
      <c r="F207" s="15">
        <f>IFERROR(PRD[[#This Row],[VALOR]]/PRD[[#This Row],[KGS]],"")</f>
        <v>2.3230167200284595</v>
      </c>
      <c r="H207" s="27"/>
    </row>
    <row r="208" spans="1:8" x14ac:dyDescent="0.25">
      <c r="A208" s="21">
        <v>1101500</v>
      </c>
      <c r="B208" s="1">
        <v>44927</v>
      </c>
      <c r="C208" t="s">
        <v>106</v>
      </c>
      <c r="D208" s="6">
        <v>711.5</v>
      </c>
      <c r="E208" s="9">
        <v>1691.37</v>
      </c>
      <c r="F208" s="15">
        <f>IFERROR(PRD[[#This Row],[VALOR]]/PRD[[#This Row],[KGS]],"")</f>
        <v>2.3771890372452562</v>
      </c>
      <c r="H208" s="27"/>
    </row>
    <row r="209" spans="1:8" x14ac:dyDescent="0.25">
      <c r="A209" s="21">
        <v>1101600</v>
      </c>
      <c r="B209" s="1">
        <v>44927</v>
      </c>
      <c r="C209" t="s">
        <v>108</v>
      </c>
      <c r="D209" s="6">
        <v>485.8</v>
      </c>
      <c r="E209" s="9">
        <v>1236.1500000000001</v>
      </c>
      <c r="F209" s="15">
        <f>IFERROR(PRD[[#This Row],[VALOR]]/PRD[[#This Row],[KGS]],"")</f>
        <v>2.544565664882668</v>
      </c>
      <c r="H209" s="27"/>
    </row>
    <row r="210" spans="1:8" x14ac:dyDescent="0.25">
      <c r="A210" s="21">
        <v>1101700</v>
      </c>
      <c r="B210" s="1">
        <v>44927</v>
      </c>
      <c r="C210" t="s">
        <v>110</v>
      </c>
      <c r="D210" s="6">
        <v>7137.6</v>
      </c>
      <c r="E210" s="9">
        <v>16060</v>
      </c>
      <c r="F210" s="15">
        <f>IFERROR(PRD[[#This Row],[VALOR]]/PRD[[#This Row],[KGS]],"")</f>
        <v>2.2500560412463573</v>
      </c>
      <c r="H210" s="27"/>
    </row>
    <row r="211" spans="1:8" x14ac:dyDescent="0.25">
      <c r="A211" s="21">
        <v>1101801</v>
      </c>
      <c r="B211" s="1">
        <v>44927</v>
      </c>
      <c r="C211" t="s">
        <v>112</v>
      </c>
      <c r="D211" s="6">
        <v>6308.2</v>
      </c>
      <c r="E211" s="9">
        <v>14295.12</v>
      </c>
      <c r="F211" s="15">
        <f>IFERROR(PRD[[#This Row],[VALOR]]/PRD[[#This Row],[KGS]],"")</f>
        <v>2.2661171174027457</v>
      </c>
      <c r="H211" s="27"/>
    </row>
    <row r="212" spans="1:8" x14ac:dyDescent="0.25">
      <c r="A212" s="21">
        <v>1101900</v>
      </c>
      <c r="B212" s="1">
        <v>44927</v>
      </c>
      <c r="C212" t="s">
        <v>114</v>
      </c>
      <c r="D212" s="6">
        <v>3618.6</v>
      </c>
      <c r="E212" s="9">
        <v>10543</v>
      </c>
      <c r="F212" s="15">
        <f>IFERROR(PRD[[#This Row],[VALOR]]/PRD[[#This Row],[KGS]],"")</f>
        <v>2.9135577295086499</v>
      </c>
      <c r="H212" s="27"/>
    </row>
    <row r="213" spans="1:8" x14ac:dyDescent="0.25">
      <c r="A213" s="21">
        <v>1102300</v>
      </c>
      <c r="B213" s="1">
        <v>44927</v>
      </c>
      <c r="C213" t="s">
        <v>119</v>
      </c>
      <c r="D213" s="6">
        <v>3618.7</v>
      </c>
      <c r="E213" s="9">
        <v>9715</v>
      </c>
      <c r="F213" s="15">
        <f>IFERROR(PRD[[#This Row],[VALOR]]/PRD[[#This Row],[KGS]],"")</f>
        <v>2.6846657639483795</v>
      </c>
      <c r="H213" s="27"/>
    </row>
    <row r="214" spans="1:8" x14ac:dyDescent="0.25">
      <c r="A214" s="21">
        <v>1103000</v>
      </c>
      <c r="B214" s="1">
        <v>44927</v>
      </c>
      <c r="C214" t="s">
        <v>121</v>
      </c>
      <c r="D214" s="6">
        <v>213.7</v>
      </c>
      <c r="E214" s="9">
        <v>386.47</v>
      </c>
      <c r="F214" s="15">
        <f>IFERROR(PRD[[#This Row],[VALOR]]/PRD[[#This Row],[KGS]],"")</f>
        <v>1.8084698175011702</v>
      </c>
      <c r="H214" s="27"/>
    </row>
    <row r="215" spans="1:8" x14ac:dyDescent="0.25">
      <c r="A215" s="21">
        <v>1103001</v>
      </c>
      <c r="B215" s="1">
        <v>44927</v>
      </c>
      <c r="C215" t="s">
        <v>123</v>
      </c>
      <c r="D215" s="6">
        <v>120</v>
      </c>
      <c r="E215" s="9">
        <v>228</v>
      </c>
      <c r="F215" s="15">
        <f>IFERROR(PRD[[#This Row],[VALOR]]/PRD[[#This Row],[KGS]],"")</f>
        <v>1.9</v>
      </c>
      <c r="H215" s="27"/>
    </row>
    <row r="216" spans="1:8" x14ac:dyDescent="0.25">
      <c r="A216" s="21">
        <v>2010900</v>
      </c>
      <c r="B216" s="1">
        <v>44927</v>
      </c>
      <c r="C216" t="s">
        <v>125</v>
      </c>
      <c r="D216" s="6">
        <v>640</v>
      </c>
      <c r="E216" s="9">
        <v>914</v>
      </c>
      <c r="F216" s="15">
        <f>IFERROR(PRD[[#This Row],[VALOR]]/PRD[[#This Row],[KGS]],"")</f>
        <v>1.4281250000000001</v>
      </c>
      <c r="H216" s="27"/>
    </row>
    <row r="217" spans="1:8" x14ac:dyDescent="0.25">
      <c r="A217" s="21">
        <v>2010902</v>
      </c>
      <c r="B217" s="1">
        <v>44927</v>
      </c>
      <c r="C217" t="s">
        <v>127</v>
      </c>
      <c r="D217" s="6">
        <v>340</v>
      </c>
      <c r="E217" s="9">
        <v>346</v>
      </c>
      <c r="F217" s="15">
        <f>IFERROR(PRD[[#This Row],[VALOR]]/PRD[[#This Row],[KGS]],"")</f>
        <v>1.0176470588235293</v>
      </c>
      <c r="H217" s="27"/>
    </row>
    <row r="218" spans="1:8" x14ac:dyDescent="0.25">
      <c r="A218" s="21">
        <v>2011700</v>
      </c>
      <c r="B218" s="1">
        <v>44927</v>
      </c>
      <c r="C218" t="s">
        <v>129</v>
      </c>
      <c r="D218" s="6">
        <v>140.4</v>
      </c>
      <c r="E218" s="9">
        <v>418.3</v>
      </c>
      <c r="F218" s="15">
        <f>IFERROR(PRD[[#This Row],[VALOR]]/PRD[[#This Row],[KGS]],"")</f>
        <v>2.9793447293447293</v>
      </c>
      <c r="H218" s="27"/>
    </row>
    <row r="219" spans="1:8" x14ac:dyDescent="0.25">
      <c r="A219" s="21">
        <v>3020103</v>
      </c>
      <c r="B219" s="1">
        <v>44927</v>
      </c>
      <c r="C219" t="s">
        <v>131</v>
      </c>
      <c r="D219" s="6">
        <v>5634.9</v>
      </c>
      <c r="E219" s="9">
        <v>17703.599999999999</v>
      </c>
      <c r="F219" s="15">
        <f>IFERROR(PRD[[#This Row],[VALOR]]/PRD[[#This Row],[KGS]],"")</f>
        <v>3.1417771389021989</v>
      </c>
      <c r="H219" s="27"/>
    </row>
    <row r="220" spans="1:8" x14ac:dyDescent="0.25">
      <c r="A220" s="21">
        <v>3020212</v>
      </c>
      <c r="B220" s="1">
        <v>44927</v>
      </c>
      <c r="C220" t="s">
        <v>133</v>
      </c>
      <c r="D220" s="6">
        <v>1229.9000000000001</v>
      </c>
      <c r="E220" s="9">
        <v>4488</v>
      </c>
      <c r="F220" s="15">
        <f>IFERROR(PRD[[#This Row],[VALOR]]/PRD[[#This Row],[KGS]],"")</f>
        <v>3.6490771607447758</v>
      </c>
      <c r="H220" s="27"/>
    </row>
    <row r="221" spans="1:8" x14ac:dyDescent="0.25">
      <c r="A221" s="21">
        <v>3020214</v>
      </c>
      <c r="B221" s="1">
        <v>44927</v>
      </c>
      <c r="C221" t="s">
        <v>135</v>
      </c>
      <c r="D221" s="6">
        <v>554.29999999999995</v>
      </c>
      <c r="E221" s="9">
        <v>1976</v>
      </c>
      <c r="F221" s="15">
        <f>IFERROR(PRD[[#This Row],[VALOR]]/PRD[[#This Row],[KGS]],"")</f>
        <v>3.5648565758614472</v>
      </c>
      <c r="H221" s="27"/>
    </row>
    <row r="222" spans="1:8" x14ac:dyDescent="0.25">
      <c r="A222" s="21">
        <v>3020315</v>
      </c>
      <c r="B222" s="1">
        <v>44927</v>
      </c>
      <c r="C222" t="s">
        <v>137</v>
      </c>
      <c r="D222" s="6">
        <v>2248.8000000000002</v>
      </c>
      <c r="E222" s="9">
        <v>7921.12</v>
      </c>
      <c r="F222" s="15">
        <f>IFERROR(PRD[[#This Row],[VALOR]]/PRD[[#This Row],[KGS]],"")</f>
        <v>3.5223763785129845</v>
      </c>
      <c r="H222" s="27"/>
    </row>
    <row r="223" spans="1:8" x14ac:dyDescent="0.25">
      <c r="A223" s="21">
        <v>3020316</v>
      </c>
      <c r="B223" s="1">
        <v>44927</v>
      </c>
      <c r="C223" t="s">
        <v>139</v>
      </c>
      <c r="D223" s="6">
        <v>302.60000000000002</v>
      </c>
      <c r="E223" s="9">
        <v>912.82</v>
      </c>
      <c r="F223" s="15">
        <f>IFERROR(PRD[[#This Row],[VALOR]]/PRD[[#This Row],[KGS]],"")</f>
        <v>3.0165895571711832</v>
      </c>
      <c r="H223" s="27"/>
    </row>
    <row r="224" spans="1:8" x14ac:dyDescent="0.25">
      <c r="A224" s="21">
        <v>3020402</v>
      </c>
      <c r="B224" s="1">
        <v>44927</v>
      </c>
      <c r="C224" t="s">
        <v>141</v>
      </c>
      <c r="D224" s="6">
        <v>2138.4</v>
      </c>
      <c r="E224" s="9">
        <v>7229.68</v>
      </c>
      <c r="F224" s="15">
        <f>IFERROR(PRD[[#This Row],[VALOR]]/PRD[[#This Row],[KGS]],"")</f>
        <v>3.3808829031051255</v>
      </c>
      <c r="H224" s="27"/>
    </row>
    <row r="225" spans="1:8" x14ac:dyDescent="0.25">
      <c r="A225" s="21">
        <v>3020504</v>
      </c>
      <c r="B225" s="1">
        <v>44927</v>
      </c>
      <c r="C225" t="s">
        <v>143</v>
      </c>
      <c r="D225" s="6">
        <v>703.5</v>
      </c>
      <c r="E225" s="9">
        <v>2522.9699999999998</v>
      </c>
      <c r="F225" s="15">
        <f>IFERROR(PRD[[#This Row],[VALOR]]/PRD[[#This Row],[KGS]],"")</f>
        <v>3.5863113006396588</v>
      </c>
      <c r="H225" s="27"/>
    </row>
    <row r="226" spans="1:8" x14ac:dyDescent="0.25">
      <c r="A226" s="21">
        <v>3020622</v>
      </c>
      <c r="B226" s="1">
        <v>44927</v>
      </c>
      <c r="C226" t="s">
        <v>145</v>
      </c>
      <c r="D226" s="6">
        <v>4588</v>
      </c>
      <c r="E226" s="9">
        <v>16403</v>
      </c>
      <c r="F226" s="15">
        <f>IFERROR(PRD[[#This Row],[VALOR]]/PRD[[#This Row],[KGS]],"")</f>
        <v>3.5751961639058414</v>
      </c>
      <c r="H226" s="27"/>
    </row>
    <row r="227" spans="1:8" x14ac:dyDescent="0.25">
      <c r="A227" s="21">
        <v>3020623</v>
      </c>
      <c r="B227" s="1">
        <v>44927</v>
      </c>
      <c r="C227" t="s">
        <v>147</v>
      </c>
      <c r="D227" s="6">
        <v>1062.7</v>
      </c>
      <c r="E227" s="9">
        <v>3907.71</v>
      </c>
      <c r="F227" s="15">
        <f>IFERROR(PRD[[#This Row],[VALOR]]/PRD[[#This Row],[KGS]],"")</f>
        <v>3.6771525359932249</v>
      </c>
      <c r="H227" s="27"/>
    </row>
    <row r="228" spans="1:8" x14ac:dyDescent="0.25">
      <c r="A228" s="21">
        <v>3020725</v>
      </c>
      <c r="B228" s="1">
        <v>44927</v>
      </c>
      <c r="C228" t="s">
        <v>149</v>
      </c>
      <c r="D228" s="6">
        <v>338.1</v>
      </c>
      <c r="E228" s="9">
        <v>1261.1400000000001</v>
      </c>
      <c r="F228" s="15">
        <f>IFERROR(PRD[[#This Row],[VALOR]]/PRD[[#This Row],[KGS]],"")</f>
        <v>3.7300798580301686</v>
      </c>
      <c r="H228" s="27"/>
    </row>
    <row r="229" spans="1:8" x14ac:dyDescent="0.25">
      <c r="A229" s="21">
        <v>3020823</v>
      </c>
      <c r="B229" s="1">
        <v>44927</v>
      </c>
      <c r="C229" t="s">
        <v>151</v>
      </c>
      <c r="D229" s="6">
        <v>1728.7</v>
      </c>
      <c r="E229" s="9">
        <v>6340</v>
      </c>
      <c r="F229" s="15">
        <f>IFERROR(PRD[[#This Row],[VALOR]]/PRD[[#This Row],[KGS]],"")</f>
        <v>3.667495806097067</v>
      </c>
      <c r="H229" s="27"/>
    </row>
    <row r="230" spans="1:8" x14ac:dyDescent="0.25">
      <c r="A230" s="21">
        <v>3020824</v>
      </c>
      <c r="B230" s="1">
        <v>44927</v>
      </c>
      <c r="C230" t="s">
        <v>153</v>
      </c>
      <c r="D230" s="6">
        <v>2250</v>
      </c>
      <c r="E230" s="9">
        <v>8161</v>
      </c>
      <c r="F230" s="15">
        <f>IFERROR(PRD[[#This Row],[VALOR]]/PRD[[#This Row],[KGS]],"")</f>
        <v>3.6271111111111112</v>
      </c>
      <c r="H230" s="27"/>
    </row>
    <row r="231" spans="1:8" x14ac:dyDescent="0.25">
      <c r="A231" s="21">
        <v>3020924</v>
      </c>
      <c r="B231" s="1">
        <v>44927</v>
      </c>
      <c r="C231" t="s">
        <v>155</v>
      </c>
      <c r="D231" s="6">
        <v>1785.1</v>
      </c>
      <c r="E231" s="9">
        <v>6513.36</v>
      </c>
      <c r="F231" s="15">
        <f>IFERROR(PRD[[#This Row],[VALOR]]/PRD[[#This Row],[KGS]],"")</f>
        <v>3.648736765447314</v>
      </c>
      <c r="H231" s="27"/>
    </row>
    <row r="232" spans="1:8" x14ac:dyDescent="0.25">
      <c r="A232" s="21">
        <v>3020925</v>
      </c>
      <c r="B232" s="1">
        <v>44927</v>
      </c>
      <c r="C232" t="s">
        <v>157</v>
      </c>
      <c r="D232" s="6">
        <v>982.4</v>
      </c>
      <c r="E232" s="9">
        <v>3567.34</v>
      </c>
      <c r="F232" s="15">
        <f>IFERROR(PRD[[#This Row],[VALOR]]/PRD[[#This Row],[KGS]],"")</f>
        <v>3.6312500000000001</v>
      </c>
      <c r="H232" s="27"/>
    </row>
    <row r="233" spans="1:8" x14ac:dyDescent="0.25">
      <c r="A233" s="21">
        <v>3021435</v>
      </c>
      <c r="B233" s="1">
        <v>44927</v>
      </c>
      <c r="C233" t="s">
        <v>159</v>
      </c>
      <c r="D233" s="6">
        <v>2766.2</v>
      </c>
      <c r="E233" s="9">
        <v>8103.47</v>
      </c>
      <c r="F233" s="15">
        <f>IFERROR(PRD[[#This Row],[VALOR]]/PRD[[#This Row],[KGS]],"")</f>
        <v>2.9294591858867762</v>
      </c>
      <c r="H233" s="27"/>
    </row>
    <row r="234" spans="1:8" x14ac:dyDescent="0.25">
      <c r="A234" s="21">
        <v>3021537</v>
      </c>
      <c r="B234" s="1">
        <v>44927</v>
      </c>
      <c r="C234" t="s">
        <v>161</v>
      </c>
      <c r="D234" s="6">
        <v>37.700000000000003</v>
      </c>
      <c r="E234" s="9">
        <v>115</v>
      </c>
      <c r="F234" s="15">
        <f>IFERROR(PRD[[#This Row],[VALOR]]/PRD[[#This Row],[KGS]],"")</f>
        <v>3.0503978779840848</v>
      </c>
      <c r="H234" s="27"/>
    </row>
    <row r="235" spans="1:8" x14ac:dyDescent="0.25">
      <c r="A235" s="21">
        <v>3021638</v>
      </c>
      <c r="B235" s="1">
        <v>44927</v>
      </c>
      <c r="C235" t="s">
        <v>163</v>
      </c>
      <c r="D235" s="6">
        <v>67.8</v>
      </c>
      <c r="E235" s="9">
        <v>209.45</v>
      </c>
      <c r="F235" s="15">
        <f>IFERROR(PRD[[#This Row],[VALOR]]/PRD[[#This Row],[KGS]],"")</f>
        <v>3.0892330383480826</v>
      </c>
      <c r="H235" s="27"/>
    </row>
    <row r="236" spans="1:8" x14ac:dyDescent="0.25">
      <c r="A236" s="21">
        <v>3021739</v>
      </c>
      <c r="B236" s="1">
        <v>44927</v>
      </c>
      <c r="C236" t="s">
        <v>165</v>
      </c>
      <c r="D236" s="6">
        <v>589.70000000000005</v>
      </c>
      <c r="E236" s="9">
        <v>1757</v>
      </c>
      <c r="F236" s="15">
        <f>IFERROR(PRD[[#This Row],[VALOR]]/PRD[[#This Row],[KGS]],"")</f>
        <v>2.9794810920807189</v>
      </c>
      <c r="H236" s="27"/>
    </row>
    <row r="237" spans="1:8" x14ac:dyDescent="0.25">
      <c r="A237" s="21">
        <v>3021760</v>
      </c>
      <c r="B237" s="1">
        <v>44927</v>
      </c>
      <c r="C237" t="s">
        <v>167</v>
      </c>
      <c r="D237" s="6">
        <v>1993.3</v>
      </c>
      <c r="E237" s="9">
        <v>4645.58</v>
      </c>
      <c r="F237" s="15">
        <f>IFERROR(PRD[[#This Row],[VALOR]]/PRD[[#This Row],[KGS]],"")</f>
        <v>2.3305975016304621</v>
      </c>
      <c r="H237" s="27"/>
    </row>
    <row r="238" spans="1:8" x14ac:dyDescent="0.25">
      <c r="A238" s="21">
        <v>3021811</v>
      </c>
      <c r="B238" s="1">
        <v>44927</v>
      </c>
      <c r="C238" t="s">
        <v>169</v>
      </c>
      <c r="D238" s="6">
        <v>3015.12</v>
      </c>
      <c r="E238" s="9">
        <v>6640.21</v>
      </c>
      <c r="F238" s="15">
        <f>IFERROR(PRD[[#This Row],[VALOR]]/PRD[[#This Row],[KGS]],"")</f>
        <v>2.2023037225715729</v>
      </c>
      <c r="H238" s="27"/>
    </row>
    <row r="239" spans="1:8" x14ac:dyDescent="0.25">
      <c r="A239" s="21">
        <v>3021812</v>
      </c>
      <c r="B239" s="1">
        <v>44927</v>
      </c>
      <c r="C239" t="s">
        <v>171</v>
      </c>
      <c r="D239" s="6">
        <v>1767.4</v>
      </c>
      <c r="E239" s="9">
        <v>3693</v>
      </c>
      <c r="F239" s="15">
        <f>IFERROR(PRD[[#This Row],[VALOR]]/PRD[[#This Row],[KGS]],"")</f>
        <v>2.0895100147108745</v>
      </c>
      <c r="H239" s="27"/>
    </row>
    <row r="240" spans="1:8" x14ac:dyDescent="0.25">
      <c r="A240" s="21">
        <v>3022100</v>
      </c>
      <c r="B240" s="1">
        <v>44927</v>
      </c>
      <c r="C240" t="s">
        <v>173</v>
      </c>
      <c r="D240" s="6">
        <v>76.5</v>
      </c>
      <c r="E240" s="9">
        <v>285.01</v>
      </c>
      <c r="F240" s="15">
        <f>IFERROR(PRD[[#This Row],[VALOR]]/PRD[[#This Row],[KGS]],"")</f>
        <v>3.7256209150326796</v>
      </c>
      <c r="H240" s="27"/>
    </row>
    <row r="241" spans="1:8" x14ac:dyDescent="0.25">
      <c r="A241" s="21">
        <v>3022208</v>
      </c>
      <c r="B241" s="1">
        <v>44927</v>
      </c>
      <c r="C241" t="s">
        <v>307</v>
      </c>
      <c r="D241" s="6">
        <v>130.69999999999999</v>
      </c>
      <c r="E241" s="9">
        <v>471.02</v>
      </c>
      <c r="F241" s="15">
        <f>IFERROR(PRD[[#This Row],[VALOR]]/PRD[[#This Row],[KGS]],"")</f>
        <v>3.6038255547054323</v>
      </c>
      <c r="H241" s="27"/>
    </row>
    <row r="242" spans="1:8" x14ac:dyDescent="0.25">
      <c r="A242" s="21">
        <v>3022311</v>
      </c>
      <c r="B242" s="1">
        <v>44927</v>
      </c>
      <c r="C242" t="s">
        <v>176</v>
      </c>
      <c r="D242" s="6">
        <v>2326.8000000000002</v>
      </c>
      <c r="E242" s="9">
        <v>5199.87</v>
      </c>
      <c r="F242" s="15">
        <f>IFERROR(PRD[[#This Row],[VALOR]]/PRD[[#This Row],[KGS]],"")</f>
        <v>2.2347730789066529</v>
      </c>
      <c r="H242" s="27"/>
    </row>
    <row r="243" spans="1:8" x14ac:dyDescent="0.25">
      <c r="A243" s="21">
        <v>3022312</v>
      </c>
      <c r="B243" s="1">
        <v>44927</v>
      </c>
      <c r="C243" t="s">
        <v>308</v>
      </c>
      <c r="D243" s="6">
        <v>38.869999999999997</v>
      </c>
      <c r="E243" s="9">
        <v>99.13</v>
      </c>
      <c r="F243" s="15">
        <f>IFERROR(PRD[[#This Row],[VALOR]]/PRD[[#This Row],[KGS]],"")</f>
        <v>2.5502958579881656</v>
      </c>
      <c r="H243" s="27"/>
    </row>
    <row r="244" spans="1:8" x14ac:dyDescent="0.25">
      <c r="A244" s="21">
        <v>3022411</v>
      </c>
      <c r="B244" s="1">
        <v>44927</v>
      </c>
      <c r="C244" t="s">
        <v>178</v>
      </c>
      <c r="D244" s="6">
        <v>58.6</v>
      </c>
      <c r="E244" s="9">
        <v>152.41</v>
      </c>
      <c r="F244" s="15">
        <f>IFERROR(PRD[[#This Row],[VALOR]]/PRD[[#This Row],[KGS]],"")</f>
        <v>2.6008532423208188</v>
      </c>
      <c r="H244" s="27"/>
    </row>
    <row r="245" spans="1:8" x14ac:dyDescent="0.25">
      <c r="A245" s="21">
        <v>3022511</v>
      </c>
      <c r="B245" s="1">
        <v>44927</v>
      </c>
      <c r="C245" t="s">
        <v>180</v>
      </c>
      <c r="D245" s="6">
        <v>9.5</v>
      </c>
      <c r="E245" s="9">
        <v>23.48</v>
      </c>
      <c r="F245" s="15">
        <f>IFERROR(PRD[[#This Row],[VALOR]]/PRD[[#This Row],[KGS]],"")</f>
        <v>2.4715789473684211</v>
      </c>
      <c r="H245" s="27"/>
    </row>
    <row r="246" spans="1:8" x14ac:dyDescent="0.25">
      <c r="A246" s="21">
        <v>3022601</v>
      </c>
      <c r="B246" s="1">
        <v>44927</v>
      </c>
      <c r="C246" t="s">
        <v>182</v>
      </c>
      <c r="D246" s="6">
        <v>388.7</v>
      </c>
      <c r="E246" s="9">
        <v>1773.55</v>
      </c>
      <c r="F246" s="15">
        <f>IFERROR(PRD[[#This Row],[VALOR]]/PRD[[#This Row],[KGS]],"")</f>
        <v>4.5627733470542839</v>
      </c>
      <c r="H246" s="27"/>
    </row>
    <row r="247" spans="1:8" x14ac:dyDescent="0.25">
      <c r="A247" s="21">
        <v>3022703</v>
      </c>
      <c r="B247" s="1">
        <v>44927</v>
      </c>
      <c r="C247" t="s">
        <v>309</v>
      </c>
      <c r="D247" s="6">
        <v>1079</v>
      </c>
      <c r="E247" s="9">
        <v>2475.0500000000002</v>
      </c>
      <c r="F247" s="15">
        <f>IFERROR(PRD[[#This Row],[VALOR]]/PRD[[#This Row],[KGS]],"")</f>
        <v>2.2938368860055607</v>
      </c>
      <c r="H247" s="27"/>
    </row>
    <row r="248" spans="1:8" x14ac:dyDescent="0.25">
      <c r="A248" s="21">
        <v>3022805</v>
      </c>
      <c r="B248" s="1">
        <v>44927</v>
      </c>
      <c r="C248" t="s">
        <v>186</v>
      </c>
      <c r="D248" s="6">
        <v>1725</v>
      </c>
      <c r="E248" s="9">
        <v>3364</v>
      </c>
      <c r="F248" s="15">
        <f>IFERROR(PRD[[#This Row],[VALOR]]/PRD[[#This Row],[KGS]],"")</f>
        <v>1.9501449275362319</v>
      </c>
      <c r="H248" s="27"/>
    </row>
    <row r="249" spans="1:8" x14ac:dyDescent="0.25">
      <c r="A249" s="21">
        <v>3022906</v>
      </c>
      <c r="B249" s="1">
        <v>44927</v>
      </c>
      <c r="C249" t="s">
        <v>188</v>
      </c>
      <c r="D249" s="6">
        <v>3370</v>
      </c>
      <c r="E249" s="9">
        <v>6542</v>
      </c>
      <c r="F249" s="15">
        <f>IFERROR(PRD[[#This Row],[VALOR]]/PRD[[#This Row],[KGS]],"")</f>
        <v>1.9412462908011869</v>
      </c>
      <c r="H249" s="27"/>
    </row>
    <row r="250" spans="1:8" x14ac:dyDescent="0.25">
      <c r="A250" s="21">
        <v>3023007</v>
      </c>
      <c r="B250" s="1">
        <v>44927</v>
      </c>
      <c r="C250" t="s">
        <v>190</v>
      </c>
      <c r="D250" s="6">
        <v>860</v>
      </c>
      <c r="E250" s="9">
        <v>1679</v>
      </c>
      <c r="F250" s="15">
        <f>IFERROR(PRD[[#This Row],[VALOR]]/PRD[[#This Row],[KGS]],"")</f>
        <v>1.9523255813953488</v>
      </c>
      <c r="H250" s="27"/>
    </row>
    <row r="251" spans="1:8" x14ac:dyDescent="0.25">
      <c r="A251" s="21">
        <v>3024001</v>
      </c>
      <c r="B251" s="1">
        <v>44927</v>
      </c>
      <c r="C251" t="s">
        <v>192</v>
      </c>
      <c r="D251" s="6">
        <v>1698</v>
      </c>
      <c r="E251" s="9">
        <v>6476</v>
      </c>
      <c r="F251" s="15">
        <f>IFERROR(PRD[[#This Row],[VALOR]]/PRD[[#This Row],[KGS]],"")</f>
        <v>3.8138987043580683</v>
      </c>
      <c r="H251" s="27"/>
    </row>
    <row r="252" spans="1:8" x14ac:dyDescent="0.25">
      <c r="A252" s="21">
        <v>3024003</v>
      </c>
      <c r="B252" s="1">
        <v>44927</v>
      </c>
      <c r="C252" t="s">
        <v>196</v>
      </c>
      <c r="D252" s="6">
        <v>473</v>
      </c>
      <c r="E252" s="9">
        <v>1229</v>
      </c>
      <c r="F252" s="15">
        <f>IFERROR(PRD[[#This Row],[VALOR]]/PRD[[#This Row],[KGS]],"")</f>
        <v>2.5983086680761098</v>
      </c>
      <c r="H252" s="27"/>
    </row>
    <row r="253" spans="1:8" x14ac:dyDescent="0.25">
      <c r="A253" s="21">
        <v>3024004</v>
      </c>
      <c r="B253" s="1">
        <v>44927</v>
      </c>
      <c r="C253" t="s">
        <v>198</v>
      </c>
      <c r="D253" s="6">
        <v>1671.3</v>
      </c>
      <c r="E253" s="9">
        <v>1214.24</v>
      </c>
      <c r="F253" s="15">
        <f>IFERROR(PRD[[#This Row],[VALOR]]/PRD[[#This Row],[KGS]],"")</f>
        <v>0.72652426255011071</v>
      </c>
      <c r="H253" s="27"/>
    </row>
    <row r="254" spans="1:8" x14ac:dyDescent="0.25">
      <c r="A254" s="21">
        <v>4030100</v>
      </c>
      <c r="B254" s="1">
        <v>44927</v>
      </c>
      <c r="C254" t="s">
        <v>200</v>
      </c>
      <c r="D254" s="6">
        <v>332</v>
      </c>
      <c r="E254" s="9">
        <v>1977</v>
      </c>
      <c r="F254" s="15">
        <f>IFERROR(PRD[[#This Row],[VALOR]]/PRD[[#This Row],[KGS]],"")</f>
        <v>5.9548192771084336</v>
      </c>
      <c r="H254" s="27"/>
    </row>
    <row r="255" spans="1:8" x14ac:dyDescent="0.25">
      <c r="A255" s="21">
        <v>4030211</v>
      </c>
      <c r="B255" s="1">
        <v>44927</v>
      </c>
      <c r="C255" t="s">
        <v>202</v>
      </c>
      <c r="D255" s="6">
        <v>641</v>
      </c>
      <c r="E255" s="9">
        <v>3786</v>
      </c>
      <c r="F255" s="15">
        <f>IFERROR(PRD[[#This Row],[VALOR]]/PRD[[#This Row],[KGS]],"")</f>
        <v>5.9063962558502343</v>
      </c>
      <c r="H255" s="27"/>
    </row>
    <row r="256" spans="1:8" x14ac:dyDescent="0.25">
      <c r="A256" s="21">
        <v>4030300</v>
      </c>
      <c r="B256" s="1">
        <v>44927</v>
      </c>
      <c r="C256" t="s">
        <v>310</v>
      </c>
      <c r="D256" s="6">
        <v>257</v>
      </c>
      <c r="E256" s="9">
        <v>1031.53</v>
      </c>
      <c r="F256" s="15">
        <f>IFERROR(PRD[[#This Row],[VALOR]]/PRD[[#This Row],[KGS]],"")</f>
        <v>4.0137354085603114</v>
      </c>
      <c r="H256" s="27"/>
    </row>
    <row r="257" spans="1:8" x14ac:dyDescent="0.25">
      <c r="A257" s="21">
        <v>4030311</v>
      </c>
      <c r="B257" s="1">
        <v>44927</v>
      </c>
      <c r="C257" t="s">
        <v>311</v>
      </c>
      <c r="D257" s="6">
        <v>572</v>
      </c>
      <c r="E257" s="9">
        <v>3730</v>
      </c>
      <c r="F257" s="15">
        <f>IFERROR(PRD[[#This Row],[VALOR]]/PRD[[#This Row],[KGS]],"")</f>
        <v>6.5209790209790208</v>
      </c>
      <c r="H257" s="27"/>
    </row>
    <row r="258" spans="1:8" x14ac:dyDescent="0.25">
      <c r="A258" s="21">
        <v>4030400</v>
      </c>
      <c r="B258" s="1">
        <v>44927</v>
      </c>
      <c r="C258" t="s">
        <v>312</v>
      </c>
      <c r="D258" s="6">
        <v>278.2</v>
      </c>
      <c r="E258" s="9">
        <v>1417.62</v>
      </c>
      <c r="F258" s="15">
        <f>IFERROR(PRD[[#This Row],[VALOR]]/PRD[[#This Row],[KGS]],"")</f>
        <v>5.0956865564342202</v>
      </c>
      <c r="H258" s="27"/>
    </row>
    <row r="259" spans="1:8" x14ac:dyDescent="0.25">
      <c r="A259" s="21">
        <v>4030511</v>
      </c>
      <c r="B259" s="1">
        <v>44927</v>
      </c>
      <c r="C259" t="s">
        <v>208</v>
      </c>
      <c r="D259" s="6">
        <v>2056.4</v>
      </c>
      <c r="E259" s="9">
        <v>10142.26</v>
      </c>
      <c r="F259" s="15">
        <f>IFERROR(PRD[[#This Row],[VALOR]]/PRD[[#This Row],[KGS]],"")</f>
        <v>4.9320462944952341</v>
      </c>
      <c r="H259" s="27"/>
    </row>
    <row r="260" spans="1:8" x14ac:dyDescent="0.25">
      <c r="A260" s="21">
        <v>4030600</v>
      </c>
      <c r="B260" s="1">
        <v>44927</v>
      </c>
      <c r="C260" t="s">
        <v>212</v>
      </c>
      <c r="D260" s="6">
        <v>1259.9000000000001</v>
      </c>
      <c r="E260" s="9">
        <v>3441.8</v>
      </c>
      <c r="F260" s="15">
        <f>IFERROR(PRD[[#This Row],[VALOR]]/PRD[[#This Row],[KGS]],"")</f>
        <v>2.7318041114374156</v>
      </c>
      <c r="H260" s="27"/>
    </row>
    <row r="261" spans="1:8" x14ac:dyDescent="0.25">
      <c r="A261" s="21">
        <v>4030711</v>
      </c>
      <c r="B261" s="1">
        <v>44927</v>
      </c>
      <c r="C261" t="s">
        <v>214</v>
      </c>
      <c r="D261" s="6">
        <v>3478.6</v>
      </c>
      <c r="E261" s="9">
        <v>10452</v>
      </c>
      <c r="F261" s="15">
        <f>IFERROR(PRD[[#This Row],[VALOR]]/PRD[[#This Row],[KGS]],"")</f>
        <v>3.0046570459380213</v>
      </c>
      <c r="H261" s="27"/>
    </row>
    <row r="262" spans="1:8" x14ac:dyDescent="0.25">
      <c r="A262" s="21">
        <v>4030811</v>
      </c>
      <c r="B262" s="1">
        <v>44927</v>
      </c>
      <c r="C262" t="s">
        <v>216</v>
      </c>
      <c r="D262" s="6">
        <v>2586</v>
      </c>
      <c r="E262" s="9">
        <v>7549</v>
      </c>
      <c r="F262" s="15">
        <f>IFERROR(PRD[[#This Row],[VALOR]]/PRD[[#This Row],[KGS]],"")</f>
        <v>2.9191802010827534</v>
      </c>
      <c r="H262" s="27"/>
    </row>
    <row r="263" spans="1:8" x14ac:dyDescent="0.25">
      <c r="A263" s="21">
        <v>4030813</v>
      </c>
      <c r="B263" s="1">
        <v>44927</v>
      </c>
      <c r="C263" t="s">
        <v>218</v>
      </c>
      <c r="D263" s="6">
        <v>2586</v>
      </c>
      <c r="E263" s="9">
        <v>7224.52</v>
      </c>
      <c r="F263" s="15">
        <f>IFERROR(PRD[[#This Row],[VALOR]]/PRD[[#This Row],[KGS]],"")</f>
        <v>2.7937045630317092</v>
      </c>
      <c r="H263" s="27"/>
    </row>
    <row r="264" spans="1:8" x14ac:dyDescent="0.25">
      <c r="A264" s="21">
        <v>4030900</v>
      </c>
      <c r="B264" s="1">
        <v>44927</v>
      </c>
      <c r="C264" t="s">
        <v>220</v>
      </c>
      <c r="D264" s="6">
        <v>5878.9</v>
      </c>
      <c r="E264" s="9">
        <v>16787.13</v>
      </c>
      <c r="F264" s="15">
        <f>IFERROR(PRD[[#This Row],[VALOR]]/PRD[[#This Row],[KGS]],"")</f>
        <v>2.8554882716154388</v>
      </c>
      <c r="H264" s="27"/>
    </row>
    <row r="265" spans="1:8" x14ac:dyDescent="0.25">
      <c r="A265" s="21">
        <v>4030910</v>
      </c>
      <c r="B265" s="1">
        <v>44927</v>
      </c>
      <c r="C265" t="s">
        <v>222</v>
      </c>
      <c r="D265" s="6">
        <v>465.1</v>
      </c>
      <c r="E265" s="9">
        <v>1388</v>
      </c>
      <c r="F265" s="15">
        <f>IFERROR(PRD[[#This Row],[VALOR]]/PRD[[#This Row],[KGS]],"")</f>
        <v>2.984304450655773</v>
      </c>
      <c r="H265" s="27"/>
    </row>
    <row r="266" spans="1:8" x14ac:dyDescent="0.25">
      <c r="A266" s="21">
        <v>4031012</v>
      </c>
      <c r="B266" s="1">
        <v>44927</v>
      </c>
      <c r="C266" t="s">
        <v>224</v>
      </c>
      <c r="D266" s="6">
        <v>1454</v>
      </c>
      <c r="E266" s="9">
        <v>4157.93</v>
      </c>
      <c r="F266" s="15">
        <f>IFERROR(PRD[[#This Row],[VALOR]]/PRD[[#This Row],[KGS]],"")</f>
        <v>2.8596492434663001</v>
      </c>
      <c r="H266" s="27"/>
    </row>
    <row r="267" spans="1:8" x14ac:dyDescent="0.25">
      <c r="A267" s="21">
        <v>4031017</v>
      </c>
      <c r="B267" s="1">
        <v>44927</v>
      </c>
      <c r="C267" t="s">
        <v>226</v>
      </c>
      <c r="D267" s="6">
        <v>2233</v>
      </c>
      <c r="E267" s="9">
        <v>1278.45</v>
      </c>
      <c r="F267" s="15">
        <f>IFERROR(PRD[[#This Row],[VALOR]]/PRD[[#This Row],[KGS]],"")</f>
        <v>0.57252575011195705</v>
      </c>
      <c r="H267" s="27"/>
    </row>
    <row r="268" spans="1:8" x14ac:dyDescent="0.25">
      <c r="A268" s="21">
        <v>4031102</v>
      </c>
      <c r="B268" s="1">
        <v>44927</v>
      </c>
      <c r="C268" t="s">
        <v>228</v>
      </c>
      <c r="D268" s="6">
        <v>9889</v>
      </c>
      <c r="E268" s="9">
        <v>26808</v>
      </c>
      <c r="F268" s="15">
        <f>IFERROR(PRD[[#This Row],[VALOR]]/PRD[[#This Row],[KGS]],"")</f>
        <v>2.7108908888664174</v>
      </c>
      <c r="H268" s="27"/>
    </row>
    <row r="269" spans="1:8" x14ac:dyDescent="0.25">
      <c r="A269" s="21">
        <v>4031200</v>
      </c>
      <c r="B269" s="1">
        <v>44927</v>
      </c>
      <c r="C269" t="s">
        <v>230</v>
      </c>
      <c r="D269" s="6">
        <v>1149.2</v>
      </c>
      <c r="E269" s="9">
        <v>3158.49</v>
      </c>
      <c r="F269" s="15">
        <f>IFERROR(PRD[[#This Row],[VALOR]]/PRD[[#This Row],[KGS]],"")</f>
        <v>2.7484249912982941</v>
      </c>
      <c r="H269" s="27"/>
    </row>
    <row r="270" spans="1:8" x14ac:dyDescent="0.25">
      <c r="A270" s="21">
        <v>4031304</v>
      </c>
      <c r="B270" s="1">
        <v>44927</v>
      </c>
      <c r="C270" t="s">
        <v>232</v>
      </c>
      <c r="D270" s="6">
        <v>1469</v>
      </c>
      <c r="E270" s="9">
        <v>3938</v>
      </c>
      <c r="F270" s="15">
        <f>IFERROR(PRD[[#This Row],[VALOR]]/PRD[[#This Row],[KGS]],"")</f>
        <v>2.6807351940095301</v>
      </c>
      <c r="H270" s="27"/>
    </row>
    <row r="271" spans="1:8" x14ac:dyDescent="0.25">
      <c r="A271" s="21">
        <v>4031411</v>
      </c>
      <c r="B271" s="1">
        <v>44927</v>
      </c>
      <c r="C271" t="s">
        <v>234</v>
      </c>
      <c r="D271" s="6">
        <v>67.3</v>
      </c>
      <c r="E271" s="9">
        <v>195.07</v>
      </c>
      <c r="F271" s="15">
        <f>IFERROR(PRD[[#This Row],[VALOR]]/PRD[[#This Row],[KGS]],"")</f>
        <v>2.8985141158989598</v>
      </c>
      <c r="H271" s="27"/>
    </row>
    <row r="272" spans="1:8" x14ac:dyDescent="0.25">
      <c r="A272" s="21">
        <v>4031500</v>
      </c>
      <c r="B272" s="1">
        <v>44927</v>
      </c>
      <c r="C272" t="s">
        <v>236</v>
      </c>
      <c r="D272" s="6">
        <v>5909</v>
      </c>
      <c r="E272" s="9">
        <v>15016.02</v>
      </c>
      <c r="F272" s="15">
        <f>IFERROR(PRD[[#This Row],[VALOR]]/PRD[[#This Row],[KGS]],"")</f>
        <v>2.5412117109493995</v>
      </c>
      <c r="H272" s="27"/>
    </row>
    <row r="273" spans="1:8" x14ac:dyDescent="0.25">
      <c r="A273" s="21">
        <v>4031604</v>
      </c>
      <c r="B273" s="1">
        <v>44927</v>
      </c>
      <c r="C273" t="s">
        <v>238</v>
      </c>
      <c r="D273" s="6">
        <v>6459</v>
      </c>
      <c r="E273" s="9">
        <v>16051</v>
      </c>
      <c r="F273" s="15">
        <f>IFERROR(PRD[[#This Row],[VALOR]]/PRD[[#This Row],[KGS]],"")</f>
        <v>2.485059606750271</v>
      </c>
      <c r="H273" s="27"/>
    </row>
    <row r="274" spans="1:8" x14ac:dyDescent="0.25">
      <c r="A274" s="21">
        <v>4031605</v>
      </c>
      <c r="B274" s="1">
        <v>44927</v>
      </c>
      <c r="C274" t="s">
        <v>240</v>
      </c>
      <c r="D274" s="6">
        <v>108.4</v>
      </c>
      <c r="E274" s="9">
        <v>299.74</v>
      </c>
      <c r="F274" s="15">
        <f>IFERROR(PRD[[#This Row],[VALOR]]/PRD[[#This Row],[KGS]],"")</f>
        <v>2.765129151291513</v>
      </c>
      <c r="H274" s="27"/>
    </row>
    <row r="275" spans="1:8" x14ac:dyDescent="0.25">
      <c r="A275" s="21">
        <v>4031700</v>
      </c>
      <c r="B275" s="1">
        <v>44927</v>
      </c>
      <c r="C275" t="s">
        <v>242</v>
      </c>
      <c r="D275" s="6">
        <v>784.1</v>
      </c>
      <c r="E275" s="9">
        <v>2164.29</v>
      </c>
      <c r="F275" s="15">
        <f>IFERROR(PRD[[#This Row],[VALOR]]/PRD[[#This Row],[KGS]],"")</f>
        <v>2.7602219104706029</v>
      </c>
      <c r="H275" s="27"/>
    </row>
    <row r="276" spans="1:8" x14ac:dyDescent="0.25">
      <c r="A276" s="21">
        <v>4031812</v>
      </c>
      <c r="B276" s="1">
        <v>44927</v>
      </c>
      <c r="C276" t="s">
        <v>244</v>
      </c>
      <c r="D276" s="6">
        <v>600</v>
      </c>
      <c r="E276" s="9">
        <v>1686.38</v>
      </c>
      <c r="F276" s="15">
        <f>IFERROR(PRD[[#This Row],[VALOR]]/PRD[[#This Row],[KGS]],"")</f>
        <v>2.8106333333333335</v>
      </c>
      <c r="H276" s="27"/>
    </row>
    <row r="277" spans="1:8" x14ac:dyDescent="0.25">
      <c r="A277" s="21">
        <v>4031813</v>
      </c>
      <c r="B277" s="1">
        <v>44927</v>
      </c>
      <c r="C277" t="s">
        <v>313</v>
      </c>
      <c r="D277" s="6">
        <v>350</v>
      </c>
      <c r="E277" s="9">
        <v>217</v>
      </c>
      <c r="F277" s="15">
        <f>IFERROR(PRD[[#This Row],[VALOR]]/PRD[[#This Row],[KGS]],"")</f>
        <v>0.62</v>
      </c>
      <c r="H277" s="27"/>
    </row>
    <row r="278" spans="1:8" x14ac:dyDescent="0.25">
      <c r="A278" s="21">
        <v>4031904</v>
      </c>
      <c r="B278" s="1">
        <v>44927</v>
      </c>
      <c r="C278" t="s">
        <v>246</v>
      </c>
      <c r="D278" s="6">
        <v>1111</v>
      </c>
      <c r="E278" s="9">
        <v>2954</v>
      </c>
      <c r="F278" s="15">
        <f>IFERROR(PRD[[#This Row],[VALOR]]/PRD[[#This Row],[KGS]],"")</f>
        <v>2.658865886588659</v>
      </c>
      <c r="H278" s="27"/>
    </row>
    <row r="279" spans="1:8" x14ac:dyDescent="0.25">
      <c r="A279" s="21">
        <v>4032111</v>
      </c>
      <c r="B279" s="1">
        <v>44927</v>
      </c>
      <c r="C279" t="s">
        <v>314</v>
      </c>
      <c r="D279" s="6">
        <v>39.299999999999997</v>
      </c>
      <c r="E279" s="9">
        <v>202.73</v>
      </c>
      <c r="F279" s="15">
        <f>IFERROR(PRD[[#This Row],[VALOR]]/PRD[[#This Row],[KGS]],"")</f>
        <v>5.15852417302799</v>
      </c>
      <c r="H279" s="27"/>
    </row>
    <row r="280" spans="1:8" x14ac:dyDescent="0.25">
      <c r="A280" s="21">
        <v>4032204</v>
      </c>
      <c r="B280" s="1">
        <v>44927</v>
      </c>
      <c r="C280" t="s">
        <v>315</v>
      </c>
      <c r="D280" s="6">
        <v>140.80000000000001</v>
      </c>
      <c r="E280" s="9">
        <v>716.9</v>
      </c>
      <c r="F280" s="15">
        <f>IFERROR(PRD[[#This Row],[VALOR]]/PRD[[#This Row],[KGS]],"")</f>
        <v>5.0916193181818175</v>
      </c>
      <c r="H280" s="27"/>
    </row>
    <row r="281" spans="1:8" x14ac:dyDescent="0.25">
      <c r="A281" s="21">
        <v>4032312</v>
      </c>
      <c r="B281" s="1">
        <v>44927</v>
      </c>
      <c r="C281" t="s">
        <v>252</v>
      </c>
      <c r="D281" s="6">
        <v>407</v>
      </c>
      <c r="E281" s="9">
        <v>1662</v>
      </c>
      <c r="F281" s="15">
        <f>IFERROR(PRD[[#This Row],[VALOR]]/PRD[[#This Row],[KGS]],"")</f>
        <v>4.0835380835380839</v>
      </c>
      <c r="H281" s="27"/>
    </row>
    <row r="282" spans="1:8" x14ac:dyDescent="0.25">
      <c r="A282" s="21">
        <v>4032404</v>
      </c>
      <c r="B282" s="1">
        <v>44927</v>
      </c>
      <c r="C282" t="s">
        <v>254</v>
      </c>
      <c r="D282" s="6">
        <v>117.1</v>
      </c>
      <c r="E282" s="9">
        <v>476.68</v>
      </c>
      <c r="F282" s="15">
        <f>IFERROR(PRD[[#This Row],[VALOR]]/PRD[[#This Row],[KGS]],"")</f>
        <v>4.0707087959009396</v>
      </c>
      <c r="H282" s="27"/>
    </row>
    <row r="283" spans="1:8" x14ac:dyDescent="0.25">
      <c r="A283" s="21">
        <v>4032500</v>
      </c>
      <c r="B283" s="1">
        <v>44927</v>
      </c>
      <c r="C283" t="s">
        <v>256</v>
      </c>
      <c r="D283" s="6">
        <v>425.1</v>
      </c>
      <c r="E283" s="9">
        <v>1043.3399999999999</v>
      </c>
      <c r="F283" s="15">
        <f>IFERROR(PRD[[#This Row],[VALOR]]/PRD[[#This Row],[KGS]],"")</f>
        <v>2.4543401552575861</v>
      </c>
      <c r="H283" s="27"/>
    </row>
    <row r="284" spans="1:8" x14ac:dyDescent="0.25">
      <c r="A284" s="21">
        <v>4032611</v>
      </c>
      <c r="B284" s="1">
        <v>44927</v>
      </c>
      <c r="C284" t="s">
        <v>258</v>
      </c>
      <c r="D284" s="6">
        <v>41.5</v>
      </c>
      <c r="E284" s="9">
        <v>119.61</v>
      </c>
      <c r="F284" s="15">
        <f>IFERROR(PRD[[#This Row],[VALOR]]/PRD[[#This Row],[KGS]],"")</f>
        <v>2.8821686746987951</v>
      </c>
      <c r="H284" s="27"/>
    </row>
    <row r="285" spans="1:8" x14ac:dyDescent="0.25">
      <c r="A285" s="21">
        <v>4032704</v>
      </c>
      <c r="B285" s="1">
        <v>44927</v>
      </c>
      <c r="C285" t="s">
        <v>260</v>
      </c>
      <c r="D285" s="6">
        <v>449</v>
      </c>
      <c r="E285" s="9">
        <v>1222.94</v>
      </c>
      <c r="F285" s="15">
        <f>IFERROR(PRD[[#This Row],[VALOR]]/PRD[[#This Row],[KGS]],"")</f>
        <v>2.7236971046770604</v>
      </c>
      <c r="H285" s="27"/>
    </row>
    <row r="286" spans="1:8" x14ac:dyDescent="0.25">
      <c r="A286" s="21">
        <v>4032800</v>
      </c>
      <c r="B286" s="1">
        <v>44927</v>
      </c>
      <c r="C286" t="s">
        <v>262</v>
      </c>
      <c r="D286" s="6">
        <v>211.6</v>
      </c>
      <c r="E286" s="9">
        <v>1127.28</v>
      </c>
      <c r="F286" s="15">
        <f>IFERROR(PRD[[#This Row],[VALOR]]/PRD[[#This Row],[KGS]],"")</f>
        <v>5.3274102079395087</v>
      </c>
      <c r="H286" s="27"/>
    </row>
    <row r="287" spans="1:8" x14ac:dyDescent="0.25">
      <c r="A287" s="21">
        <v>4032902</v>
      </c>
      <c r="B287" s="1">
        <v>44927</v>
      </c>
      <c r="C287" t="s">
        <v>264</v>
      </c>
      <c r="D287" s="6">
        <v>392</v>
      </c>
      <c r="E287" s="9">
        <v>1953</v>
      </c>
      <c r="F287" s="15">
        <f>IFERROR(PRD[[#This Row],[VALOR]]/PRD[[#This Row],[KGS]],"")</f>
        <v>4.9821428571428568</v>
      </c>
      <c r="H287" s="27"/>
    </row>
    <row r="288" spans="1:8" x14ac:dyDescent="0.25">
      <c r="A288" s="21">
        <v>4033011</v>
      </c>
      <c r="B288" s="1">
        <v>44927</v>
      </c>
      <c r="C288" t="s">
        <v>266</v>
      </c>
      <c r="D288" s="6">
        <v>169.3</v>
      </c>
      <c r="E288" s="9">
        <v>852</v>
      </c>
      <c r="F288" s="15">
        <f>IFERROR(PRD[[#This Row],[VALOR]]/PRD[[#This Row],[KGS]],"")</f>
        <v>5.0324867099822796</v>
      </c>
      <c r="H288" s="27"/>
    </row>
    <row r="289" spans="1:8" x14ac:dyDescent="0.25">
      <c r="A289" s="21">
        <v>4033111</v>
      </c>
      <c r="B289" s="1">
        <v>44927</v>
      </c>
      <c r="C289" t="s">
        <v>268</v>
      </c>
      <c r="D289" s="6">
        <v>25</v>
      </c>
      <c r="E289" s="9">
        <v>118.97</v>
      </c>
      <c r="F289" s="15">
        <f>IFERROR(PRD[[#This Row],[VALOR]]/PRD[[#This Row],[KGS]],"")</f>
        <v>4.7587999999999999</v>
      </c>
      <c r="H289" s="27"/>
    </row>
    <row r="290" spans="1:8" x14ac:dyDescent="0.25">
      <c r="A290" s="21">
        <v>4033211</v>
      </c>
      <c r="B290" s="1">
        <v>44927</v>
      </c>
      <c r="C290" t="s">
        <v>270</v>
      </c>
      <c r="D290" s="6">
        <v>143</v>
      </c>
      <c r="E290" s="9">
        <v>644</v>
      </c>
      <c r="F290" s="15">
        <f>IFERROR(PRD[[#This Row],[VALOR]]/PRD[[#This Row],[KGS]],"")</f>
        <v>4.5034965034965033</v>
      </c>
      <c r="H290" s="27"/>
    </row>
    <row r="291" spans="1:8" x14ac:dyDescent="0.25">
      <c r="A291" s="21">
        <v>4033311</v>
      </c>
      <c r="B291" s="1">
        <v>44927</v>
      </c>
      <c r="C291" t="s">
        <v>272</v>
      </c>
      <c r="D291" s="6">
        <v>39.5</v>
      </c>
      <c r="E291" s="9">
        <v>237.12</v>
      </c>
      <c r="F291" s="15">
        <f>IFERROR(PRD[[#This Row],[VALOR]]/PRD[[#This Row],[KGS]],"")</f>
        <v>6.0030379746835445</v>
      </c>
      <c r="H291" s="27"/>
    </row>
    <row r="292" spans="1:8" x14ac:dyDescent="0.25">
      <c r="A292" s="21">
        <v>4033400</v>
      </c>
      <c r="B292" s="1">
        <v>44927</v>
      </c>
      <c r="C292" t="s">
        <v>274</v>
      </c>
      <c r="D292" s="6">
        <v>1383.2</v>
      </c>
      <c r="E292" s="9">
        <v>3649.44</v>
      </c>
      <c r="F292" s="15">
        <f>IFERROR(PRD[[#This Row],[VALOR]]/PRD[[#This Row],[KGS]],"")</f>
        <v>2.6384037015615962</v>
      </c>
      <c r="H292" s="27"/>
    </row>
    <row r="293" spans="1:8" x14ac:dyDescent="0.25">
      <c r="A293" s="21">
        <v>4033511</v>
      </c>
      <c r="B293" s="1">
        <v>44927</v>
      </c>
      <c r="C293" t="s">
        <v>276</v>
      </c>
      <c r="D293" s="6">
        <v>3742</v>
      </c>
      <c r="E293" s="9">
        <v>10907</v>
      </c>
      <c r="F293" s="15">
        <f>IFERROR(PRD[[#This Row],[VALOR]]/PRD[[#This Row],[KGS]],"")</f>
        <v>2.914751469802245</v>
      </c>
      <c r="H293" s="27"/>
    </row>
    <row r="294" spans="1:8" x14ac:dyDescent="0.25">
      <c r="A294" s="21">
        <v>4033900</v>
      </c>
      <c r="B294" s="1">
        <v>44927</v>
      </c>
      <c r="C294" t="s">
        <v>278</v>
      </c>
      <c r="D294" s="6">
        <v>138</v>
      </c>
      <c r="E294" s="9">
        <v>693.94</v>
      </c>
      <c r="F294" s="15">
        <f>IFERROR(PRD[[#This Row],[VALOR]]/PRD[[#This Row],[KGS]],"")</f>
        <v>5.0285507246376815</v>
      </c>
      <c r="H294" s="27"/>
    </row>
    <row r="295" spans="1:8" x14ac:dyDescent="0.25">
      <c r="A295" s="21">
        <v>4034011</v>
      </c>
      <c r="B295" s="1">
        <v>44927</v>
      </c>
      <c r="C295" t="s">
        <v>280</v>
      </c>
      <c r="D295" s="6">
        <v>670</v>
      </c>
      <c r="E295" s="9">
        <v>3328</v>
      </c>
      <c r="F295" s="15">
        <f>IFERROR(PRD[[#This Row],[VALOR]]/PRD[[#This Row],[KGS]],"")</f>
        <v>4.9671641791044774</v>
      </c>
      <c r="H295" s="27"/>
    </row>
    <row r="296" spans="1:8" x14ac:dyDescent="0.25">
      <c r="A296" s="21">
        <v>4034211</v>
      </c>
      <c r="B296" s="1">
        <v>44927</v>
      </c>
      <c r="C296" t="s">
        <v>282</v>
      </c>
      <c r="D296" s="6">
        <v>250</v>
      </c>
      <c r="E296" s="9">
        <v>1037</v>
      </c>
      <c r="F296" s="15">
        <f>IFERROR(PRD[[#This Row],[VALOR]]/PRD[[#This Row],[KGS]],"")</f>
        <v>4.1479999999999997</v>
      </c>
      <c r="H296" s="27"/>
    </row>
    <row r="297" spans="1:8" x14ac:dyDescent="0.25">
      <c r="A297" s="21">
        <v>4034400</v>
      </c>
      <c r="B297" s="1">
        <v>44927</v>
      </c>
      <c r="C297" t="s">
        <v>284</v>
      </c>
      <c r="D297" s="6">
        <v>146.9</v>
      </c>
      <c r="E297" s="9">
        <v>396.41</v>
      </c>
      <c r="F297" s="15">
        <f>IFERROR(PRD[[#This Row],[VALOR]]/PRD[[#This Row],[KGS]],"")</f>
        <v>2.6985023825731793</v>
      </c>
      <c r="H297" s="27"/>
    </row>
    <row r="298" spans="1:8" x14ac:dyDescent="0.25">
      <c r="A298" s="21">
        <v>4034502</v>
      </c>
      <c r="B298" s="1">
        <v>44927</v>
      </c>
      <c r="C298" t="s">
        <v>286</v>
      </c>
      <c r="D298" s="6">
        <v>172</v>
      </c>
      <c r="E298" s="9">
        <v>482</v>
      </c>
      <c r="F298" s="15">
        <f>IFERROR(PRD[[#This Row],[VALOR]]/PRD[[#This Row],[KGS]],"")</f>
        <v>2.8023255813953489</v>
      </c>
      <c r="H298" s="27"/>
    </row>
    <row r="299" spans="1:8" x14ac:dyDescent="0.25">
      <c r="A299" s="21">
        <v>8040007</v>
      </c>
      <c r="B299" s="1">
        <v>44927</v>
      </c>
      <c r="C299" t="s">
        <v>316</v>
      </c>
      <c r="D299" s="6">
        <v>12</v>
      </c>
      <c r="E299" s="9">
        <v>97</v>
      </c>
      <c r="F299" s="15">
        <f>IFERROR(PRD[[#This Row],[VALOR]]/PRD[[#This Row],[KGS]],"")</f>
        <v>8.0833333333333339</v>
      </c>
      <c r="H299" s="27"/>
    </row>
    <row r="300" spans="1:8" x14ac:dyDescent="0.25">
      <c r="A300" s="21">
        <v>8040008</v>
      </c>
      <c r="B300" s="1">
        <v>44927</v>
      </c>
      <c r="C300" t="s">
        <v>317</v>
      </c>
      <c r="D300" s="6">
        <v>64</v>
      </c>
      <c r="E300" s="9">
        <v>766</v>
      </c>
      <c r="F300" s="15">
        <f>IFERROR(PRD[[#This Row],[VALOR]]/PRD[[#This Row],[KGS]],"")</f>
        <v>11.96875</v>
      </c>
      <c r="H300" s="27"/>
    </row>
    <row r="301" spans="1:8" x14ac:dyDescent="0.25">
      <c r="A301" s="21">
        <v>8040009</v>
      </c>
      <c r="B301" s="1">
        <v>44927</v>
      </c>
      <c r="C301" t="s">
        <v>318</v>
      </c>
      <c r="D301" s="6">
        <v>128</v>
      </c>
      <c r="E301" s="9">
        <v>758</v>
      </c>
      <c r="F301" s="15">
        <f>IFERROR(PRD[[#This Row],[VALOR]]/PRD[[#This Row],[KGS]],"")</f>
        <v>5.921875</v>
      </c>
      <c r="H301" s="27"/>
    </row>
    <row r="302" spans="1:8" x14ac:dyDescent="0.25">
      <c r="A302" s="21">
        <v>8040010</v>
      </c>
      <c r="B302" s="1">
        <v>44927</v>
      </c>
      <c r="C302" t="s">
        <v>319</v>
      </c>
      <c r="D302" s="6">
        <v>81</v>
      </c>
      <c r="E302" s="9">
        <v>621</v>
      </c>
      <c r="F302" s="15">
        <f>IFERROR(PRD[[#This Row],[VALOR]]/PRD[[#This Row],[KGS]],"")</f>
        <v>7.666666666666667</v>
      </c>
      <c r="H302" s="27"/>
    </row>
    <row r="303" spans="1:8" x14ac:dyDescent="0.25">
      <c r="A303" s="21">
        <v>8040011</v>
      </c>
      <c r="B303" s="1">
        <v>44927</v>
      </c>
      <c r="C303" t="s">
        <v>320</v>
      </c>
      <c r="D303" s="6">
        <v>80.64</v>
      </c>
      <c r="E303" s="9">
        <v>468</v>
      </c>
      <c r="F303" s="15">
        <f>IFERROR(PRD[[#This Row],[VALOR]]/PRD[[#This Row],[KGS]],"")</f>
        <v>5.8035714285714288</v>
      </c>
      <c r="H303" s="27"/>
    </row>
    <row r="304" spans="1:8" x14ac:dyDescent="0.25">
      <c r="A304" s="21">
        <v>8050002</v>
      </c>
      <c r="B304" s="1">
        <v>44927</v>
      </c>
      <c r="C304" t="s">
        <v>321</v>
      </c>
      <c r="D304" s="6">
        <v>1360</v>
      </c>
      <c r="E304" s="9">
        <v>2017.6</v>
      </c>
      <c r="F304" s="15">
        <f>IFERROR(PRD[[#This Row],[VALOR]]/PRD[[#This Row],[KGS]],"")</f>
        <v>1.4835294117647058</v>
      </c>
      <c r="H304" s="27"/>
    </row>
    <row r="305" spans="1:8" x14ac:dyDescent="0.25">
      <c r="A305" s="21">
        <v>8050003</v>
      </c>
      <c r="B305" s="1">
        <v>44927</v>
      </c>
      <c r="C305" t="s">
        <v>322</v>
      </c>
      <c r="D305" s="6">
        <v>3600</v>
      </c>
      <c r="E305" s="9">
        <v>18000</v>
      </c>
      <c r="F305" s="15">
        <f>IFERROR(PRD[[#This Row],[VALOR]]/PRD[[#This Row],[KGS]],"")</f>
        <v>5</v>
      </c>
      <c r="H305" s="27"/>
    </row>
    <row r="306" spans="1:8" x14ac:dyDescent="0.25">
      <c r="A306" s="21">
        <v>8050004</v>
      </c>
      <c r="B306" s="1">
        <v>44927</v>
      </c>
      <c r="C306" t="s">
        <v>323</v>
      </c>
      <c r="D306" s="6">
        <v>3600</v>
      </c>
      <c r="E306" s="9">
        <v>13824</v>
      </c>
      <c r="F306" s="15">
        <f>IFERROR(PRD[[#This Row],[VALOR]]/PRD[[#This Row],[KGS]],"")</f>
        <v>3.84</v>
      </c>
      <c r="H306" s="27"/>
    </row>
    <row r="307" spans="1:8" x14ac:dyDescent="0.25">
      <c r="A307" s="21">
        <v>8060001</v>
      </c>
      <c r="B307" s="1">
        <v>44927</v>
      </c>
      <c r="C307" t="s">
        <v>324</v>
      </c>
      <c r="D307" s="6">
        <v>11930</v>
      </c>
      <c r="E307" s="9">
        <v>47123.5</v>
      </c>
      <c r="F307" s="15">
        <f>IFERROR(PRD[[#This Row],[VALOR]]/PRD[[#This Row],[KGS]],"")</f>
        <v>3.95</v>
      </c>
      <c r="H307" s="27"/>
    </row>
    <row r="308" spans="1:8" x14ac:dyDescent="0.25">
      <c r="A308" s="21">
        <v>8060002</v>
      </c>
      <c r="B308" s="1">
        <v>44927</v>
      </c>
      <c r="C308" t="s">
        <v>325</v>
      </c>
      <c r="D308" s="6">
        <v>7200</v>
      </c>
      <c r="E308" s="9">
        <v>43200</v>
      </c>
      <c r="F308" s="15">
        <f>IFERROR(PRD[[#This Row],[VALOR]]/PRD[[#This Row],[KGS]],"")</f>
        <v>6</v>
      </c>
      <c r="H308" s="27"/>
    </row>
    <row r="309" spans="1:8" x14ac:dyDescent="0.25">
      <c r="A309" s="21">
        <v>8070002</v>
      </c>
      <c r="B309" s="1">
        <v>44927</v>
      </c>
      <c r="C309" t="s">
        <v>326</v>
      </c>
      <c r="D309" s="6">
        <v>432</v>
      </c>
      <c r="E309" s="9">
        <v>911.52</v>
      </c>
      <c r="F309" s="15">
        <f>IFERROR(PRD[[#This Row],[VALOR]]/PRD[[#This Row],[KGS]],"")</f>
        <v>2.11</v>
      </c>
      <c r="H309" s="27"/>
    </row>
    <row r="310" spans="1:8" x14ac:dyDescent="0.25">
      <c r="A310" s="21">
        <v>8070003</v>
      </c>
      <c r="B310" s="1">
        <v>44927</v>
      </c>
      <c r="C310" t="s">
        <v>327</v>
      </c>
      <c r="D310" s="6">
        <v>2000</v>
      </c>
      <c r="E310" s="9">
        <v>14240</v>
      </c>
      <c r="F310" s="15">
        <f>IFERROR(PRD[[#This Row],[VALOR]]/PRD[[#This Row],[KGS]],"")</f>
        <v>7.12</v>
      </c>
      <c r="H310" s="27"/>
    </row>
    <row r="311" spans="1:8" x14ac:dyDescent="0.25">
      <c r="A311" s="21">
        <v>8070005</v>
      </c>
      <c r="B311" s="1">
        <v>44927</v>
      </c>
      <c r="C311" t="s">
        <v>328</v>
      </c>
      <c r="D311" s="6">
        <v>600</v>
      </c>
      <c r="E311" s="9">
        <v>3870</v>
      </c>
      <c r="F311" s="15">
        <f>IFERROR(PRD[[#This Row],[VALOR]]/PRD[[#This Row],[KGS]],"")</f>
        <v>6.45</v>
      </c>
      <c r="H311" s="27"/>
    </row>
    <row r="312" spans="1:8" ht="13.15" customHeight="1" x14ac:dyDescent="0.25">
      <c r="A312" s="21">
        <v>8120001</v>
      </c>
      <c r="B312" s="1">
        <v>44927</v>
      </c>
      <c r="C312" t="s">
        <v>329</v>
      </c>
      <c r="D312" s="6">
        <v>1238.6949999999999</v>
      </c>
      <c r="E312" s="9">
        <v>6565.09</v>
      </c>
      <c r="F312" s="15">
        <f>IFERROR(PRD[[#This Row],[VALOR]]/PRD[[#This Row],[KGS]],"")</f>
        <v>5.300005247458011</v>
      </c>
      <c r="H312" s="27"/>
    </row>
    <row r="313" spans="1:8" ht="13.9" customHeight="1" x14ac:dyDescent="0.25">
      <c r="A313" s="21" t="s">
        <v>330</v>
      </c>
      <c r="B313" s="1">
        <v>44958</v>
      </c>
      <c r="C313" t="s">
        <v>331</v>
      </c>
      <c r="D313" s="6">
        <v>812.2</v>
      </c>
      <c r="E313" s="9">
        <v>243.66</v>
      </c>
      <c r="F313" s="15">
        <f>IFERROR(PRD[[#This Row],[VALOR]]/PRD[[#This Row],[KGS]],"")</f>
        <v>0.3</v>
      </c>
      <c r="H313" s="27"/>
    </row>
    <row r="314" spans="1:8" ht="13.9" customHeight="1" x14ac:dyDescent="0.25">
      <c r="A314" s="21" t="s">
        <v>332</v>
      </c>
      <c r="B314" s="1">
        <v>44958</v>
      </c>
      <c r="C314" t="s">
        <v>333</v>
      </c>
      <c r="D314" s="6">
        <v>1407.5</v>
      </c>
      <c r="E314" s="9">
        <v>422.25</v>
      </c>
      <c r="F314" s="15">
        <f>IFERROR(PRD[[#This Row],[VALOR]]/PRD[[#This Row],[KGS]],"")</f>
        <v>0.3</v>
      </c>
      <c r="H314" s="27"/>
    </row>
    <row r="315" spans="1:8" ht="13.9" customHeight="1" x14ac:dyDescent="0.25">
      <c r="A315" s="21">
        <v>1010500</v>
      </c>
      <c r="B315" s="1">
        <v>44958</v>
      </c>
      <c r="C315" t="s">
        <v>6</v>
      </c>
      <c r="D315" s="6">
        <v>1696.6</v>
      </c>
      <c r="E315" s="9">
        <v>945.1</v>
      </c>
      <c r="F315" s="15">
        <f>IFERROR(PRD[[#This Row],[VALOR]]/PRD[[#This Row],[KGS]],"")</f>
        <v>0.55705528704467766</v>
      </c>
      <c r="H315" s="27"/>
    </row>
    <row r="316" spans="1:8" ht="13.9" customHeight="1" x14ac:dyDescent="0.25">
      <c r="A316" s="21">
        <v>1010600</v>
      </c>
      <c r="B316" s="1">
        <v>44958</v>
      </c>
      <c r="C316" t="s">
        <v>334</v>
      </c>
      <c r="D316" s="6">
        <v>5062.17</v>
      </c>
      <c r="E316" s="9">
        <v>5104.91</v>
      </c>
      <c r="F316" s="15">
        <f>IFERROR(PRD[[#This Row],[VALOR]]/PRD[[#This Row],[KGS]],"")</f>
        <v>1.0084430194955918</v>
      </c>
      <c r="H316" s="27"/>
    </row>
    <row r="317" spans="1:8" ht="13.9" customHeight="1" x14ac:dyDescent="0.25">
      <c r="A317" s="21">
        <v>1010700</v>
      </c>
      <c r="B317" s="1">
        <v>44958</v>
      </c>
      <c r="C317" t="s">
        <v>10</v>
      </c>
      <c r="D317" s="6">
        <v>2068</v>
      </c>
      <c r="E317" s="9">
        <v>4049</v>
      </c>
      <c r="F317" s="15">
        <f>IFERROR(PRD[[#This Row],[VALOR]]/PRD[[#This Row],[KGS]],"")</f>
        <v>1.9579303675048356</v>
      </c>
      <c r="H317" s="27"/>
    </row>
    <row r="318" spans="1:8" ht="13.9" customHeight="1" x14ac:dyDescent="0.25">
      <c r="A318" s="21">
        <v>1010701</v>
      </c>
      <c r="B318" s="1">
        <v>44958</v>
      </c>
      <c r="C318" t="s">
        <v>12</v>
      </c>
      <c r="D318" s="6">
        <v>36.700000000000003</v>
      </c>
      <c r="E318" s="9">
        <v>249</v>
      </c>
      <c r="F318" s="15">
        <f>IFERROR(PRD[[#This Row],[VALOR]]/PRD[[#This Row],[KGS]],"")</f>
        <v>6.7847411444141681</v>
      </c>
      <c r="H318" s="27"/>
    </row>
    <row r="319" spans="1:8" ht="13.9" customHeight="1" x14ac:dyDescent="0.25">
      <c r="A319" s="21">
        <v>1010900</v>
      </c>
      <c r="B319" s="1">
        <v>44958</v>
      </c>
      <c r="C319" t="s">
        <v>336</v>
      </c>
      <c r="D319" s="6">
        <v>629</v>
      </c>
      <c r="E319" s="9">
        <v>1034</v>
      </c>
      <c r="F319" s="15">
        <f>IFERROR(PRD[[#This Row],[VALOR]]/PRD[[#This Row],[KGS]],"")</f>
        <v>1.6438791732909379</v>
      </c>
      <c r="H319" s="27"/>
    </row>
    <row r="320" spans="1:8" ht="13.9" customHeight="1" x14ac:dyDescent="0.25">
      <c r="A320" s="21">
        <v>1010901</v>
      </c>
      <c r="B320" s="1">
        <v>44958</v>
      </c>
      <c r="C320" t="s">
        <v>337</v>
      </c>
      <c r="D320" s="6">
        <v>264</v>
      </c>
      <c r="E320" s="9">
        <v>216</v>
      </c>
      <c r="F320" s="15">
        <f>IFERROR(PRD[[#This Row],[VALOR]]/PRD[[#This Row],[KGS]],"")</f>
        <v>0.81818181818181823</v>
      </c>
      <c r="H320" s="27"/>
    </row>
    <row r="321" spans="1:8" ht="13.9" customHeight="1" x14ac:dyDescent="0.25">
      <c r="A321" s="21">
        <v>1011000</v>
      </c>
      <c r="B321" s="1">
        <v>44958</v>
      </c>
      <c r="C321" t="s">
        <v>20</v>
      </c>
      <c r="D321" s="6">
        <v>1323.8</v>
      </c>
      <c r="E321" s="9">
        <v>720.67</v>
      </c>
      <c r="F321" s="15">
        <f>IFERROR(PRD[[#This Row],[VALOR]]/PRD[[#This Row],[KGS]],"")</f>
        <v>0.54439492370448705</v>
      </c>
      <c r="H321" s="27"/>
    </row>
    <row r="322" spans="1:8" ht="13.9" customHeight="1" x14ac:dyDescent="0.25">
      <c r="A322" s="21">
        <v>1011100</v>
      </c>
      <c r="B322" s="1">
        <v>44958</v>
      </c>
      <c r="C322" t="s">
        <v>22</v>
      </c>
      <c r="D322" s="6">
        <v>10.3</v>
      </c>
      <c r="E322" s="9">
        <v>5.15</v>
      </c>
      <c r="F322" s="15">
        <f>IFERROR(PRD[[#This Row],[VALOR]]/PRD[[#This Row],[KGS]],"")</f>
        <v>0.5</v>
      </c>
      <c r="H322" s="27"/>
    </row>
    <row r="323" spans="1:8" ht="13.9" customHeight="1" x14ac:dyDescent="0.25">
      <c r="A323" s="21">
        <v>1011200</v>
      </c>
      <c r="B323" s="1">
        <v>44958</v>
      </c>
      <c r="C323" t="s">
        <v>24</v>
      </c>
      <c r="D323" s="6">
        <v>46.4</v>
      </c>
      <c r="E323" s="9">
        <v>60</v>
      </c>
      <c r="F323" s="15">
        <f>IFERROR(PRD[[#This Row],[VALOR]]/PRD[[#This Row],[KGS]],"")</f>
        <v>1.2931034482758621</v>
      </c>
      <c r="H323" s="27"/>
    </row>
    <row r="324" spans="1:8" ht="13.9" customHeight="1" x14ac:dyDescent="0.25">
      <c r="A324" s="21">
        <v>1011201</v>
      </c>
      <c r="B324" s="1">
        <v>44958</v>
      </c>
      <c r="C324" t="s">
        <v>338</v>
      </c>
      <c r="D324" s="6">
        <v>94.3</v>
      </c>
      <c r="E324" s="9">
        <v>254.61</v>
      </c>
      <c r="F324" s="15">
        <f>IFERROR(PRD[[#This Row],[VALOR]]/PRD[[#This Row],[KGS]],"")</f>
        <v>2.7</v>
      </c>
      <c r="H324" s="27"/>
    </row>
    <row r="325" spans="1:8" ht="13.9" customHeight="1" x14ac:dyDescent="0.25">
      <c r="A325" s="21" t="s">
        <v>339</v>
      </c>
      <c r="B325" s="1">
        <v>44958</v>
      </c>
      <c r="C325" t="s">
        <v>340</v>
      </c>
      <c r="D325" s="6">
        <v>453.4</v>
      </c>
      <c r="E325" s="9">
        <v>181.36</v>
      </c>
      <c r="F325" s="15">
        <f>IFERROR(PRD[[#This Row],[VALOR]]/PRD[[#This Row],[KGS]],"")</f>
        <v>0.40000000000000008</v>
      </c>
      <c r="H325" s="27"/>
    </row>
    <row r="326" spans="1:8" ht="13.9" customHeight="1" x14ac:dyDescent="0.25">
      <c r="A326" s="21" t="s">
        <v>341</v>
      </c>
      <c r="B326" s="1">
        <v>44958</v>
      </c>
      <c r="C326" t="s">
        <v>342</v>
      </c>
      <c r="D326" s="6">
        <v>109.2</v>
      </c>
      <c r="E326" s="9">
        <v>65.62</v>
      </c>
      <c r="F326" s="15">
        <f>IFERROR(PRD[[#This Row],[VALOR]]/PRD[[#This Row],[KGS]],"")</f>
        <v>0.60091575091575089</v>
      </c>
      <c r="H326" s="27"/>
    </row>
    <row r="327" spans="1:8" x14ac:dyDescent="0.25">
      <c r="A327" s="21" t="s">
        <v>343</v>
      </c>
      <c r="B327" s="1">
        <v>44958</v>
      </c>
      <c r="C327" t="s">
        <v>344</v>
      </c>
      <c r="D327" s="6">
        <v>230</v>
      </c>
      <c r="E327" s="9">
        <v>390</v>
      </c>
      <c r="F327" s="15">
        <f>IFERROR(PRD[[#This Row],[VALOR]]/PRD[[#This Row],[KGS]],"")</f>
        <v>1.6956521739130435</v>
      </c>
      <c r="H327" s="27"/>
    </row>
    <row r="328" spans="1:8" x14ac:dyDescent="0.25">
      <c r="A328" s="21">
        <v>1011300</v>
      </c>
      <c r="B328" s="1">
        <v>44958</v>
      </c>
      <c r="C328" t="s">
        <v>295</v>
      </c>
      <c r="D328" s="6">
        <v>4014.3</v>
      </c>
      <c r="E328" s="9">
        <v>3991.62</v>
      </c>
      <c r="F328" s="15">
        <f>IFERROR(PRD[[#This Row],[VALOR]]/PRD[[#This Row],[KGS]],"")</f>
        <v>0.99435019804199976</v>
      </c>
      <c r="H328" s="27"/>
    </row>
    <row r="329" spans="1:8" x14ac:dyDescent="0.25">
      <c r="A329" s="21">
        <v>1011400</v>
      </c>
      <c r="B329" s="1">
        <v>44958</v>
      </c>
      <c r="C329" t="s">
        <v>25</v>
      </c>
      <c r="D329" s="6">
        <v>69.099999999999994</v>
      </c>
      <c r="E329" s="9">
        <v>13.14</v>
      </c>
      <c r="F329" s="15">
        <f>IFERROR(PRD[[#This Row],[VALOR]]/PRD[[#This Row],[KGS]],"")</f>
        <v>0.19015918958031841</v>
      </c>
      <c r="H329" s="27"/>
    </row>
    <row r="330" spans="1:8" x14ac:dyDescent="0.25">
      <c r="A330" s="21">
        <v>1011500</v>
      </c>
      <c r="B330" s="1">
        <v>44958</v>
      </c>
      <c r="C330" t="s">
        <v>27</v>
      </c>
      <c r="D330" s="6">
        <v>2960</v>
      </c>
      <c r="E330" s="9">
        <v>2374</v>
      </c>
      <c r="F330" s="15">
        <f>IFERROR(PRD[[#This Row],[VALOR]]/PRD[[#This Row],[KGS]],"")</f>
        <v>0.802027027027027</v>
      </c>
      <c r="H330" s="27"/>
    </row>
    <row r="331" spans="1:8" x14ac:dyDescent="0.25">
      <c r="A331" s="21">
        <v>1011604</v>
      </c>
      <c r="B331" s="1">
        <v>44958</v>
      </c>
      <c r="C331" t="s">
        <v>29</v>
      </c>
      <c r="D331" s="6">
        <v>26200</v>
      </c>
      <c r="E331" s="9">
        <v>1868</v>
      </c>
      <c r="F331" s="15">
        <f>IFERROR(PRD[[#This Row],[VALOR]]/PRD[[#This Row],[KGS]],"")</f>
        <v>7.1297709923664118E-2</v>
      </c>
      <c r="H331" s="27"/>
    </row>
    <row r="332" spans="1:8" x14ac:dyDescent="0.25">
      <c r="A332" s="21">
        <v>1011700</v>
      </c>
      <c r="B332" s="1">
        <v>44958</v>
      </c>
      <c r="C332" t="s">
        <v>31</v>
      </c>
      <c r="D332" s="6">
        <v>258</v>
      </c>
      <c r="E332" s="9">
        <v>425</v>
      </c>
      <c r="F332" s="15">
        <f>IFERROR(PRD[[#This Row],[VALOR]]/PRD[[#This Row],[KGS]],"")</f>
        <v>1.6472868217054264</v>
      </c>
      <c r="H332" s="27"/>
    </row>
    <row r="333" spans="1:8" x14ac:dyDescent="0.25">
      <c r="A333" s="21">
        <v>1011800</v>
      </c>
      <c r="B333" s="1">
        <v>44958</v>
      </c>
      <c r="C333" t="s">
        <v>33</v>
      </c>
      <c r="D333" s="6">
        <v>5776.09</v>
      </c>
      <c r="E333" s="9">
        <v>12117</v>
      </c>
      <c r="F333" s="15">
        <f>IFERROR(PRD[[#This Row],[VALOR]]/PRD[[#This Row],[KGS]],"")</f>
        <v>2.0977858724500482</v>
      </c>
      <c r="H333" s="27"/>
    </row>
    <row r="334" spans="1:8" x14ac:dyDescent="0.25">
      <c r="A334" s="21">
        <v>1011900</v>
      </c>
      <c r="B334" s="1">
        <v>44958</v>
      </c>
      <c r="C334" t="s">
        <v>345</v>
      </c>
      <c r="D334" s="6">
        <v>146.6</v>
      </c>
      <c r="E334" s="9">
        <v>73.3</v>
      </c>
      <c r="F334" s="15">
        <f>IFERROR(PRD[[#This Row],[VALOR]]/PRD[[#This Row],[KGS]],"")</f>
        <v>0.5</v>
      </c>
      <c r="H334" s="27"/>
    </row>
    <row r="335" spans="1:8" x14ac:dyDescent="0.25">
      <c r="A335" s="21">
        <v>1012100</v>
      </c>
      <c r="B335" s="1">
        <v>44958</v>
      </c>
      <c r="C335" t="s">
        <v>302</v>
      </c>
      <c r="D335" s="6">
        <v>348.6</v>
      </c>
      <c r="E335" s="9">
        <v>976.08</v>
      </c>
      <c r="F335" s="15">
        <f>IFERROR(PRD[[#This Row],[VALOR]]/PRD[[#This Row],[KGS]],"")</f>
        <v>2.8</v>
      </c>
      <c r="H335" s="27"/>
    </row>
    <row r="336" spans="1:8" x14ac:dyDescent="0.25">
      <c r="A336" s="21">
        <v>1012200</v>
      </c>
      <c r="B336" s="1">
        <v>44958</v>
      </c>
      <c r="C336" t="s">
        <v>39</v>
      </c>
      <c r="D336" s="6">
        <v>1411</v>
      </c>
      <c r="E336" s="9">
        <v>2370.52</v>
      </c>
      <c r="F336" s="15">
        <f>IFERROR(PRD[[#This Row],[VALOR]]/PRD[[#This Row],[KGS]],"")</f>
        <v>1.6800283486888732</v>
      </c>
      <c r="H336" s="27"/>
    </row>
    <row r="337" spans="1:8" x14ac:dyDescent="0.25">
      <c r="A337" s="21">
        <v>1012201</v>
      </c>
      <c r="B337" s="1">
        <v>44958</v>
      </c>
      <c r="C337" t="s">
        <v>41</v>
      </c>
      <c r="D337" s="6">
        <v>304</v>
      </c>
      <c r="E337" s="9">
        <v>648</v>
      </c>
      <c r="F337" s="15">
        <f>IFERROR(PRD[[#This Row],[VALOR]]/PRD[[#This Row],[KGS]],"")</f>
        <v>2.1315789473684212</v>
      </c>
      <c r="H337" s="27"/>
    </row>
    <row r="338" spans="1:8" x14ac:dyDescent="0.25">
      <c r="A338" s="21">
        <v>1012203</v>
      </c>
      <c r="B338" s="1">
        <v>44958</v>
      </c>
      <c r="C338" t="s">
        <v>43</v>
      </c>
      <c r="D338" s="6">
        <v>749.7</v>
      </c>
      <c r="E338" s="9">
        <v>1299</v>
      </c>
      <c r="F338" s="15">
        <f>IFERROR(PRD[[#This Row],[VALOR]]/PRD[[#This Row],[KGS]],"")</f>
        <v>1.7326930772308922</v>
      </c>
      <c r="H338" s="27"/>
    </row>
    <row r="339" spans="1:8" x14ac:dyDescent="0.25">
      <c r="A339" s="21">
        <v>1012300</v>
      </c>
      <c r="B339" s="1">
        <v>44958</v>
      </c>
      <c r="C339" t="s">
        <v>45</v>
      </c>
      <c r="D339" s="6">
        <v>339.9</v>
      </c>
      <c r="E339" s="9">
        <v>490.11</v>
      </c>
      <c r="F339" s="15">
        <f>IFERROR(PRD[[#This Row],[VALOR]]/PRD[[#This Row],[KGS]],"")</f>
        <v>1.4419240953221537</v>
      </c>
      <c r="H339" s="27"/>
    </row>
    <row r="340" spans="1:8" x14ac:dyDescent="0.25">
      <c r="A340" s="21">
        <v>1012301</v>
      </c>
      <c r="B340" s="1">
        <v>44958</v>
      </c>
      <c r="C340" t="s">
        <v>47</v>
      </c>
      <c r="D340" s="6">
        <v>150</v>
      </c>
      <c r="E340" s="9">
        <v>225</v>
      </c>
      <c r="F340" s="15">
        <f>IFERROR(PRD[[#This Row],[VALOR]]/PRD[[#This Row],[KGS]],"")</f>
        <v>1.5</v>
      </c>
      <c r="H340" s="27"/>
    </row>
    <row r="341" spans="1:8" x14ac:dyDescent="0.25">
      <c r="A341" s="21">
        <v>1012400</v>
      </c>
      <c r="B341" s="1">
        <v>44958</v>
      </c>
      <c r="C341" t="s">
        <v>49</v>
      </c>
      <c r="D341" s="6">
        <v>740</v>
      </c>
      <c r="E341" s="9">
        <v>1233</v>
      </c>
      <c r="F341" s="15">
        <f>IFERROR(PRD[[#This Row],[VALOR]]/PRD[[#This Row],[KGS]],"")</f>
        <v>1.6662162162162162</v>
      </c>
      <c r="H341" s="27"/>
    </row>
    <row r="342" spans="1:8" x14ac:dyDescent="0.25">
      <c r="A342" s="21">
        <v>1012401</v>
      </c>
      <c r="B342" s="1">
        <v>44958</v>
      </c>
      <c r="C342" t="s">
        <v>51</v>
      </c>
      <c r="D342" s="6">
        <v>270</v>
      </c>
      <c r="E342" s="9">
        <v>322</v>
      </c>
      <c r="F342" s="15">
        <f>IFERROR(PRD[[#This Row],[VALOR]]/PRD[[#This Row],[KGS]],"")</f>
        <v>1.1925925925925926</v>
      </c>
      <c r="H342" s="27"/>
    </row>
    <row r="343" spans="1:8" x14ac:dyDescent="0.25">
      <c r="A343" s="21">
        <v>1012500</v>
      </c>
      <c r="B343" s="1">
        <v>44958</v>
      </c>
      <c r="C343" t="s">
        <v>53</v>
      </c>
      <c r="D343" s="6">
        <v>1277</v>
      </c>
      <c r="E343" s="9">
        <v>510.88</v>
      </c>
      <c r="F343" s="15">
        <f>IFERROR(PRD[[#This Row],[VALOR]]/PRD[[#This Row],[KGS]],"")</f>
        <v>0.40006264682850429</v>
      </c>
      <c r="H343" s="27"/>
    </row>
    <row r="344" spans="1:8" x14ac:dyDescent="0.25">
      <c r="A344" s="21">
        <v>1012601</v>
      </c>
      <c r="B344" s="1">
        <v>44958</v>
      </c>
      <c r="C344" t="s">
        <v>55</v>
      </c>
      <c r="D344" s="6">
        <v>271</v>
      </c>
      <c r="E344" s="9">
        <v>271</v>
      </c>
      <c r="F344" s="15">
        <f>IFERROR(PRD[[#This Row],[VALOR]]/PRD[[#This Row],[KGS]],"")</f>
        <v>1</v>
      </c>
      <c r="H344" s="27"/>
    </row>
    <row r="345" spans="1:8" x14ac:dyDescent="0.25">
      <c r="A345" s="21">
        <v>1013100</v>
      </c>
      <c r="B345" s="1">
        <v>44958</v>
      </c>
      <c r="C345" t="s">
        <v>57</v>
      </c>
      <c r="D345" s="6">
        <v>482.1</v>
      </c>
      <c r="E345" s="9">
        <v>743.63</v>
      </c>
      <c r="F345" s="15">
        <f>IFERROR(PRD[[#This Row],[VALOR]]/PRD[[#This Row],[KGS]],"")</f>
        <v>1.5424808131093133</v>
      </c>
      <c r="H345" s="27"/>
    </row>
    <row r="346" spans="1:8" x14ac:dyDescent="0.25">
      <c r="A346" s="21">
        <v>1013101</v>
      </c>
      <c r="B346" s="1">
        <v>44958</v>
      </c>
      <c r="C346" t="s">
        <v>346</v>
      </c>
      <c r="D346" s="6">
        <v>3836</v>
      </c>
      <c r="E346" s="9">
        <v>8055.6</v>
      </c>
      <c r="F346" s="15">
        <f>IFERROR(PRD[[#This Row],[VALOR]]/PRD[[#This Row],[KGS]],"")</f>
        <v>2.1</v>
      </c>
      <c r="H346" s="27"/>
    </row>
    <row r="347" spans="1:8" x14ac:dyDescent="0.25">
      <c r="A347" s="21">
        <v>1013200</v>
      </c>
      <c r="B347" s="1">
        <v>44958</v>
      </c>
      <c r="C347" t="s">
        <v>59</v>
      </c>
      <c r="D347" s="6">
        <v>1916.4</v>
      </c>
      <c r="E347" s="9">
        <v>1954.09</v>
      </c>
      <c r="F347" s="15">
        <f>IFERROR(PRD[[#This Row],[VALOR]]/PRD[[#This Row],[KGS]],"")</f>
        <v>1.0196670841160509</v>
      </c>
      <c r="H347" s="27"/>
    </row>
    <row r="348" spans="1:8" x14ac:dyDescent="0.25">
      <c r="A348" s="21">
        <v>1013201</v>
      </c>
      <c r="B348" s="1">
        <v>44958</v>
      </c>
      <c r="C348" t="s">
        <v>347</v>
      </c>
      <c r="D348" s="6">
        <v>1696</v>
      </c>
      <c r="E348" s="9">
        <v>2544</v>
      </c>
      <c r="F348" s="15">
        <f>IFERROR(PRD[[#This Row],[VALOR]]/PRD[[#This Row],[KGS]],"")</f>
        <v>1.5</v>
      </c>
      <c r="H348" s="27"/>
    </row>
    <row r="349" spans="1:8" x14ac:dyDescent="0.25">
      <c r="A349" s="21">
        <v>1013300</v>
      </c>
      <c r="B349" s="1">
        <v>44958</v>
      </c>
      <c r="C349" t="s">
        <v>348</v>
      </c>
      <c r="D349" s="6">
        <v>947.6</v>
      </c>
      <c r="E349" s="9">
        <v>284.27999999999997</v>
      </c>
      <c r="F349" s="15">
        <f>IFERROR(PRD[[#This Row],[VALOR]]/PRD[[#This Row],[KGS]],"")</f>
        <v>0.3</v>
      </c>
      <c r="H349" s="27"/>
    </row>
    <row r="350" spans="1:8" x14ac:dyDescent="0.25">
      <c r="A350" s="21">
        <v>1013500</v>
      </c>
      <c r="B350" s="1">
        <v>44958</v>
      </c>
      <c r="C350" t="s">
        <v>61</v>
      </c>
      <c r="D350" s="6">
        <v>67.400000000000006</v>
      </c>
      <c r="E350" s="9">
        <v>33.700000000000003</v>
      </c>
      <c r="F350" s="15">
        <f>IFERROR(PRD[[#This Row],[VALOR]]/PRD[[#This Row],[KGS]],"")</f>
        <v>0.5</v>
      </c>
      <c r="H350" s="27"/>
    </row>
    <row r="351" spans="1:8" x14ac:dyDescent="0.25">
      <c r="A351" s="21">
        <v>1100100</v>
      </c>
      <c r="B351" s="1">
        <v>44958</v>
      </c>
      <c r="C351" t="s">
        <v>63</v>
      </c>
      <c r="D351" s="6">
        <v>50386</v>
      </c>
      <c r="E351" s="9">
        <v>135008</v>
      </c>
      <c r="F351" s="15">
        <f>IFERROR(PRD[[#This Row],[VALOR]]/PRD[[#This Row],[KGS]],"")</f>
        <v>2.6794744571904894</v>
      </c>
      <c r="H351" s="27"/>
    </row>
    <row r="352" spans="1:8" x14ac:dyDescent="0.25">
      <c r="A352" s="21">
        <v>1100101</v>
      </c>
      <c r="B352" s="1">
        <v>44958</v>
      </c>
      <c r="C352" t="s">
        <v>65</v>
      </c>
      <c r="D352" s="6">
        <v>345.3</v>
      </c>
      <c r="E352" s="9">
        <v>980.9</v>
      </c>
      <c r="F352" s="15">
        <f>IFERROR(PRD[[#This Row],[VALOR]]/PRD[[#This Row],[KGS]],"")</f>
        <v>2.8407182160440194</v>
      </c>
      <c r="H352" s="27"/>
    </row>
    <row r="353" spans="1:8" x14ac:dyDescent="0.25">
      <c r="A353" s="21">
        <v>1100200</v>
      </c>
      <c r="B353" s="1">
        <v>44958</v>
      </c>
      <c r="C353" t="s">
        <v>67</v>
      </c>
      <c r="D353" s="6">
        <v>61604</v>
      </c>
      <c r="E353" s="9">
        <v>177393</v>
      </c>
      <c r="F353" s="15">
        <f>IFERROR(PRD[[#This Row],[VALOR]]/PRD[[#This Row],[KGS]],"")</f>
        <v>2.8795695084734758</v>
      </c>
      <c r="H353" s="27"/>
    </row>
    <row r="354" spans="1:8" x14ac:dyDescent="0.25">
      <c r="A354" s="21">
        <v>1100300</v>
      </c>
      <c r="B354" s="1">
        <v>44958</v>
      </c>
      <c r="C354" t="s">
        <v>69</v>
      </c>
      <c r="D354" s="6">
        <v>13383.37</v>
      </c>
      <c r="E354" s="9">
        <v>38649.629999999997</v>
      </c>
      <c r="F354" s="15">
        <f>IFERROR(PRD[[#This Row],[VALOR]]/PRD[[#This Row],[KGS]],"")</f>
        <v>2.8878847405399384</v>
      </c>
      <c r="H354" s="27"/>
    </row>
    <row r="355" spans="1:8" x14ac:dyDescent="0.25">
      <c r="A355" s="21">
        <v>1100301</v>
      </c>
      <c r="B355" s="1">
        <v>44958</v>
      </c>
      <c r="C355" t="s">
        <v>71</v>
      </c>
      <c r="D355" s="6">
        <v>2002.4</v>
      </c>
      <c r="E355" s="9">
        <v>6047.4</v>
      </c>
      <c r="F355" s="15">
        <f>IFERROR(PRD[[#This Row],[VALOR]]/PRD[[#This Row],[KGS]],"")</f>
        <v>3.0200759089093085</v>
      </c>
      <c r="H355" s="27"/>
    </row>
    <row r="356" spans="1:8" x14ac:dyDescent="0.25">
      <c r="A356" s="21">
        <v>1100400</v>
      </c>
      <c r="B356" s="1">
        <v>44958</v>
      </c>
      <c r="C356" t="s">
        <v>73</v>
      </c>
      <c r="D356" s="6">
        <v>3575.1</v>
      </c>
      <c r="E356" s="9">
        <v>10441</v>
      </c>
      <c r="F356" s="15">
        <f>IFERROR(PRD[[#This Row],[VALOR]]/PRD[[#This Row],[KGS]],"")</f>
        <v>2.9204777488741573</v>
      </c>
      <c r="H356" s="27"/>
    </row>
    <row r="357" spans="1:8" x14ac:dyDescent="0.25">
      <c r="A357" s="21">
        <v>1100500</v>
      </c>
      <c r="B357" s="1">
        <v>44958</v>
      </c>
      <c r="C357" t="s">
        <v>75</v>
      </c>
      <c r="D357" s="6">
        <v>654.22</v>
      </c>
      <c r="E357" s="9">
        <v>1890.8</v>
      </c>
      <c r="F357" s="15">
        <f>IFERROR(PRD[[#This Row],[VALOR]]/PRD[[#This Row],[KGS]],"")</f>
        <v>2.8901592736388371</v>
      </c>
      <c r="H357" s="27"/>
    </row>
    <row r="358" spans="1:8" x14ac:dyDescent="0.25">
      <c r="A358" s="21">
        <v>1100600</v>
      </c>
      <c r="B358" s="1">
        <v>44958</v>
      </c>
      <c r="C358" t="s">
        <v>77</v>
      </c>
      <c r="D358" s="6">
        <v>3615</v>
      </c>
      <c r="E358" s="9">
        <v>11399</v>
      </c>
      <c r="F358" s="15">
        <f>IFERROR(PRD[[#This Row],[VALOR]]/PRD[[#This Row],[KGS]],"")</f>
        <v>3.153250345781466</v>
      </c>
      <c r="H358" s="27"/>
    </row>
    <row r="359" spans="1:8" x14ac:dyDescent="0.25">
      <c r="A359" s="21">
        <v>1100602</v>
      </c>
      <c r="B359" s="1">
        <v>44958</v>
      </c>
      <c r="C359" t="s">
        <v>79</v>
      </c>
      <c r="D359" s="6">
        <v>397.2</v>
      </c>
      <c r="E359" s="9">
        <v>1892.93</v>
      </c>
      <c r="F359" s="15">
        <f>IFERROR(PRD[[#This Row],[VALOR]]/PRD[[#This Row],[KGS]],"")</f>
        <v>4.7656847935548843</v>
      </c>
      <c r="H359" s="27"/>
    </row>
    <row r="360" spans="1:8" x14ac:dyDescent="0.25">
      <c r="A360" s="21">
        <v>1100603</v>
      </c>
      <c r="B360" s="1">
        <v>44958</v>
      </c>
      <c r="C360" t="s">
        <v>304</v>
      </c>
      <c r="D360" s="6">
        <v>90</v>
      </c>
      <c r="E360" s="9">
        <v>348.4</v>
      </c>
      <c r="F360" s="15">
        <f>IFERROR(PRD[[#This Row],[VALOR]]/PRD[[#This Row],[KGS]],"")</f>
        <v>3.8711111111111109</v>
      </c>
      <c r="H360" s="27"/>
    </row>
    <row r="361" spans="1:8" x14ac:dyDescent="0.25">
      <c r="A361" s="21">
        <v>1100608</v>
      </c>
      <c r="B361" s="1">
        <v>44958</v>
      </c>
      <c r="C361" t="s">
        <v>349</v>
      </c>
      <c r="D361" s="6">
        <v>934.97</v>
      </c>
      <c r="E361" s="9">
        <v>2739.46</v>
      </c>
      <c r="F361" s="15">
        <f>IFERROR(PRD[[#This Row],[VALOR]]/PRD[[#This Row],[KGS]],"")</f>
        <v>2.929997753938629</v>
      </c>
      <c r="H361" s="27"/>
    </row>
    <row r="362" spans="1:8" x14ac:dyDescent="0.25">
      <c r="A362" s="21">
        <v>1100700</v>
      </c>
      <c r="B362" s="1">
        <v>44958</v>
      </c>
      <c r="C362" t="s">
        <v>83</v>
      </c>
      <c r="D362" s="6">
        <v>7725.95</v>
      </c>
      <c r="E362" s="9">
        <v>24221.23</v>
      </c>
      <c r="F362" s="15">
        <f>IFERROR(PRD[[#This Row],[VALOR]]/PRD[[#This Row],[KGS]],"")</f>
        <v>3.1350487642296416</v>
      </c>
      <c r="H362" s="27"/>
    </row>
    <row r="363" spans="1:8" x14ac:dyDescent="0.25">
      <c r="A363" s="21">
        <v>1100701</v>
      </c>
      <c r="B363" s="1">
        <v>44958</v>
      </c>
      <c r="C363" t="s">
        <v>84</v>
      </c>
      <c r="D363" s="6">
        <v>20.6</v>
      </c>
      <c r="E363" s="9">
        <v>100.67</v>
      </c>
      <c r="F363" s="15">
        <f>IFERROR(PRD[[#This Row],[VALOR]]/PRD[[#This Row],[KGS]],"")</f>
        <v>4.8868932038834947</v>
      </c>
      <c r="H363" s="27"/>
    </row>
    <row r="364" spans="1:8" x14ac:dyDescent="0.25">
      <c r="A364" s="21">
        <v>1100703</v>
      </c>
      <c r="B364" s="1">
        <v>44958</v>
      </c>
      <c r="C364" t="s">
        <v>86</v>
      </c>
      <c r="D364" s="6">
        <v>1859</v>
      </c>
      <c r="E364" s="9">
        <v>6931</v>
      </c>
      <c r="F364" s="15">
        <f>IFERROR(PRD[[#This Row],[VALOR]]/PRD[[#This Row],[KGS]],"")</f>
        <v>3.7283485745024207</v>
      </c>
      <c r="H364" s="27"/>
    </row>
    <row r="365" spans="1:8" x14ac:dyDescent="0.25">
      <c r="A365" s="21">
        <v>1100705</v>
      </c>
      <c r="B365" s="1">
        <v>44958</v>
      </c>
      <c r="C365" t="s">
        <v>88</v>
      </c>
      <c r="D365" s="6">
        <v>172</v>
      </c>
      <c r="E365" s="9">
        <v>238</v>
      </c>
      <c r="F365" s="15">
        <f>IFERROR(PRD[[#This Row],[VALOR]]/PRD[[#This Row],[KGS]],"")</f>
        <v>1.3837209302325582</v>
      </c>
      <c r="H365" s="27"/>
    </row>
    <row r="366" spans="1:8" x14ac:dyDescent="0.25">
      <c r="A366" s="21">
        <v>1100706</v>
      </c>
      <c r="B366" s="1">
        <v>44958</v>
      </c>
      <c r="C366" t="s">
        <v>305</v>
      </c>
      <c r="D366" s="6">
        <v>50</v>
      </c>
      <c r="E366" s="9">
        <v>77.099999999999994</v>
      </c>
      <c r="F366" s="15">
        <f>IFERROR(PRD[[#This Row],[VALOR]]/PRD[[#This Row],[KGS]],"")</f>
        <v>1.5419999999999998</v>
      </c>
      <c r="H366" s="27"/>
    </row>
    <row r="367" spans="1:8" x14ac:dyDescent="0.25">
      <c r="A367" s="21">
        <v>1100800</v>
      </c>
      <c r="B367" s="1">
        <v>44958</v>
      </c>
      <c r="C367" t="s">
        <v>90</v>
      </c>
      <c r="D367" s="6">
        <v>17214</v>
      </c>
      <c r="E367" s="9">
        <v>51033</v>
      </c>
      <c r="F367" s="15">
        <f>IFERROR(PRD[[#This Row],[VALOR]]/PRD[[#This Row],[KGS]],"")</f>
        <v>2.9646218194492855</v>
      </c>
      <c r="H367" s="27"/>
    </row>
    <row r="368" spans="1:8" x14ac:dyDescent="0.25">
      <c r="A368" s="21">
        <v>1100801</v>
      </c>
      <c r="B368" s="1">
        <v>44958</v>
      </c>
      <c r="C368" t="s">
        <v>92</v>
      </c>
      <c r="D368" s="6">
        <v>3387</v>
      </c>
      <c r="E368" s="9">
        <v>7790.1</v>
      </c>
      <c r="F368" s="15">
        <f>IFERROR(PRD[[#This Row],[VALOR]]/PRD[[#This Row],[KGS]],"")</f>
        <v>2.3000000000000003</v>
      </c>
      <c r="H368" s="27"/>
    </row>
    <row r="369" spans="1:8" x14ac:dyDescent="0.25">
      <c r="A369" s="21">
        <v>1100802</v>
      </c>
      <c r="B369" s="1">
        <v>44958</v>
      </c>
      <c r="C369" t="s">
        <v>306</v>
      </c>
      <c r="D369" s="6">
        <v>305.7</v>
      </c>
      <c r="E369" s="9">
        <v>921.79</v>
      </c>
      <c r="F369" s="15">
        <f>IFERROR(PRD[[#This Row],[VALOR]]/PRD[[#This Row],[KGS]],"")</f>
        <v>3.0153418384036637</v>
      </c>
      <c r="H369" s="27"/>
    </row>
    <row r="370" spans="1:8" x14ac:dyDescent="0.25">
      <c r="A370" s="21">
        <v>1100900</v>
      </c>
      <c r="B370" s="1">
        <v>44958</v>
      </c>
      <c r="C370" t="s">
        <v>94</v>
      </c>
      <c r="D370" s="6">
        <v>763.99</v>
      </c>
      <c r="E370" s="9">
        <v>4774.29</v>
      </c>
      <c r="F370" s="15">
        <f>IFERROR(PRD[[#This Row],[VALOR]]/PRD[[#This Row],[KGS]],"")</f>
        <v>6.2491524758177466</v>
      </c>
      <c r="H370" s="27"/>
    </row>
    <row r="371" spans="1:8" x14ac:dyDescent="0.25">
      <c r="A371" s="21">
        <v>1101000</v>
      </c>
      <c r="B371" s="1">
        <v>44958</v>
      </c>
      <c r="C371" t="s">
        <v>96</v>
      </c>
      <c r="D371" s="6">
        <v>8288</v>
      </c>
      <c r="E371" s="9">
        <v>29270</v>
      </c>
      <c r="F371" s="15">
        <f>IFERROR(PRD[[#This Row],[VALOR]]/PRD[[#This Row],[KGS]],"")</f>
        <v>3.5316119691119692</v>
      </c>
      <c r="H371" s="27"/>
    </row>
    <row r="372" spans="1:8" x14ac:dyDescent="0.25">
      <c r="A372" s="21">
        <v>1101001</v>
      </c>
      <c r="B372" s="1">
        <v>44958</v>
      </c>
      <c r="C372" t="s">
        <v>98</v>
      </c>
      <c r="D372" s="6">
        <v>731.8</v>
      </c>
      <c r="E372" s="9">
        <v>2881.36</v>
      </c>
      <c r="F372" s="15">
        <f>IFERROR(PRD[[#This Row],[VALOR]]/PRD[[#This Row],[KGS]],"")</f>
        <v>3.9373599344083088</v>
      </c>
      <c r="H372" s="27"/>
    </row>
    <row r="373" spans="1:8" x14ac:dyDescent="0.25">
      <c r="A373" s="21">
        <v>1101100</v>
      </c>
      <c r="B373" s="1">
        <v>44958</v>
      </c>
      <c r="C373" t="s">
        <v>100</v>
      </c>
      <c r="D373" s="6">
        <v>38807</v>
      </c>
      <c r="E373" s="9">
        <v>137670</v>
      </c>
      <c r="F373" s="15">
        <f>IFERROR(PRD[[#This Row],[VALOR]]/PRD[[#This Row],[KGS]],"")</f>
        <v>3.5475558533254308</v>
      </c>
      <c r="H373" s="27"/>
    </row>
    <row r="374" spans="1:8" x14ac:dyDescent="0.25">
      <c r="A374" s="21">
        <v>1101103</v>
      </c>
      <c r="B374" s="1">
        <v>44958</v>
      </c>
      <c r="C374" t="s">
        <v>350</v>
      </c>
      <c r="D374" s="6">
        <v>297.5</v>
      </c>
      <c r="E374" s="9">
        <v>1087.67</v>
      </c>
      <c r="F374" s="15">
        <f>IFERROR(PRD[[#This Row],[VALOR]]/PRD[[#This Row],[KGS]],"")</f>
        <v>3.6560336134453784</v>
      </c>
      <c r="H374" s="27"/>
    </row>
    <row r="375" spans="1:8" x14ac:dyDescent="0.25">
      <c r="A375" s="21">
        <v>1101300</v>
      </c>
      <c r="B375" s="1">
        <v>44958</v>
      </c>
      <c r="C375" t="s">
        <v>102</v>
      </c>
      <c r="D375" s="6">
        <v>104.2</v>
      </c>
      <c r="E375" s="9">
        <v>489.52</v>
      </c>
      <c r="F375" s="15">
        <f>IFERROR(PRD[[#This Row],[VALOR]]/PRD[[#This Row],[KGS]],"")</f>
        <v>4.6978886756238003</v>
      </c>
      <c r="H375" s="27"/>
    </row>
    <row r="376" spans="1:8" x14ac:dyDescent="0.25">
      <c r="A376" s="21">
        <v>1101400</v>
      </c>
      <c r="B376" s="1">
        <v>44958</v>
      </c>
      <c r="C376" t="s">
        <v>104</v>
      </c>
      <c r="D376" s="6">
        <v>11905</v>
      </c>
      <c r="E376" s="9">
        <v>30924</v>
      </c>
      <c r="F376" s="15">
        <f>IFERROR(PRD[[#This Row],[VALOR]]/PRD[[#This Row],[KGS]],"")</f>
        <v>2.5975640487190255</v>
      </c>
      <c r="H376" s="27"/>
    </row>
    <row r="377" spans="1:8" x14ac:dyDescent="0.25">
      <c r="A377" s="21">
        <v>1101500</v>
      </c>
      <c r="B377" s="1">
        <v>44958</v>
      </c>
      <c r="C377" t="s">
        <v>106</v>
      </c>
      <c r="D377" s="6">
        <v>262</v>
      </c>
      <c r="E377" s="9">
        <v>703.72</v>
      </c>
      <c r="F377" s="15">
        <f>IFERROR(PRD[[#This Row],[VALOR]]/PRD[[#This Row],[KGS]],"")</f>
        <v>2.6859541984732824</v>
      </c>
      <c r="H377" s="27"/>
    </row>
    <row r="378" spans="1:8" x14ac:dyDescent="0.25">
      <c r="A378" s="21">
        <v>1101600</v>
      </c>
      <c r="B378" s="1">
        <v>44958</v>
      </c>
      <c r="C378" t="s">
        <v>108</v>
      </c>
      <c r="D378" s="6">
        <v>263.89999999999998</v>
      </c>
      <c r="E378" s="9">
        <v>693.99</v>
      </c>
      <c r="F378" s="15">
        <f>IFERROR(PRD[[#This Row],[VALOR]]/PRD[[#This Row],[KGS]],"")</f>
        <v>2.6297461159530129</v>
      </c>
      <c r="H378" s="27"/>
    </row>
    <row r="379" spans="1:8" x14ac:dyDescent="0.25">
      <c r="A379" s="21">
        <v>1101700</v>
      </c>
      <c r="B379" s="1">
        <v>44958</v>
      </c>
      <c r="C379" t="s">
        <v>110</v>
      </c>
      <c r="D379" s="6">
        <v>8090</v>
      </c>
      <c r="E379" s="9">
        <v>20066</v>
      </c>
      <c r="F379" s="15">
        <f>IFERROR(PRD[[#This Row],[VALOR]]/PRD[[#This Row],[KGS]],"")</f>
        <v>2.4803461063040793</v>
      </c>
      <c r="H379" s="27"/>
    </row>
    <row r="380" spans="1:8" x14ac:dyDescent="0.25">
      <c r="A380" s="21">
        <v>1101801</v>
      </c>
      <c r="B380" s="1">
        <v>44958</v>
      </c>
      <c r="C380" t="s">
        <v>112</v>
      </c>
      <c r="D380" s="6">
        <v>3745.15</v>
      </c>
      <c r="E380" s="9">
        <v>9024.7800000000007</v>
      </c>
      <c r="F380" s="15">
        <f>IFERROR(PRD[[#This Row],[VALOR]]/PRD[[#This Row],[KGS]],"")</f>
        <v>2.4097245771197415</v>
      </c>
      <c r="H380" s="27"/>
    </row>
    <row r="381" spans="1:8" x14ac:dyDescent="0.25">
      <c r="A381" s="21">
        <v>1101900</v>
      </c>
      <c r="B381" s="1">
        <v>44958</v>
      </c>
      <c r="C381" t="s">
        <v>114</v>
      </c>
      <c r="D381" s="6">
        <v>3276</v>
      </c>
      <c r="E381" s="9">
        <v>10054</v>
      </c>
      <c r="F381" s="15">
        <f>IFERROR(PRD[[#This Row],[VALOR]]/PRD[[#This Row],[KGS]],"")</f>
        <v>3.0689865689865692</v>
      </c>
      <c r="H381" s="27"/>
    </row>
    <row r="382" spans="1:8" x14ac:dyDescent="0.25">
      <c r="A382" s="21">
        <v>1101902</v>
      </c>
      <c r="B382" s="1">
        <v>44958</v>
      </c>
      <c r="C382" t="s">
        <v>351</v>
      </c>
      <c r="D382" s="6">
        <v>903.4</v>
      </c>
      <c r="E382" s="9">
        <v>3261.28</v>
      </c>
      <c r="F382" s="15">
        <f>IFERROR(PRD[[#This Row],[VALOR]]/PRD[[#This Row],[KGS]],"")</f>
        <v>3.6100066415762679</v>
      </c>
      <c r="H382" s="27"/>
    </row>
    <row r="383" spans="1:8" x14ac:dyDescent="0.25">
      <c r="A383" s="21">
        <v>1101906</v>
      </c>
      <c r="B383" s="1">
        <v>44958</v>
      </c>
      <c r="C383" t="s">
        <v>352</v>
      </c>
      <c r="D383" s="6">
        <v>323.61</v>
      </c>
      <c r="E383" s="9">
        <v>1012.9</v>
      </c>
      <c r="F383" s="15">
        <f>IFERROR(PRD[[#This Row],[VALOR]]/PRD[[#This Row],[KGS]],"")</f>
        <v>3.1300021630975556</v>
      </c>
      <c r="H383" s="27"/>
    </row>
    <row r="384" spans="1:8" x14ac:dyDescent="0.25">
      <c r="A384" s="21">
        <v>1102200</v>
      </c>
      <c r="B384" s="1">
        <v>44958</v>
      </c>
      <c r="C384" t="s">
        <v>117</v>
      </c>
      <c r="D384" s="6">
        <v>211</v>
      </c>
      <c r="E384" s="9">
        <v>654.59</v>
      </c>
      <c r="F384" s="15">
        <f>IFERROR(PRD[[#This Row],[VALOR]]/PRD[[#This Row],[KGS]],"")</f>
        <v>3.1023222748815167</v>
      </c>
      <c r="H384" s="27"/>
    </row>
    <row r="385" spans="1:8" x14ac:dyDescent="0.25">
      <c r="A385" s="21">
        <v>1102300</v>
      </c>
      <c r="B385" s="1">
        <v>44958</v>
      </c>
      <c r="C385" t="s">
        <v>119</v>
      </c>
      <c r="D385" s="6">
        <v>3126.3</v>
      </c>
      <c r="E385" s="9">
        <v>9002.3799999999992</v>
      </c>
      <c r="F385" s="15">
        <f>IFERROR(PRD[[#This Row],[VALOR]]/PRD[[#This Row],[KGS]],"")</f>
        <v>2.8795637015001754</v>
      </c>
      <c r="H385" s="27"/>
    </row>
    <row r="386" spans="1:8" x14ac:dyDescent="0.25">
      <c r="A386" s="21">
        <v>1103000</v>
      </c>
      <c r="B386" s="1">
        <v>44958</v>
      </c>
      <c r="C386" t="s">
        <v>121</v>
      </c>
      <c r="D386" s="6">
        <v>298.10000000000002</v>
      </c>
      <c r="E386" s="9">
        <v>558.25</v>
      </c>
      <c r="F386" s="15">
        <f>IFERROR(PRD[[#This Row],[VALOR]]/PRD[[#This Row],[KGS]],"")</f>
        <v>1.8726937269372692</v>
      </c>
      <c r="H386" s="27"/>
    </row>
    <row r="387" spans="1:8" x14ac:dyDescent="0.25">
      <c r="A387" s="21">
        <v>2010900</v>
      </c>
      <c r="B387" s="1">
        <v>44958</v>
      </c>
      <c r="C387" t="s">
        <v>125</v>
      </c>
      <c r="D387" s="6">
        <v>640</v>
      </c>
      <c r="E387" s="9">
        <v>817</v>
      </c>
      <c r="F387" s="15">
        <f>IFERROR(PRD[[#This Row],[VALOR]]/PRD[[#This Row],[KGS]],"")</f>
        <v>1.2765625</v>
      </c>
      <c r="H387" s="27"/>
    </row>
    <row r="388" spans="1:8" x14ac:dyDescent="0.25">
      <c r="A388" s="21">
        <v>2010902</v>
      </c>
      <c r="B388" s="1">
        <v>44958</v>
      </c>
      <c r="C388" t="s">
        <v>127</v>
      </c>
      <c r="D388" s="6">
        <v>1310</v>
      </c>
      <c r="E388" s="9">
        <v>1056</v>
      </c>
      <c r="F388" s="15">
        <f>IFERROR(PRD[[#This Row],[VALOR]]/PRD[[#This Row],[KGS]],"")</f>
        <v>0.80610687022900762</v>
      </c>
      <c r="H388" s="27"/>
    </row>
    <row r="389" spans="1:8" x14ac:dyDescent="0.25">
      <c r="A389" s="21">
        <v>2011700</v>
      </c>
      <c r="B389" s="1">
        <v>44958</v>
      </c>
      <c r="C389" t="s">
        <v>129</v>
      </c>
      <c r="D389" s="6">
        <v>188.3</v>
      </c>
      <c r="E389" s="9">
        <v>632.5</v>
      </c>
      <c r="F389" s="15">
        <f>IFERROR(PRD[[#This Row],[VALOR]]/PRD[[#This Row],[KGS]],"")</f>
        <v>3.3590015932023367</v>
      </c>
      <c r="H389" s="27"/>
    </row>
    <row r="390" spans="1:8" x14ac:dyDescent="0.25">
      <c r="A390" s="21">
        <v>3020103</v>
      </c>
      <c r="B390" s="1">
        <v>44958</v>
      </c>
      <c r="C390" t="s">
        <v>131</v>
      </c>
      <c r="D390" s="6">
        <v>6241.24</v>
      </c>
      <c r="E390" s="9">
        <v>19571</v>
      </c>
      <c r="F390" s="15">
        <f>IFERROR(PRD[[#This Row],[VALOR]]/PRD[[#This Row],[KGS]],"")</f>
        <v>3.1357550743121561</v>
      </c>
      <c r="H390" s="27"/>
    </row>
    <row r="391" spans="1:8" x14ac:dyDescent="0.25">
      <c r="A391" s="21">
        <v>3020212</v>
      </c>
      <c r="B391" s="1">
        <v>44958</v>
      </c>
      <c r="C391" t="s">
        <v>133</v>
      </c>
      <c r="D391" s="6">
        <v>1179.69</v>
      </c>
      <c r="E391" s="9">
        <v>4338.08</v>
      </c>
      <c r="F391" s="15">
        <f>IFERROR(PRD[[#This Row],[VALOR]]/PRD[[#This Row],[KGS]],"")</f>
        <v>3.6773050547177646</v>
      </c>
      <c r="H391" s="27"/>
    </row>
    <row r="392" spans="1:8" x14ac:dyDescent="0.25">
      <c r="A392" s="21">
        <v>3020214</v>
      </c>
      <c r="B392" s="1">
        <v>44958</v>
      </c>
      <c r="C392" t="s">
        <v>135</v>
      </c>
      <c r="D392" s="6">
        <v>393.1</v>
      </c>
      <c r="E392" s="9">
        <v>1395.39</v>
      </c>
      <c r="F392" s="15">
        <f>IFERROR(PRD[[#This Row],[VALOR]]/PRD[[#This Row],[KGS]],"")</f>
        <v>3.5497074535741544</v>
      </c>
      <c r="H392" s="27"/>
    </row>
    <row r="393" spans="1:8" x14ac:dyDescent="0.25">
      <c r="A393" s="21">
        <v>3020315</v>
      </c>
      <c r="B393" s="1">
        <v>44958</v>
      </c>
      <c r="C393" t="s">
        <v>137</v>
      </c>
      <c r="D393" s="6">
        <v>1921.97</v>
      </c>
      <c r="E393" s="9">
        <v>6753.56</v>
      </c>
      <c r="F393" s="15">
        <f>IFERROR(PRD[[#This Row],[VALOR]]/PRD[[#This Row],[KGS]],"")</f>
        <v>3.5138737857510787</v>
      </c>
      <c r="H393" s="27"/>
    </row>
    <row r="394" spans="1:8" x14ac:dyDescent="0.25">
      <c r="A394" s="21">
        <v>3020316</v>
      </c>
      <c r="B394" s="1">
        <v>44958</v>
      </c>
      <c r="C394" t="s">
        <v>139</v>
      </c>
      <c r="D394" s="6">
        <v>275.91000000000003</v>
      </c>
      <c r="E394" s="9">
        <v>924.3</v>
      </c>
      <c r="F394" s="15">
        <f>IFERROR(PRD[[#This Row],[VALOR]]/PRD[[#This Row],[KGS]],"")</f>
        <v>3.350005436555398</v>
      </c>
      <c r="H394" s="27"/>
    </row>
    <row r="395" spans="1:8" x14ac:dyDescent="0.25">
      <c r="A395" s="21">
        <v>3020402</v>
      </c>
      <c r="B395" s="1">
        <v>44958</v>
      </c>
      <c r="C395" t="s">
        <v>141</v>
      </c>
      <c r="D395" s="6">
        <v>2011.49</v>
      </c>
      <c r="E395" s="9">
        <v>7055.15</v>
      </c>
      <c r="F395" s="15">
        <f>IFERROR(PRD[[#This Row],[VALOR]]/PRD[[#This Row],[KGS]],"")</f>
        <v>3.5074248442696705</v>
      </c>
      <c r="H395" s="27"/>
    </row>
    <row r="396" spans="1:8" x14ac:dyDescent="0.25">
      <c r="A396" s="21">
        <v>3020504</v>
      </c>
      <c r="B396" s="1">
        <v>44958</v>
      </c>
      <c r="C396" t="s">
        <v>143</v>
      </c>
      <c r="D396" s="6">
        <v>504.3</v>
      </c>
      <c r="E396" s="9">
        <v>1805.45</v>
      </c>
      <c r="F396" s="15">
        <f>IFERROR(PRD[[#This Row],[VALOR]]/PRD[[#This Row],[KGS]],"")</f>
        <v>3.580111045012889</v>
      </c>
      <c r="H396" s="27"/>
    </row>
    <row r="397" spans="1:8" x14ac:dyDescent="0.25">
      <c r="A397" s="21">
        <v>3020622</v>
      </c>
      <c r="B397" s="1">
        <v>44958</v>
      </c>
      <c r="C397" t="s">
        <v>145</v>
      </c>
      <c r="D397" s="6">
        <v>7518.14</v>
      </c>
      <c r="E397" s="9">
        <v>25783.11</v>
      </c>
      <c r="F397" s="15">
        <f>IFERROR(PRD[[#This Row],[VALOR]]/PRD[[#This Row],[KGS]],"")</f>
        <v>3.4294532956289721</v>
      </c>
      <c r="H397" s="27"/>
    </row>
    <row r="398" spans="1:8" x14ac:dyDescent="0.25">
      <c r="A398" s="21">
        <v>3020623</v>
      </c>
      <c r="B398" s="1">
        <v>44958</v>
      </c>
      <c r="C398" t="s">
        <v>147</v>
      </c>
      <c r="D398" s="6">
        <v>1235.27</v>
      </c>
      <c r="E398" s="9">
        <v>4517.95</v>
      </c>
      <c r="F398" s="15">
        <f>IFERROR(PRD[[#This Row],[VALOR]]/PRD[[#This Row],[KGS]],"")</f>
        <v>3.6574595027807684</v>
      </c>
      <c r="H398" s="27"/>
    </row>
    <row r="399" spans="1:8" x14ac:dyDescent="0.25">
      <c r="A399" s="21">
        <v>3020725</v>
      </c>
      <c r="B399" s="1">
        <v>44958</v>
      </c>
      <c r="C399" t="s">
        <v>149</v>
      </c>
      <c r="D399" s="6">
        <v>345.3</v>
      </c>
      <c r="E399" s="9">
        <v>1225.06</v>
      </c>
      <c r="F399" s="15">
        <f>IFERROR(PRD[[#This Row],[VALOR]]/PRD[[#This Row],[KGS]],"")</f>
        <v>3.5478134955111496</v>
      </c>
      <c r="H399" s="27"/>
    </row>
    <row r="400" spans="1:8" x14ac:dyDescent="0.25">
      <c r="A400" s="21">
        <v>3020823</v>
      </c>
      <c r="B400" s="1">
        <v>44958</v>
      </c>
      <c r="C400" t="s">
        <v>151</v>
      </c>
      <c r="D400" s="6">
        <v>1258.7</v>
      </c>
      <c r="E400" s="9">
        <v>4705.3500000000004</v>
      </c>
      <c r="F400" s="15">
        <f>IFERROR(PRD[[#This Row],[VALOR]]/PRD[[#This Row],[KGS]],"")</f>
        <v>3.7382616985778978</v>
      </c>
      <c r="H400" s="27"/>
    </row>
    <row r="401" spans="1:8" x14ac:dyDescent="0.25">
      <c r="A401" s="21">
        <v>3020824</v>
      </c>
      <c r="B401" s="1">
        <v>44958</v>
      </c>
      <c r="C401" t="s">
        <v>153</v>
      </c>
      <c r="D401" s="6">
        <v>1362.66</v>
      </c>
      <c r="E401" s="9">
        <v>4905.2700000000004</v>
      </c>
      <c r="F401" s="15">
        <f>IFERROR(PRD[[#This Row],[VALOR]]/PRD[[#This Row],[KGS]],"")</f>
        <v>3.5997754392144778</v>
      </c>
      <c r="H401" s="27"/>
    </row>
    <row r="402" spans="1:8" x14ac:dyDescent="0.25">
      <c r="A402" s="21">
        <v>3020924</v>
      </c>
      <c r="B402" s="1">
        <v>44958</v>
      </c>
      <c r="C402" t="s">
        <v>155</v>
      </c>
      <c r="D402" s="6">
        <v>1409.5</v>
      </c>
      <c r="E402" s="9">
        <v>5185.9799999999996</v>
      </c>
      <c r="F402" s="15">
        <f>IFERROR(PRD[[#This Row],[VALOR]]/PRD[[#This Row],[KGS]],"")</f>
        <v>3.6793047179851008</v>
      </c>
      <c r="H402" s="27"/>
    </row>
    <row r="403" spans="1:8" x14ac:dyDescent="0.25">
      <c r="A403" s="21">
        <v>3020925</v>
      </c>
      <c r="B403" s="1">
        <v>44958</v>
      </c>
      <c r="C403" t="s">
        <v>157</v>
      </c>
      <c r="D403" s="6">
        <v>1271.8699999999999</v>
      </c>
      <c r="E403" s="9">
        <v>4623.71</v>
      </c>
      <c r="F403" s="15">
        <f>IFERROR(PRD[[#This Row],[VALOR]]/PRD[[#This Row],[KGS]],"")</f>
        <v>3.635363677105365</v>
      </c>
      <c r="H403" s="27"/>
    </row>
    <row r="404" spans="1:8" x14ac:dyDescent="0.25">
      <c r="A404" s="21">
        <v>3021435</v>
      </c>
      <c r="B404" s="1">
        <v>44958</v>
      </c>
      <c r="C404" t="s">
        <v>159</v>
      </c>
      <c r="D404" s="6">
        <v>884.07</v>
      </c>
      <c r="E404" s="9">
        <v>2656.13</v>
      </c>
      <c r="F404" s="15">
        <f>IFERROR(PRD[[#This Row],[VALOR]]/PRD[[#This Row],[KGS]],"")</f>
        <v>3.0044340380286627</v>
      </c>
      <c r="H404" s="27"/>
    </row>
    <row r="405" spans="1:8" x14ac:dyDescent="0.25">
      <c r="A405" s="21">
        <v>3021537</v>
      </c>
      <c r="B405" s="1">
        <v>44958</v>
      </c>
      <c r="C405" t="s">
        <v>161</v>
      </c>
      <c r="D405" s="6">
        <v>37.5</v>
      </c>
      <c r="E405" s="9">
        <v>114.4</v>
      </c>
      <c r="F405" s="15">
        <f>IFERROR(PRD[[#This Row],[VALOR]]/PRD[[#This Row],[KGS]],"")</f>
        <v>3.0506666666666669</v>
      </c>
      <c r="H405" s="27"/>
    </row>
    <row r="406" spans="1:8" x14ac:dyDescent="0.25">
      <c r="A406" s="21">
        <v>3021638</v>
      </c>
      <c r="B406" s="1">
        <v>44958</v>
      </c>
      <c r="C406" t="s">
        <v>163</v>
      </c>
      <c r="D406" s="6">
        <v>65</v>
      </c>
      <c r="E406" s="9">
        <v>194.68</v>
      </c>
      <c r="F406" s="15">
        <f>IFERROR(PRD[[#This Row],[VALOR]]/PRD[[#This Row],[KGS]],"")</f>
        <v>2.995076923076923</v>
      </c>
      <c r="H406" s="27"/>
    </row>
    <row r="407" spans="1:8" x14ac:dyDescent="0.25">
      <c r="A407" s="21">
        <v>3021739</v>
      </c>
      <c r="B407" s="1">
        <v>44958</v>
      </c>
      <c r="C407" t="s">
        <v>165</v>
      </c>
      <c r="D407" s="6">
        <v>642.16</v>
      </c>
      <c r="E407" s="9">
        <v>1803.65</v>
      </c>
      <c r="F407" s="15">
        <f>IFERROR(PRD[[#This Row],[VALOR]]/PRD[[#This Row],[KGS]],"")</f>
        <v>2.8087236825713222</v>
      </c>
      <c r="H407" s="27"/>
    </row>
    <row r="408" spans="1:8" x14ac:dyDescent="0.25">
      <c r="A408" s="21">
        <v>3021760</v>
      </c>
      <c r="B408" s="1">
        <v>44958</v>
      </c>
      <c r="C408" t="s">
        <v>167</v>
      </c>
      <c r="D408" s="6">
        <v>2301.11</v>
      </c>
      <c r="E408" s="9">
        <v>5353</v>
      </c>
      <c r="F408" s="15">
        <f>IFERROR(PRD[[#This Row],[VALOR]]/PRD[[#This Row],[KGS]],"")</f>
        <v>2.3262686268800707</v>
      </c>
      <c r="H408" s="27"/>
    </row>
    <row r="409" spans="1:8" x14ac:dyDescent="0.25">
      <c r="A409" s="21">
        <v>3021811</v>
      </c>
      <c r="B409" s="1">
        <v>44958</v>
      </c>
      <c r="C409" t="s">
        <v>169</v>
      </c>
      <c r="D409" s="6">
        <v>1308</v>
      </c>
      <c r="E409" s="9">
        <v>2900.93</v>
      </c>
      <c r="F409" s="15">
        <f>IFERROR(PRD[[#This Row],[VALOR]]/PRD[[#This Row],[KGS]],"")</f>
        <v>2.2178363914373089</v>
      </c>
      <c r="H409" s="27"/>
    </row>
    <row r="410" spans="1:8" x14ac:dyDescent="0.25">
      <c r="A410" s="21">
        <v>3021812</v>
      </c>
      <c r="B410" s="1">
        <v>44958</v>
      </c>
      <c r="C410" t="s">
        <v>171</v>
      </c>
      <c r="D410" s="6">
        <v>1053.5</v>
      </c>
      <c r="E410" s="9">
        <v>2199.65</v>
      </c>
      <c r="F410" s="15">
        <f>IFERROR(PRD[[#This Row],[VALOR]]/PRD[[#This Row],[KGS]],"")</f>
        <v>2.0879449454200287</v>
      </c>
      <c r="H410" s="27"/>
    </row>
    <row r="411" spans="1:8" x14ac:dyDescent="0.25">
      <c r="A411" s="21">
        <v>3022100</v>
      </c>
      <c r="B411" s="1">
        <v>44958</v>
      </c>
      <c r="C411" t="s">
        <v>173</v>
      </c>
      <c r="D411" s="6">
        <v>75.599999999999994</v>
      </c>
      <c r="E411" s="9">
        <v>276</v>
      </c>
      <c r="F411" s="15">
        <f>IFERROR(PRD[[#This Row],[VALOR]]/PRD[[#This Row],[KGS]],"")</f>
        <v>3.6507936507936511</v>
      </c>
      <c r="H411" s="27"/>
    </row>
    <row r="412" spans="1:8" x14ac:dyDescent="0.25">
      <c r="A412" s="21">
        <v>3022208</v>
      </c>
      <c r="B412" s="1">
        <v>44958</v>
      </c>
      <c r="C412" t="s">
        <v>307</v>
      </c>
      <c r="D412" s="6">
        <v>98</v>
      </c>
      <c r="E412" s="9">
        <v>347</v>
      </c>
      <c r="F412" s="15">
        <f>IFERROR(PRD[[#This Row],[VALOR]]/PRD[[#This Row],[KGS]],"")</f>
        <v>3.5408163265306123</v>
      </c>
      <c r="H412" s="27"/>
    </row>
    <row r="413" spans="1:8" x14ac:dyDescent="0.25">
      <c r="A413" s="21">
        <v>3022311</v>
      </c>
      <c r="B413" s="1">
        <v>44958</v>
      </c>
      <c r="C413" t="s">
        <v>176</v>
      </c>
      <c r="D413" s="6">
        <v>2045</v>
      </c>
      <c r="E413" s="9">
        <v>4547</v>
      </c>
      <c r="F413" s="15">
        <f>IFERROR(PRD[[#This Row],[VALOR]]/PRD[[#This Row],[KGS]],"")</f>
        <v>2.2234718826405868</v>
      </c>
      <c r="H413" s="27"/>
    </row>
    <row r="414" spans="1:8" x14ac:dyDescent="0.25">
      <c r="A414" s="21">
        <v>3022312</v>
      </c>
      <c r="B414" s="1">
        <v>44958</v>
      </c>
      <c r="C414" t="s">
        <v>308</v>
      </c>
      <c r="D414" s="6">
        <v>60</v>
      </c>
      <c r="E414" s="9">
        <v>152</v>
      </c>
      <c r="F414" s="15">
        <f>IFERROR(PRD[[#This Row],[VALOR]]/PRD[[#This Row],[KGS]],"")</f>
        <v>2.5333333333333332</v>
      </c>
      <c r="H414" s="27"/>
    </row>
    <row r="415" spans="1:8" x14ac:dyDescent="0.25">
      <c r="A415" s="21">
        <v>3022411</v>
      </c>
      <c r="B415" s="1">
        <v>44958</v>
      </c>
      <c r="C415" t="s">
        <v>178</v>
      </c>
      <c r="D415" s="6">
        <v>17</v>
      </c>
      <c r="E415" s="9">
        <v>43.58</v>
      </c>
      <c r="F415" s="15">
        <f>IFERROR(PRD[[#This Row],[VALOR]]/PRD[[#This Row],[KGS]],"")</f>
        <v>2.5635294117647058</v>
      </c>
      <c r="H415" s="27"/>
    </row>
    <row r="416" spans="1:8" x14ac:dyDescent="0.25">
      <c r="A416" s="21">
        <v>3022511</v>
      </c>
      <c r="B416" s="1">
        <v>44958</v>
      </c>
      <c r="C416" t="s">
        <v>180</v>
      </c>
      <c r="D416" s="6">
        <v>12.8</v>
      </c>
      <c r="E416" s="9">
        <v>32.479999999999997</v>
      </c>
      <c r="F416" s="15">
        <f>IFERROR(PRD[[#This Row],[VALOR]]/PRD[[#This Row],[KGS]],"")</f>
        <v>2.5374999999999996</v>
      </c>
      <c r="H416" s="27"/>
    </row>
    <row r="417" spans="1:8" x14ac:dyDescent="0.25">
      <c r="A417" s="21">
        <v>3022601</v>
      </c>
      <c r="B417" s="1">
        <v>44958</v>
      </c>
      <c r="C417" t="s">
        <v>182</v>
      </c>
      <c r="D417" s="6">
        <v>239</v>
      </c>
      <c r="E417" s="9">
        <v>1085</v>
      </c>
      <c r="F417" s="15">
        <f>IFERROR(PRD[[#This Row],[VALOR]]/PRD[[#This Row],[KGS]],"")</f>
        <v>4.539748953974895</v>
      </c>
      <c r="H417" s="27"/>
    </row>
    <row r="418" spans="1:8" x14ac:dyDescent="0.25">
      <c r="A418" s="21">
        <v>3022703</v>
      </c>
      <c r="B418" s="1">
        <v>44958</v>
      </c>
      <c r="C418" t="s">
        <v>309</v>
      </c>
      <c r="D418" s="6">
        <v>636</v>
      </c>
      <c r="E418" s="9">
        <v>1469</v>
      </c>
      <c r="F418" s="15">
        <f>IFERROR(PRD[[#This Row],[VALOR]]/PRD[[#This Row],[KGS]],"")</f>
        <v>2.3097484276729561</v>
      </c>
      <c r="H418" s="27"/>
    </row>
    <row r="419" spans="1:8" x14ac:dyDescent="0.25">
      <c r="A419" s="21">
        <v>3022805</v>
      </c>
      <c r="B419" s="1">
        <v>44958</v>
      </c>
      <c r="C419" t="s">
        <v>186</v>
      </c>
      <c r="D419" s="6">
        <v>1220</v>
      </c>
      <c r="E419" s="9">
        <v>2395</v>
      </c>
      <c r="F419" s="15">
        <f>IFERROR(PRD[[#This Row],[VALOR]]/PRD[[#This Row],[KGS]],"")</f>
        <v>1.9631147540983607</v>
      </c>
      <c r="H419" s="27"/>
    </row>
    <row r="420" spans="1:8" x14ac:dyDescent="0.25">
      <c r="A420" s="21">
        <v>3022906</v>
      </c>
      <c r="B420" s="1">
        <v>44958</v>
      </c>
      <c r="C420" t="s">
        <v>188</v>
      </c>
      <c r="D420" s="6">
        <v>1800</v>
      </c>
      <c r="E420" s="9">
        <v>3512</v>
      </c>
      <c r="F420" s="15">
        <f>IFERROR(PRD[[#This Row],[VALOR]]/PRD[[#This Row],[KGS]],"")</f>
        <v>1.951111111111111</v>
      </c>
      <c r="H420" s="27"/>
    </row>
    <row r="421" spans="1:8" x14ac:dyDescent="0.25">
      <c r="A421" s="21">
        <v>3023007</v>
      </c>
      <c r="B421" s="1">
        <v>44958</v>
      </c>
      <c r="C421" t="s">
        <v>190</v>
      </c>
      <c r="D421" s="6">
        <v>580</v>
      </c>
      <c r="E421" s="9">
        <v>1135</v>
      </c>
      <c r="F421" s="15">
        <f>IFERROR(PRD[[#This Row],[VALOR]]/PRD[[#This Row],[KGS]],"")</f>
        <v>1.9568965517241379</v>
      </c>
      <c r="H421" s="27"/>
    </row>
    <row r="422" spans="1:8" x14ac:dyDescent="0.25">
      <c r="A422" s="21">
        <v>3024001</v>
      </c>
      <c r="B422" s="1">
        <v>44958</v>
      </c>
      <c r="C422" t="s">
        <v>192</v>
      </c>
      <c r="D422" s="6">
        <v>1182</v>
      </c>
      <c r="E422" s="9">
        <v>4541</v>
      </c>
      <c r="F422" s="15">
        <f>IFERROR(PRD[[#This Row],[VALOR]]/PRD[[#This Row],[KGS]],"")</f>
        <v>3.8417935702199664</v>
      </c>
      <c r="H422" s="27"/>
    </row>
    <row r="423" spans="1:8" x14ac:dyDescent="0.25">
      <c r="A423" s="21">
        <v>3024003</v>
      </c>
      <c r="B423" s="1">
        <v>44958</v>
      </c>
      <c r="C423" t="s">
        <v>196</v>
      </c>
      <c r="D423" s="6">
        <v>327.39999999999998</v>
      </c>
      <c r="E423" s="9">
        <v>850.56</v>
      </c>
      <c r="F423" s="15">
        <f>IFERROR(PRD[[#This Row],[VALOR]]/PRD[[#This Row],[KGS]],"")</f>
        <v>2.597923029932804</v>
      </c>
      <c r="H423" s="27"/>
    </row>
    <row r="424" spans="1:8" x14ac:dyDescent="0.25">
      <c r="A424" s="21">
        <v>3024004</v>
      </c>
      <c r="B424" s="1">
        <v>44958</v>
      </c>
      <c r="C424" t="s">
        <v>198</v>
      </c>
      <c r="D424" s="6">
        <v>1481</v>
      </c>
      <c r="E424" s="9">
        <v>1075.3399999999999</v>
      </c>
      <c r="F424" s="15">
        <f>IFERROR(PRD[[#This Row],[VALOR]]/PRD[[#This Row],[KGS]],"")</f>
        <v>0.72609047940580684</v>
      </c>
      <c r="H424" s="27"/>
    </row>
    <row r="425" spans="1:8" x14ac:dyDescent="0.25">
      <c r="A425" s="21">
        <v>4030100</v>
      </c>
      <c r="B425" s="1">
        <v>44958</v>
      </c>
      <c r="C425" t="s">
        <v>200</v>
      </c>
      <c r="D425" s="6">
        <v>416.1</v>
      </c>
      <c r="E425" s="9">
        <v>2488.59</v>
      </c>
      <c r="F425" s="15">
        <f>IFERROR(PRD[[#This Row],[VALOR]]/PRD[[#This Row],[KGS]],"")</f>
        <v>5.980749819754867</v>
      </c>
      <c r="H425" s="27"/>
    </row>
    <row r="426" spans="1:8" x14ac:dyDescent="0.25">
      <c r="A426" s="21">
        <v>4030211</v>
      </c>
      <c r="B426" s="1">
        <v>44958</v>
      </c>
      <c r="C426" t="s">
        <v>202</v>
      </c>
      <c r="D426" s="6">
        <v>863.33</v>
      </c>
      <c r="E426" s="9">
        <v>5157.55</v>
      </c>
      <c r="F426" s="15">
        <f>IFERROR(PRD[[#This Row],[VALOR]]/PRD[[#This Row],[KGS]],"")</f>
        <v>5.9740192047073544</v>
      </c>
      <c r="H426" s="27"/>
    </row>
    <row r="427" spans="1:8" x14ac:dyDescent="0.25">
      <c r="A427" s="21">
        <v>4030300</v>
      </c>
      <c r="B427" s="1">
        <v>44958</v>
      </c>
      <c r="C427" t="s">
        <v>310</v>
      </c>
      <c r="D427" s="6">
        <v>6.7</v>
      </c>
      <c r="E427" s="9">
        <v>28.14</v>
      </c>
      <c r="F427" s="15">
        <f>IFERROR(PRD[[#This Row],[VALOR]]/PRD[[#This Row],[KGS]],"")</f>
        <v>4.2</v>
      </c>
      <c r="H427" s="27"/>
    </row>
    <row r="428" spans="1:8" x14ac:dyDescent="0.25">
      <c r="A428" s="21">
        <v>4030311</v>
      </c>
      <c r="B428" s="1">
        <v>44958</v>
      </c>
      <c r="C428" t="s">
        <v>311</v>
      </c>
      <c r="D428" s="6">
        <v>344.65</v>
      </c>
      <c r="E428" s="9">
        <v>2298</v>
      </c>
      <c r="F428" s="15">
        <f>IFERROR(PRD[[#This Row],[VALOR]]/PRD[[#This Row],[KGS]],"")</f>
        <v>6.6676338314231831</v>
      </c>
      <c r="H428" s="27"/>
    </row>
    <row r="429" spans="1:8" x14ac:dyDescent="0.25">
      <c r="A429" s="21">
        <v>4030400</v>
      </c>
      <c r="B429" s="1">
        <v>44958</v>
      </c>
      <c r="C429" t="s">
        <v>312</v>
      </c>
      <c r="D429" s="6">
        <v>114.43</v>
      </c>
      <c r="E429" s="9">
        <v>629.41</v>
      </c>
      <c r="F429" s="15">
        <f>IFERROR(PRD[[#This Row],[VALOR]]/PRD[[#This Row],[KGS]],"")</f>
        <v>5.5003932535174336</v>
      </c>
      <c r="H429" s="27"/>
    </row>
    <row r="430" spans="1:8" x14ac:dyDescent="0.25">
      <c r="A430" s="21">
        <v>4030511</v>
      </c>
      <c r="B430" s="1">
        <v>44958</v>
      </c>
      <c r="C430" t="s">
        <v>208</v>
      </c>
      <c r="D430" s="6">
        <v>1135.9000000000001</v>
      </c>
      <c r="E430" s="9">
        <v>5444.47</v>
      </c>
      <c r="F430" s="15">
        <f>IFERROR(PRD[[#This Row],[VALOR]]/PRD[[#This Row],[KGS]],"")</f>
        <v>4.7930891803855973</v>
      </c>
      <c r="H430" s="27"/>
    </row>
    <row r="431" spans="1:8" x14ac:dyDescent="0.25">
      <c r="A431" s="21">
        <v>4030600</v>
      </c>
      <c r="B431" s="1">
        <v>44958</v>
      </c>
      <c r="C431" t="s">
        <v>212</v>
      </c>
      <c r="D431" s="6">
        <v>2534.4</v>
      </c>
      <c r="E431" s="9">
        <v>7704.71</v>
      </c>
      <c r="F431" s="15">
        <f>IFERROR(PRD[[#This Row],[VALOR]]/PRD[[#This Row],[KGS]],"")</f>
        <v>3.0400528724747473</v>
      </c>
      <c r="H431" s="27"/>
    </row>
    <row r="432" spans="1:8" x14ac:dyDescent="0.25">
      <c r="A432" s="21">
        <v>4030711</v>
      </c>
      <c r="B432" s="1">
        <v>44958</v>
      </c>
      <c r="C432" t="s">
        <v>214</v>
      </c>
      <c r="D432" s="6">
        <v>3411</v>
      </c>
      <c r="E432" s="9">
        <v>11199</v>
      </c>
      <c r="F432" s="15">
        <f>IFERROR(PRD[[#This Row],[VALOR]]/PRD[[#This Row],[KGS]],"")</f>
        <v>3.2832014072119615</v>
      </c>
      <c r="H432" s="27"/>
    </row>
    <row r="433" spans="1:8" x14ac:dyDescent="0.25">
      <c r="A433" s="21">
        <v>4030811</v>
      </c>
      <c r="B433" s="1">
        <v>44958</v>
      </c>
      <c r="C433" t="s">
        <v>216</v>
      </c>
      <c r="D433" s="6">
        <v>1752</v>
      </c>
      <c r="E433" s="9">
        <v>5089</v>
      </c>
      <c r="F433" s="15">
        <f>IFERROR(PRD[[#This Row],[VALOR]]/PRD[[#This Row],[KGS]],"")</f>
        <v>2.9046803652968038</v>
      </c>
      <c r="H433" s="27"/>
    </row>
    <row r="434" spans="1:8" x14ac:dyDescent="0.25">
      <c r="A434" s="21">
        <v>4030813</v>
      </c>
      <c r="B434" s="1">
        <v>44958</v>
      </c>
      <c r="C434" t="s">
        <v>218</v>
      </c>
      <c r="D434" s="6">
        <v>1522.01</v>
      </c>
      <c r="E434" s="9">
        <v>4338.87</v>
      </c>
      <c r="F434" s="15">
        <f>IFERROR(PRD[[#This Row],[VALOR]]/PRD[[#This Row],[KGS]],"")</f>
        <v>2.8507499950723059</v>
      </c>
      <c r="H434" s="27"/>
    </row>
    <row r="435" spans="1:8" x14ac:dyDescent="0.25">
      <c r="A435" s="21">
        <v>4030900</v>
      </c>
      <c r="B435" s="1">
        <v>44958</v>
      </c>
      <c r="C435" t="s">
        <v>220</v>
      </c>
      <c r="D435" s="6">
        <v>5885.5</v>
      </c>
      <c r="E435" s="9">
        <v>16848</v>
      </c>
      <c r="F435" s="15">
        <f>IFERROR(PRD[[#This Row],[VALOR]]/PRD[[#This Row],[KGS]],"")</f>
        <v>2.8626284937558406</v>
      </c>
      <c r="H435" s="27"/>
    </row>
    <row r="436" spans="1:8" x14ac:dyDescent="0.25">
      <c r="A436" s="21">
        <v>4030910</v>
      </c>
      <c r="B436" s="1">
        <v>44958</v>
      </c>
      <c r="C436" t="s">
        <v>222</v>
      </c>
      <c r="D436" s="6">
        <v>84.72</v>
      </c>
      <c r="E436" s="9">
        <v>264.79000000000002</v>
      </c>
      <c r="F436" s="15">
        <f>IFERROR(PRD[[#This Row],[VALOR]]/PRD[[#This Row],[KGS]],"")</f>
        <v>3.1254721435316339</v>
      </c>
      <c r="H436" s="27"/>
    </row>
    <row r="437" spans="1:8" x14ac:dyDescent="0.25">
      <c r="A437" s="21">
        <v>4031012</v>
      </c>
      <c r="B437" s="1">
        <v>44958</v>
      </c>
      <c r="C437" t="s">
        <v>224</v>
      </c>
      <c r="D437" s="6">
        <v>1270.31</v>
      </c>
      <c r="E437" s="9">
        <v>3665</v>
      </c>
      <c r="F437" s="15">
        <f>IFERROR(PRD[[#This Row],[VALOR]]/PRD[[#This Row],[KGS]],"")</f>
        <v>2.8851225291464289</v>
      </c>
      <c r="H437" s="27"/>
    </row>
    <row r="438" spans="1:8" x14ac:dyDescent="0.25">
      <c r="A438" s="21">
        <v>4031017</v>
      </c>
      <c r="B438" s="1">
        <v>44958</v>
      </c>
      <c r="C438" t="s">
        <v>226</v>
      </c>
      <c r="D438" s="6">
        <v>22395</v>
      </c>
      <c r="E438" s="9">
        <v>13066.9</v>
      </c>
      <c r="F438" s="15">
        <f>IFERROR(PRD[[#This Row],[VALOR]]/PRD[[#This Row],[KGS]],"")</f>
        <v>0.58347398972985043</v>
      </c>
      <c r="H438" s="27"/>
    </row>
    <row r="439" spans="1:8" x14ac:dyDescent="0.25">
      <c r="A439" s="21">
        <v>4031102</v>
      </c>
      <c r="B439" s="1">
        <v>44958</v>
      </c>
      <c r="C439" t="s">
        <v>228</v>
      </c>
      <c r="D439" s="6">
        <v>8355</v>
      </c>
      <c r="E439" s="9">
        <v>22514</v>
      </c>
      <c r="F439" s="15">
        <f>IFERROR(PRD[[#This Row],[VALOR]]/PRD[[#This Row],[KGS]],"")</f>
        <v>2.6946738479952126</v>
      </c>
      <c r="H439" s="27"/>
    </row>
    <row r="440" spans="1:8" x14ac:dyDescent="0.25">
      <c r="A440" s="21">
        <v>4031200</v>
      </c>
      <c r="B440" s="1">
        <v>44958</v>
      </c>
      <c r="C440" t="s">
        <v>230</v>
      </c>
      <c r="D440" s="6">
        <v>1291.8</v>
      </c>
      <c r="E440" s="9">
        <v>3538.94</v>
      </c>
      <c r="F440" s="15">
        <f>IFERROR(PRD[[#This Row],[VALOR]]/PRD[[#This Row],[KGS]],"")</f>
        <v>2.7395417247251896</v>
      </c>
      <c r="H440" s="27"/>
    </row>
    <row r="441" spans="1:8" x14ac:dyDescent="0.25">
      <c r="A441" s="21">
        <v>4031304</v>
      </c>
      <c r="B441" s="1">
        <v>44958</v>
      </c>
      <c r="C441" t="s">
        <v>232</v>
      </c>
      <c r="D441" s="6">
        <v>1877.73</v>
      </c>
      <c r="E441" s="9">
        <v>4958.83</v>
      </c>
      <c r="F441" s="15">
        <f>IFERROR(PRD[[#This Row],[VALOR]]/PRD[[#This Row],[KGS]],"")</f>
        <v>2.6408642350071627</v>
      </c>
      <c r="H441" s="27"/>
    </row>
    <row r="442" spans="1:8" x14ac:dyDescent="0.25">
      <c r="A442" s="21">
        <v>4031411</v>
      </c>
      <c r="B442" s="1">
        <v>44958</v>
      </c>
      <c r="C442" t="s">
        <v>234</v>
      </c>
      <c r="D442" s="6">
        <v>39.6</v>
      </c>
      <c r="E442" s="9">
        <v>125.11</v>
      </c>
      <c r="F442" s="15">
        <f>IFERROR(PRD[[#This Row],[VALOR]]/PRD[[#This Row],[KGS]],"")</f>
        <v>3.1593434343434343</v>
      </c>
      <c r="H442" s="27"/>
    </row>
    <row r="443" spans="1:8" x14ac:dyDescent="0.25">
      <c r="A443" s="21">
        <v>4031500</v>
      </c>
      <c r="B443" s="1">
        <v>44958</v>
      </c>
      <c r="C443" t="s">
        <v>236</v>
      </c>
      <c r="D443" s="6">
        <v>6970</v>
      </c>
      <c r="E443" s="9">
        <v>17707</v>
      </c>
      <c r="F443" s="15">
        <f>IFERROR(PRD[[#This Row],[VALOR]]/PRD[[#This Row],[KGS]],"")</f>
        <v>2.5404591104734577</v>
      </c>
      <c r="H443" s="27"/>
    </row>
    <row r="444" spans="1:8" x14ac:dyDescent="0.25">
      <c r="A444" s="21">
        <v>4031604</v>
      </c>
      <c r="B444" s="1">
        <v>44958</v>
      </c>
      <c r="C444" t="s">
        <v>238</v>
      </c>
      <c r="D444" s="6">
        <v>6663</v>
      </c>
      <c r="E444" s="9">
        <v>16451</v>
      </c>
      <c r="F444" s="15">
        <f>IFERROR(PRD[[#This Row],[VALOR]]/PRD[[#This Row],[KGS]],"")</f>
        <v>2.4690079543749062</v>
      </c>
      <c r="H444" s="27"/>
    </row>
    <row r="445" spans="1:8" x14ac:dyDescent="0.25">
      <c r="A445" s="21">
        <v>4031605</v>
      </c>
      <c r="B445" s="1">
        <v>44958</v>
      </c>
      <c r="C445" t="s">
        <v>240</v>
      </c>
      <c r="D445" s="6">
        <v>111.79</v>
      </c>
      <c r="E445" s="9">
        <v>329.45</v>
      </c>
      <c r="F445" s="15">
        <f>IFERROR(PRD[[#This Row],[VALOR]]/PRD[[#This Row],[KGS]],"")</f>
        <v>2.9470435638250287</v>
      </c>
      <c r="H445" s="27"/>
    </row>
    <row r="446" spans="1:8" x14ac:dyDescent="0.25">
      <c r="A446" s="21">
        <v>4031700</v>
      </c>
      <c r="B446" s="1">
        <v>44958</v>
      </c>
      <c r="C446" t="s">
        <v>242</v>
      </c>
      <c r="D446" s="6">
        <v>771.1</v>
      </c>
      <c r="E446" s="9">
        <v>2122.5700000000002</v>
      </c>
      <c r="F446" s="15">
        <f>IFERROR(PRD[[#This Row],[VALOR]]/PRD[[#This Row],[KGS]],"")</f>
        <v>2.7526520555051226</v>
      </c>
      <c r="H446" s="27"/>
    </row>
    <row r="447" spans="1:8" x14ac:dyDescent="0.25">
      <c r="A447" s="21">
        <v>4031812</v>
      </c>
      <c r="B447" s="1">
        <v>44958</v>
      </c>
      <c r="C447" t="s">
        <v>244</v>
      </c>
      <c r="D447" s="6">
        <v>430.39</v>
      </c>
      <c r="E447" s="9">
        <v>1263</v>
      </c>
      <c r="F447" s="15">
        <f>IFERROR(PRD[[#This Row],[VALOR]]/PRD[[#This Row],[KGS]],"")</f>
        <v>2.93454773577453</v>
      </c>
      <c r="H447" s="27"/>
    </row>
    <row r="448" spans="1:8" x14ac:dyDescent="0.25">
      <c r="A448" s="21">
        <v>4031813</v>
      </c>
      <c r="B448" s="1">
        <v>44958</v>
      </c>
      <c r="C448" t="s">
        <v>313</v>
      </c>
      <c r="D448" s="6">
        <v>350</v>
      </c>
      <c r="E448" s="9">
        <v>217</v>
      </c>
      <c r="F448" s="15">
        <f>IFERROR(PRD[[#This Row],[VALOR]]/PRD[[#This Row],[KGS]],"")</f>
        <v>0.62</v>
      </c>
      <c r="H448" s="27"/>
    </row>
    <row r="449" spans="1:8" x14ac:dyDescent="0.25">
      <c r="A449" s="21">
        <v>4031904</v>
      </c>
      <c r="B449" s="1">
        <v>44958</v>
      </c>
      <c r="C449" t="s">
        <v>246</v>
      </c>
      <c r="D449" s="6">
        <v>1062</v>
      </c>
      <c r="E449" s="9">
        <v>2823</v>
      </c>
      <c r="F449" s="15">
        <f>IFERROR(PRD[[#This Row],[VALOR]]/PRD[[#This Row],[KGS]],"")</f>
        <v>2.6581920903954801</v>
      </c>
      <c r="H449" s="27"/>
    </row>
    <row r="450" spans="1:8" x14ac:dyDescent="0.25">
      <c r="A450" s="21">
        <v>4032111</v>
      </c>
      <c r="B450" s="1">
        <v>44958</v>
      </c>
      <c r="C450" t="s">
        <v>314</v>
      </c>
      <c r="D450" s="6">
        <v>72</v>
      </c>
      <c r="E450" s="9">
        <v>357</v>
      </c>
      <c r="F450" s="15">
        <f>IFERROR(PRD[[#This Row],[VALOR]]/PRD[[#This Row],[KGS]],"")</f>
        <v>4.958333333333333</v>
      </c>
      <c r="H450" s="27"/>
    </row>
    <row r="451" spans="1:8" x14ac:dyDescent="0.25">
      <c r="A451" s="21">
        <v>4032204</v>
      </c>
      <c r="B451" s="1">
        <v>44958</v>
      </c>
      <c r="C451" t="s">
        <v>315</v>
      </c>
      <c r="D451" s="6">
        <v>209.15</v>
      </c>
      <c r="E451" s="9">
        <v>1061.6099999999999</v>
      </c>
      <c r="F451" s="15">
        <f>IFERROR(PRD[[#This Row],[VALOR]]/PRD[[#This Row],[KGS]],"")</f>
        <v>5.0758307434855361</v>
      </c>
      <c r="H451" s="27"/>
    </row>
    <row r="452" spans="1:8" x14ac:dyDescent="0.25">
      <c r="A452" s="21">
        <v>4032312</v>
      </c>
      <c r="B452" s="1">
        <v>44958</v>
      </c>
      <c r="C452" t="s">
        <v>252</v>
      </c>
      <c r="D452" s="6">
        <v>467.7</v>
      </c>
      <c r="E452" s="9">
        <v>1901</v>
      </c>
      <c r="F452" s="15">
        <f>IFERROR(PRD[[#This Row],[VALOR]]/PRD[[#This Row],[KGS]],"")</f>
        <v>4.0645713063929874</v>
      </c>
      <c r="H452" s="27"/>
    </row>
    <row r="453" spans="1:8" x14ac:dyDescent="0.25">
      <c r="A453" s="21">
        <v>4032404</v>
      </c>
      <c r="B453" s="1">
        <v>44958</v>
      </c>
      <c r="C453" t="s">
        <v>254</v>
      </c>
      <c r="D453" s="6">
        <v>106.8</v>
      </c>
      <c r="E453" s="9">
        <v>443.54</v>
      </c>
      <c r="F453" s="15">
        <f>IFERROR(PRD[[#This Row],[VALOR]]/PRD[[#This Row],[KGS]],"")</f>
        <v>4.1529962546816481</v>
      </c>
      <c r="H453" s="27"/>
    </row>
    <row r="454" spans="1:8" x14ac:dyDescent="0.25">
      <c r="A454" s="21">
        <v>4032500</v>
      </c>
      <c r="B454" s="1">
        <v>44958</v>
      </c>
      <c r="C454" t="s">
        <v>256</v>
      </c>
      <c r="D454" s="6">
        <v>538.4</v>
      </c>
      <c r="E454" s="9">
        <v>1321.3</v>
      </c>
      <c r="F454" s="15">
        <f>IFERROR(PRD[[#This Row],[VALOR]]/PRD[[#This Row],[KGS]],"")</f>
        <v>2.4541233283803865</v>
      </c>
      <c r="H454" s="27"/>
    </row>
    <row r="455" spans="1:8" x14ac:dyDescent="0.25">
      <c r="A455" s="21">
        <v>4032611</v>
      </c>
      <c r="B455" s="1">
        <v>44958</v>
      </c>
      <c r="C455" t="s">
        <v>258</v>
      </c>
      <c r="D455" s="6">
        <v>100.61</v>
      </c>
      <c r="E455" s="9">
        <v>296.52</v>
      </c>
      <c r="F455" s="15">
        <f>IFERROR(PRD[[#This Row],[VALOR]]/PRD[[#This Row],[KGS]],"")</f>
        <v>2.9472219461286153</v>
      </c>
      <c r="H455" s="27"/>
    </row>
    <row r="456" spans="1:8" x14ac:dyDescent="0.25">
      <c r="A456" s="21">
        <v>4032704</v>
      </c>
      <c r="B456" s="1">
        <v>44958</v>
      </c>
      <c r="C456" t="s">
        <v>260</v>
      </c>
      <c r="D456" s="6">
        <v>318</v>
      </c>
      <c r="E456" s="9">
        <v>870.87</v>
      </c>
      <c r="F456" s="15">
        <f>IFERROR(PRD[[#This Row],[VALOR]]/PRD[[#This Row],[KGS]],"")</f>
        <v>2.7385849056603773</v>
      </c>
      <c r="H456" s="27"/>
    </row>
    <row r="457" spans="1:8" x14ac:dyDescent="0.25">
      <c r="A457" s="21">
        <v>4032800</v>
      </c>
      <c r="B457" s="1">
        <v>44958</v>
      </c>
      <c r="C457" t="s">
        <v>262</v>
      </c>
      <c r="D457" s="6">
        <v>470.45</v>
      </c>
      <c r="E457" s="9">
        <v>2465.5500000000002</v>
      </c>
      <c r="F457" s="15">
        <f>IFERROR(PRD[[#This Row],[VALOR]]/PRD[[#This Row],[KGS]],"")</f>
        <v>5.2408332447656507</v>
      </c>
      <c r="H457" s="27"/>
    </row>
    <row r="458" spans="1:8" x14ac:dyDescent="0.25">
      <c r="A458" s="21">
        <v>4032902</v>
      </c>
      <c r="B458" s="1">
        <v>44958</v>
      </c>
      <c r="C458" t="s">
        <v>264</v>
      </c>
      <c r="D458" s="6">
        <v>780</v>
      </c>
      <c r="E458" s="9">
        <v>3975</v>
      </c>
      <c r="F458" s="15">
        <f>IFERROR(PRD[[#This Row],[VALOR]]/PRD[[#This Row],[KGS]],"")</f>
        <v>5.0961538461538458</v>
      </c>
      <c r="H458" s="27"/>
    </row>
    <row r="459" spans="1:8" x14ac:dyDescent="0.25">
      <c r="A459" s="21">
        <v>4033011</v>
      </c>
      <c r="B459" s="1">
        <v>44958</v>
      </c>
      <c r="C459" t="s">
        <v>266</v>
      </c>
      <c r="D459" s="6">
        <v>62.4</v>
      </c>
      <c r="E459" s="9">
        <v>314.20999999999998</v>
      </c>
      <c r="F459" s="15">
        <f>IFERROR(PRD[[#This Row],[VALOR]]/PRD[[#This Row],[KGS]],"")</f>
        <v>5.0354166666666664</v>
      </c>
      <c r="H459" s="27"/>
    </row>
    <row r="460" spans="1:8" x14ac:dyDescent="0.25">
      <c r="A460" s="21">
        <v>4033111</v>
      </c>
      <c r="B460" s="1">
        <v>44958</v>
      </c>
      <c r="C460" t="s">
        <v>268</v>
      </c>
      <c r="D460" s="6">
        <v>64.3</v>
      </c>
      <c r="E460" s="9">
        <v>300.39</v>
      </c>
      <c r="F460" s="15">
        <f>IFERROR(PRD[[#This Row],[VALOR]]/PRD[[#This Row],[KGS]],"")</f>
        <v>4.671695178849145</v>
      </c>
      <c r="H460" s="27"/>
    </row>
    <row r="461" spans="1:8" x14ac:dyDescent="0.25">
      <c r="A461" s="21">
        <v>4033211</v>
      </c>
      <c r="B461" s="1">
        <v>44958</v>
      </c>
      <c r="C461" t="s">
        <v>270</v>
      </c>
      <c r="D461" s="6">
        <v>84.12</v>
      </c>
      <c r="E461" s="9">
        <v>375.44</v>
      </c>
      <c r="F461" s="15">
        <f>IFERROR(PRD[[#This Row],[VALOR]]/PRD[[#This Row],[KGS]],"")</f>
        <v>4.4631478839752727</v>
      </c>
      <c r="H461" s="27"/>
    </row>
    <row r="462" spans="1:8" x14ac:dyDescent="0.25">
      <c r="A462" s="21">
        <v>4033311</v>
      </c>
      <c r="B462" s="1">
        <v>44958</v>
      </c>
      <c r="C462" t="s">
        <v>272</v>
      </c>
      <c r="D462" s="6">
        <v>5.7</v>
      </c>
      <c r="E462" s="9">
        <v>32.08</v>
      </c>
      <c r="F462" s="15">
        <f>IFERROR(PRD[[#This Row],[VALOR]]/PRD[[#This Row],[KGS]],"")</f>
        <v>5.6280701754385962</v>
      </c>
      <c r="H462" s="27"/>
    </row>
    <row r="463" spans="1:8" x14ac:dyDescent="0.25">
      <c r="A463" s="21">
        <v>4033400</v>
      </c>
      <c r="B463" s="1">
        <v>44958</v>
      </c>
      <c r="C463" t="s">
        <v>274</v>
      </c>
      <c r="D463" s="6">
        <v>2101</v>
      </c>
      <c r="E463" s="9">
        <v>6320</v>
      </c>
      <c r="F463" s="15">
        <f>IFERROR(PRD[[#This Row],[VALOR]]/PRD[[#This Row],[KGS]],"")</f>
        <v>3.0080913850547359</v>
      </c>
      <c r="H463" s="27"/>
    </row>
    <row r="464" spans="1:8" x14ac:dyDescent="0.25">
      <c r="A464" s="21">
        <v>4033511</v>
      </c>
      <c r="B464" s="1">
        <v>44958</v>
      </c>
      <c r="C464" t="s">
        <v>276</v>
      </c>
      <c r="D464" s="6">
        <v>2910</v>
      </c>
      <c r="E464" s="9">
        <v>9127</v>
      </c>
      <c r="F464" s="15">
        <f>IFERROR(PRD[[#This Row],[VALOR]]/PRD[[#This Row],[KGS]],"")</f>
        <v>3.1364261168384879</v>
      </c>
      <c r="H464" s="27"/>
    </row>
    <row r="465" spans="1:8" x14ac:dyDescent="0.25">
      <c r="A465" s="21">
        <v>4033900</v>
      </c>
      <c r="B465" s="1">
        <v>44958</v>
      </c>
      <c r="C465" t="s">
        <v>278</v>
      </c>
      <c r="D465" s="6">
        <v>166</v>
      </c>
      <c r="E465" s="9">
        <v>800</v>
      </c>
      <c r="F465" s="15">
        <f>IFERROR(PRD[[#This Row],[VALOR]]/PRD[[#This Row],[KGS]],"")</f>
        <v>4.8192771084337354</v>
      </c>
      <c r="H465" s="27"/>
    </row>
    <row r="466" spans="1:8" x14ac:dyDescent="0.25">
      <c r="A466" s="21">
        <v>4034011</v>
      </c>
      <c r="B466" s="1">
        <v>44958</v>
      </c>
      <c r="C466" t="s">
        <v>280</v>
      </c>
      <c r="D466" s="6">
        <v>1096</v>
      </c>
      <c r="E466" s="9">
        <v>5362</v>
      </c>
      <c r="F466" s="15">
        <f>IFERROR(PRD[[#This Row],[VALOR]]/PRD[[#This Row],[KGS]],"")</f>
        <v>4.8923357664233578</v>
      </c>
      <c r="H466" s="27"/>
    </row>
    <row r="467" spans="1:8" x14ac:dyDescent="0.25">
      <c r="A467" s="21">
        <v>4034211</v>
      </c>
      <c r="B467" s="1">
        <v>44958</v>
      </c>
      <c r="C467" t="s">
        <v>282</v>
      </c>
      <c r="D467" s="6">
        <v>112.69</v>
      </c>
      <c r="E467" s="9">
        <v>469</v>
      </c>
      <c r="F467" s="15">
        <f>IFERROR(PRD[[#This Row],[VALOR]]/PRD[[#This Row],[KGS]],"")</f>
        <v>4.1618599698287335</v>
      </c>
      <c r="H467" s="27"/>
    </row>
    <row r="468" spans="1:8" x14ac:dyDescent="0.25">
      <c r="A468" s="21">
        <v>4034400</v>
      </c>
      <c r="B468" s="1">
        <v>44958</v>
      </c>
      <c r="C468" t="s">
        <v>284</v>
      </c>
      <c r="D468" s="6">
        <v>385.1</v>
      </c>
      <c r="E468" s="9">
        <v>1051.04</v>
      </c>
      <c r="F468" s="15">
        <f>IFERROR(PRD[[#This Row],[VALOR]]/PRD[[#This Row],[KGS]],"")</f>
        <v>2.7292651259413137</v>
      </c>
      <c r="H468" s="27"/>
    </row>
    <row r="469" spans="1:8" x14ac:dyDescent="0.25">
      <c r="A469" s="21">
        <v>4034502</v>
      </c>
      <c r="B469" s="1">
        <v>44958</v>
      </c>
      <c r="C469" t="s">
        <v>286</v>
      </c>
      <c r="D469" s="6">
        <v>516</v>
      </c>
      <c r="E469" s="9">
        <v>1389</v>
      </c>
      <c r="F469" s="15">
        <f>IFERROR(PRD[[#This Row],[VALOR]]/PRD[[#This Row],[KGS]],"")</f>
        <v>2.691860465116279</v>
      </c>
      <c r="H469" s="27"/>
    </row>
    <row r="470" spans="1:8" x14ac:dyDescent="0.25">
      <c r="A470" s="21">
        <v>8040016</v>
      </c>
      <c r="B470" s="1">
        <v>44958</v>
      </c>
      <c r="C470" t="s">
        <v>353</v>
      </c>
      <c r="D470" s="6">
        <v>1320</v>
      </c>
      <c r="E470" s="9">
        <v>3762</v>
      </c>
      <c r="F470" s="15">
        <f>IFERROR(PRD[[#This Row],[VALOR]]/PRD[[#This Row],[KGS]],"")</f>
        <v>2.85</v>
      </c>
      <c r="H470" s="27"/>
    </row>
    <row r="471" spans="1:8" x14ac:dyDescent="0.25">
      <c r="A471" s="21">
        <v>8040017</v>
      </c>
      <c r="B471" s="1">
        <v>44958</v>
      </c>
      <c r="C471" t="s">
        <v>354</v>
      </c>
      <c r="D471" s="6">
        <v>4888</v>
      </c>
      <c r="E471" s="9">
        <v>37051.040000000001</v>
      </c>
      <c r="F471" s="15">
        <f>IFERROR(PRD[[#This Row],[VALOR]]/PRD[[#This Row],[KGS]],"")</f>
        <v>7.58</v>
      </c>
      <c r="H471" s="27"/>
    </row>
    <row r="472" spans="1:8" x14ac:dyDescent="0.25">
      <c r="A472" s="21">
        <v>8040018</v>
      </c>
      <c r="B472" s="1">
        <v>44958</v>
      </c>
      <c r="C472" t="s">
        <v>355</v>
      </c>
      <c r="D472" s="6">
        <v>2621</v>
      </c>
      <c r="E472" s="9">
        <v>22750.28</v>
      </c>
      <c r="F472" s="15">
        <f>IFERROR(PRD[[#This Row],[VALOR]]/PRD[[#This Row],[KGS]],"")</f>
        <v>8.68</v>
      </c>
      <c r="H472" s="27"/>
    </row>
    <row r="473" spans="1:8" x14ac:dyDescent="0.25">
      <c r="A473" s="21">
        <v>8040019</v>
      </c>
      <c r="B473" s="1">
        <v>44958</v>
      </c>
      <c r="C473" t="s">
        <v>356</v>
      </c>
      <c r="D473" s="6">
        <v>3653</v>
      </c>
      <c r="E473" s="9">
        <v>31708.04</v>
      </c>
      <c r="F473" s="15">
        <f>IFERROR(PRD[[#This Row],[VALOR]]/PRD[[#This Row],[KGS]],"")</f>
        <v>8.68</v>
      </c>
      <c r="H473" s="27"/>
    </row>
    <row r="474" spans="1:8" x14ac:dyDescent="0.25">
      <c r="A474" s="21">
        <v>8040020</v>
      </c>
      <c r="B474" s="1">
        <v>44958</v>
      </c>
      <c r="C474" t="s">
        <v>357</v>
      </c>
      <c r="D474" s="6">
        <v>1521</v>
      </c>
      <c r="E474" s="9">
        <v>15696.72</v>
      </c>
      <c r="F474" s="15">
        <f>IFERROR(PRD[[#This Row],[VALOR]]/PRD[[#This Row],[KGS]],"")</f>
        <v>10.32</v>
      </c>
      <c r="H474" s="27"/>
    </row>
    <row r="475" spans="1:8" x14ac:dyDescent="0.25">
      <c r="A475" s="21">
        <v>8040021</v>
      </c>
      <c r="B475" s="1">
        <v>44958</v>
      </c>
      <c r="C475" t="s">
        <v>358</v>
      </c>
      <c r="D475" s="6">
        <v>3409</v>
      </c>
      <c r="E475" s="9">
        <v>32283.23</v>
      </c>
      <c r="F475" s="15">
        <f>IFERROR(PRD[[#This Row],[VALOR]]/PRD[[#This Row],[KGS]],"")</f>
        <v>9.4700000000000006</v>
      </c>
      <c r="H475" s="27"/>
    </row>
    <row r="476" spans="1:8" x14ac:dyDescent="0.25">
      <c r="A476" s="21">
        <v>8040022</v>
      </c>
      <c r="B476" s="1">
        <v>44958</v>
      </c>
      <c r="C476" t="s">
        <v>359</v>
      </c>
      <c r="D476" s="6">
        <v>177</v>
      </c>
      <c r="E476" s="9">
        <v>1207.1400000000001</v>
      </c>
      <c r="F476" s="15">
        <f>IFERROR(PRD[[#This Row],[VALOR]]/PRD[[#This Row],[KGS]],"")</f>
        <v>6.82</v>
      </c>
      <c r="H476" s="27"/>
    </row>
    <row r="477" spans="1:8" x14ac:dyDescent="0.25">
      <c r="A477" s="21">
        <v>8040023</v>
      </c>
      <c r="B477" s="1">
        <v>44958</v>
      </c>
      <c r="C477" t="s">
        <v>360</v>
      </c>
      <c r="D477" s="6">
        <v>104</v>
      </c>
      <c r="E477" s="9">
        <v>812.24</v>
      </c>
      <c r="F477" s="15">
        <f>IFERROR(PRD[[#This Row],[VALOR]]/PRD[[#This Row],[KGS]],"")</f>
        <v>7.8100000000000005</v>
      </c>
      <c r="H477" s="27"/>
    </row>
    <row r="478" spans="1:8" x14ac:dyDescent="0.25">
      <c r="A478" s="21">
        <v>8040024</v>
      </c>
      <c r="B478" s="1">
        <v>44958</v>
      </c>
      <c r="C478" t="s">
        <v>361</v>
      </c>
      <c r="D478" s="6">
        <v>286</v>
      </c>
      <c r="E478" s="9">
        <v>2236.52</v>
      </c>
      <c r="F478" s="15">
        <f>IFERROR(PRD[[#This Row],[VALOR]]/PRD[[#This Row],[KGS]],"")</f>
        <v>7.82</v>
      </c>
      <c r="H478" s="27"/>
    </row>
    <row r="479" spans="1:8" x14ac:dyDescent="0.25">
      <c r="A479" s="21">
        <v>8040025</v>
      </c>
      <c r="B479" s="1">
        <v>44958</v>
      </c>
      <c r="C479" t="s">
        <v>362</v>
      </c>
      <c r="D479" s="6">
        <v>3078</v>
      </c>
      <c r="E479" s="9">
        <v>28563.84</v>
      </c>
      <c r="F479" s="15">
        <f>IFERROR(PRD[[#This Row],[VALOR]]/PRD[[#This Row],[KGS]],"")</f>
        <v>9.2799999999999994</v>
      </c>
      <c r="H479" s="27"/>
    </row>
    <row r="480" spans="1:8" x14ac:dyDescent="0.25">
      <c r="A480" s="21">
        <v>8040026</v>
      </c>
      <c r="B480" s="1">
        <v>44958</v>
      </c>
      <c r="C480" t="s">
        <v>363</v>
      </c>
      <c r="D480" s="6">
        <v>2167</v>
      </c>
      <c r="E480" s="9">
        <v>18484.509999999998</v>
      </c>
      <c r="F480" s="15">
        <f>IFERROR(PRD[[#This Row],[VALOR]]/PRD[[#This Row],[KGS]],"")</f>
        <v>8.5299999999999994</v>
      </c>
      <c r="H480" s="27"/>
    </row>
    <row r="481" spans="1:8" x14ac:dyDescent="0.25">
      <c r="A481" s="21">
        <v>8050001</v>
      </c>
      <c r="B481" s="1">
        <v>44958</v>
      </c>
      <c r="C481" t="s">
        <v>321</v>
      </c>
      <c r="D481" s="6">
        <v>480</v>
      </c>
      <c r="E481" s="9">
        <v>720</v>
      </c>
      <c r="F481" s="15">
        <f>IFERROR(PRD[[#This Row],[VALOR]]/PRD[[#This Row],[KGS]],"")</f>
        <v>1.5</v>
      </c>
      <c r="H481" s="27"/>
    </row>
    <row r="482" spans="1:8" x14ac:dyDescent="0.25">
      <c r="A482" s="21">
        <v>8060002</v>
      </c>
      <c r="B482" s="1">
        <v>44958</v>
      </c>
      <c r="C482" t="s">
        <v>364</v>
      </c>
      <c r="D482" s="6">
        <v>1014</v>
      </c>
      <c r="E482" s="9">
        <v>4664.3999999999996</v>
      </c>
      <c r="F482" s="15">
        <f>IFERROR(PRD[[#This Row],[VALOR]]/PRD[[#This Row],[KGS]],"")</f>
        <v>4.5999999999999996</v>
      </c>
      <c r="H482" s="27"/>
    </row>
    <row r="483" spans="1:8" x14ac:dyDescent="0.25">
      <c r="A483" s="21">
        <v>8070003</v>
      </c>
      <c r="B483" s="1">
        <v>44958</v>
      </c>
      <c r="C483" t="s">
        <v>328</v>
      </c>
      <c r="D483" s="6">
        <v>2400</v>
      </c>
      <c r="E483" s="9">
        <v>16320</v>
      </c>
      <c r="F483" s="15">
        <f>IFERROR(PRD[[#This Row],[VALOR]]/PRD[[#This Row],[KGS]],"")</f>
        <v>6.8</v>
      </c>
      <c r="H483" s="27"/>
    </row>
    <row r="484" spans="1:8" x14ac:dyDescent="0.25">
      <c r="A484" s="21">
        <v>8070005</v>
      </c>
      <c r="B484" s="1">
        <v>44958</v>
      </c>
      <c r="C484" t="s">
        <v>365</v>
      </c>
      <c r="D484" s="6">
        <v>134.4</v>
      </c>
      <c r="E484" s="9">
        <v>547.01</v>
      </c>
      <c r="F484" s="15">
        <f>IFERROR(PRD[[#This Row],[VALOR]]/PRD[[#This Row],[KGS]],"")</f>
        <v>4.0700148809523808</v>
      </c>
      <c r="H484" s="27"/>
    </row>
    <row r="485" spans="1:8" x14ac:dyDescent="0.25">
      <c r="A485" s="21">
        <v>8070006</v>
      </c>
      <c r="B485" s="1">
        <v>44958</v>
      </c>
      <c r="C485" t="s">
        <v>366</v>
      </c>
      <c r="D485" s="6">
        <v>336</v>
      </c>
      <c r="E485" s="9">
        <v>608.16</v>
      </c>
      <c r="F485" s="15">
        <f>IFERROR(PRD[[#This Row],[VALOR]]/PRD[[#This Row],[KGS]],"")</f>
        <v>1.8099999999999998</v>
      </c>
      <c r="H485" s="27"/>
    </row>
    <row r="486" spans="1:8" x14ac:dyDescent="0.25">
      <c r="A486" s="21">
        <v>8070007</v>
      </c>
      <c r="B486" s="1">
        <v>44958</v>
      </c>
      <c r="C486" t="s">
        <v>367</v>
      </c>
      <c r="D486" s="6">
        <v>1220</v>
      </c>
      <c r="E486" s="9">
        <v>10236</v>
      </c>
      <c r="F486" s="15">
        <f>IFERROR(PRD[[#This Row],[VALOR]]/PRD[[#This Row],[KGS]],"")</f>
        <v>8.39016393442623</v>
      </c>
      <c r="H486" s="27"/>
    </row>
    <row r="487" spans="1:8" x14ac:dyDescent="0.25">
      <c r="A487" s="21">
        <v>8070008</v>
      </c>
      <c r="B487" s="1">
        <v>44958</v>
      </c>
      <c r="C487" t="s">
        <v>368</v>
      </c>
      <c r="D487" s="6">
        <v>1510</v>
      </c>
      <c r="E487" s="9">
        <v>14994</v>
      </c>
      <c r="F487" s="15">
        <f>IFERROR(PRD[[#This Row],[VALOR]]/PRD[[#This Row],[KGS]],"")</f>
        <v>9.9298013245033108</v>
      </c>
      <c r="H487" s="27"/>
    </row>
    <row r="488" spans="1:8" x14ac:dyDescent="0.25">
      <c r="A488" s="21">
        <v>8070009</v>
      </c>
      <c r="B488" s="1">
        <v>44958</v>
      </c>
      <c r="C488" t="s">
        <v>369</v>
      </c>
      <c r="D488" s="6">
        <v>1260</v>
      </c>
      <c r="E488" s="9">
        <v>3906</v>
      </c>
      <c r="F488" s="15">
        <f>IFERROR(PRD[[#This Row],[VALOR]]/PRD[[#This Row],[KGS]],"")</f>
        <v>3.1</v>
      </c>
      <c r="H488" s="27"/>
    </row>
    <row r="489" spans="1:8" x14ac:dyDescent="0.25">
      <c r="A489" s="21">
        <v>8070010</v>
      </c>
      <c r="B489" s="1">
        <v>44958</v>
      </c>
      <c r="C489" t="s">
        <v>370</v>
      </c>
      <c r="D489" s="6">
        <v>1260</v>
      </c>
      <c r="E489" s="9">
        <v>4536</v>
      </c>
      <c r="F489" s="15">
        <f>IFERROR(PRD[[#This Row],[VALOR]]/PRD[[#This Row],[KGS]],"")</f>
        <v>3.6</v>
      </c>
      <c r="H489" s="27"/>
    </row>
    <row r="490" spans="1:8" x14ac:dyDescent="0.25">
      <c r="A490" s="21">
        <v>8070011</v>
      </c>
      <c r="B490" s="1">
        <v>44958</v>
      </c>
      <c r="C490" t="s">
        <v>371</v>
      </c>
      <c r="D490" s="6">
        <v>600</v>
      </c>
      <c r="E490" s="9">
        <v>1830</v>
      </c>
      <c r="F490" s="15">
        <f>IFERROR(PRD[[#This Row],[VALOR]]/PRD[[#This Row],[KGS]],"")</f>
        <v>3.05</v>
      </c>
      <c r="H490" s="27"/>
    </row>
    <row r="491" spans="1:8" x14ac:dyDescent="0.25">
      <c r="A491" s="21">
        <v>8070012</v>
      </c>
      <c r="B491" s="1">
        <v>44958</v>
      </c>
      <c r="C491" t="s">
        <v>372</v>
      </c>
      <c r="D491" s="6">
        <v>693</v>
      </c>
      <c r="E491" s="9">
        <v>1940</v>
      </c>
      <c r="F491" s="15">
        <f>IFERROR(PRD[[#This Row],[VALOR]]/PRD[[#This Row],[KGS]],"")</f>
        <v>2.7994227994227994</v>
      </c>
      <c r="H491" s="27"/>
    </row>
    <row r="492" spans="1:8" x14ac:dyDescent="0.25">
      <c r="A492" s="21">
        <v>8070015</v>
      </c>
      <c r="B492" s="1">
        <v>44958</v>
      </c>
      <c r="C492" t="s">
        <v>373</v>
      </c>
      <c r="D492" s="6">
        <v>3600</v>
      </c>
      <c r="E492" s="9">
        <v>3888</v>
      </c>
      <c r="F492" s="15">
        <f>IFERROR(PRD[[#This Row],[VALOR]]/PRD[[#This Row],[KGS]],"")</f>
        <v>1.08</v>
      </c>
      <c r="H492" s="27"/>
    </row>
    <row r="493" spans="1:8" ht="13.9" customHeight="1" x14ac:dyDescent="0.25">
      <c r="A493" s="21">
        <v>8120001</v>
      </c>
      <c r="B493" s="1">
        <v>44958</v>
      </c>
      <c r="C493" t="s">
        <v>374</v>
      </c>
      <c r="D493" s="6">
        <v>1296</v>
      </c>
      <c r="E493" s="9">
        <v>8683.2000000000007</v>
      </c>
      <c r="F493" s="15">
        <f>IFERROR(PRD[[#This Row],[VALOR]]/PRD[[#This Row],[KGS]],"")</f>
        <v>6.7</v>
      </c>
      <c r="H493" s="27"/>
    </row>
    <row r="494" spans="1:8" ht="13.9" customHeight="1" x14ac:dyDescent="0.25">
      <c r="A494" s="21">
        <v>8120002</v>
      </c>
      <c r="B494" s="1">
        <v>44958</v>
      </c>
      <c r="C494" t="s">
        <v>375</v>
      </c>
      <c r="D494" s="6">
        <v>1036.8</v>
      </c>
      <c r="E494" s="9">
        <v>4593.0200000000004</v>
      </c>
      <c r="F494" s="15">
        <f>IFERROR(PRD[[#This Row],[VALOR]]/PRD[[#This Row],[KGS]],"")</f>
        <v>4.4299961419753089</v>
      </c>
      <c r="H494" s="27"/>
    </row>
    <row r="495" spans="1:8" ht="13.9" customHeight="1" x14ac:dyDescent="0.25">
      <c r="A495" s="21">
        <v>8120003</v>
      </c>
      <c r="B495" s="1">
        <v>44958</v>
      </c>
      <c r="C495" t="s">
        <v>376</v>
      </c>
      <c r="D495" s="6">
        <v>504</v>
      </c>
      <c r="E495" s="9">
        <v>1562</v>
      </c>
      <c r="F495" s="15">
        <f>IFERROR(PRD[[#This Row],[VALOR]]/PRD[[#This Row],[KGS]],"")</f>
        <v>3.0992063492063493</v>
      </c>
      <c r="H495" s="27"/>
    </row>
    <row r="496" spans="1:8" ht="13.9" customHeight="1" x14ac:dyDescent="0.25">
      <c r="A496" s="21">
        <v>8120007</v>
      </c>
      <c r="B496" s="1">
        <v>44958</v>
      </c>
      <c r="C496" t="s">
        <v>377</v>
      </c>
      <c r="D496" s="6">
        <v>668.23500000000001</v>
      </c>
      <c r="E496" s="9">
        <v>4878.12</v>
      </c>
      <c r="F496" s="15">
        <f>IFERROR(PRD[[#This Row],[VALOR]]/PRD[[#This Row],[KGS]],"")</f>
        <v>7.3000067341578934</v>
      </c>
      <c r="H496" s="27"/>
    </row>
    <row r="497" spans="1:8" ht="13.9" customHeight="1" x14ac:dyDescent="0.25">
      <c r="A497" s="21">
        <v>8120010</v>
      </c>
      <c r="B497" s="1">
        <v>44958</v>
      </c>
      <c r="C497" t="s">
        <v>378</v>
      </c>
      <c r="D497" s="6">
        <v>2607.25</v>
      </c>
      <c r="E497" s="9">
        <v>30248.74</v>
      </c>
      <c r="F497" s="15">
        <f>IFERROR(PRD[[#This Row],[VALOR]]/PRD[[#This Row],[KGS]],"")</f>
        <v>11.601779652890977</v>
      </c>
      <c r="H497" s="27"/>
    </row>
    <row r="498" spans="1:8" ht="13.9" customHeight="1" x14ac:dyDescent="0.25">
      <c r="A498" s="21">
        <v>8120011</v>
      </c>
      <c r="B498" s="1">
        <v>44958</v>
      </c>
      <c r="C498" t="s">
        <v>379</v>
      </c>
      <c r="D498" s="6">
        <v>950.34</v>
      </c>
      <c r="E498" s="9">
        <v>11309.05</v>
      </c>
      <c r="F498" s="15">
        <f>IFERROR(PRD[[#This Row],[VALOR]]/PRD[[#This Row],[KGS]],"")</f>
        <v>11.900004209019929</v>
      </c>
      <c r="H498" s="27"/>
    </row>
    <row r="499" spans="1:8" x14ac:dyDescent="0.25">
      <c r="A499" s="21">
        <v>8130001</v>
      </c>
      <c r="B499" s="1">
        <v>44958</v>
      </c>
      <c r="C499" t="s">
        <v>380</v>
      </c>
      <c r="D499" s="6">
        <v>2640</v>
      </c>
      <c r="E499" s="9">
        <v>6776</v>
      </c>
      <c r="F499" s="15">
        <f>IFERROR(PRD[[#This Row],[VALOR]]/PRD[[#This Row],[KGS]],"")</f>
        <v>2.5666666666666669</v>
      </c>
      <c r="H499" s="27"/>
    </row>
    <row r="500" spans="1:8" x14ac:dyDescent="0.25">
      <c r="A500" s="21">
        <v>8140001</v>
      </c>
      <c r="B500" s="1">
        <v>44958</v>
      </c>
      <c r="C500" t="s">
        <v>381</v>
      </c>
      <c r="D500" s="6">
        <v>1716</v>
      </c>
      <c r="E500" s="9">
        <v>7464.6</v>
      </c>
      <c r="F500" s="15">
        <f>IFERROR(PRD[[#This Row],[VALOR]]/PRD[[#This Row],[KGS]],"")</f>
        <v>4.3500000000000005</v>
      </c>
      <c r="H500" s="27"/>
    </row>
    <row r="501" spans="1:8" x14ac:dyDescent="0.25">
      <c r="A501" s="21">
        <v>8150001</v>
      </c>
      <c r="B501" s="1">
        <v>44958</v>
      </c>
      <c r="C501" t="s">
        <v>382</v>
      </c>
      <c r="D501" s="6">
        <v>450</v>
      </c>
      <c r="E501" s="9">
        <v>5512.5</v>
      </c>
      <c r="F501" s="15">
        <f>IFERROR(PRD[[#This Row],[VALOR]]/PRD[[#This Row],[KGS]],"")</f>
        <v>12.25</v>
      </c>
      <c r="H501" s="27"/>
    </row>
    <row r="502" spans="1:8" x14ac:dyDescent="0.25">
      <c r="A502" s="21">
        <v>8150002</v>
      </c>
      <c r="B502" s="1">
        <v>44958</v>
      </c>
      <c r="C502" t="s">
        <v>383</v>
      </c>
      <c r="D502" s="6">
        <v>1260</v>
      </c>
      <c r="E502" s="9">
        <v>11088</v>
      </c>
      <c r="F502" s="15">
        <f>IFERROR(PRD[[#This Row],[VALOR]]/PRD[[#This Row],[KGS]],"")</f>
        <v>8.8000000000000007</v>
      </c>
      <c r="H502" s="27"/>
    </row>
    <row r="503" spans="1:8" x14ac:dyDescent="0.25">
      <c r="A503" s="21">
        <v>8150003</v>
      </c>
      <c r="B503" s="1">
        <v>44958</v>
      </c>
      <c r="C503" t="s">
        <v>384</v>
      </c>
      <c r="D503" s="6">
        <v>1260</v>
      </c>
      <c r="E503" s="9">
        <v>9513</v>
      </c>
      <c r="F503" s="15">
        <f>IFERROR(PRD[[#This Row],[VALOR]]/PRD[[#This Row],[KGS]],"")</f>
        <v>7.55</v>
      </c>
      <c r="H503" s="27"/>
    </row>
    <row r="504" spans="1:8" x14ac:dyDescent="0.25">
      <c r="A504" s="21">
        <v>8150004</v>
      </c>
      <c r="B504" s="1">
        <v>44958</v>
      </c>
      <c r="C504" t="s">
        <v>385</v>
      </c>
      <c r="D504" s="6">
        <v>2520</v>
      </c>
      <c r="E504" s="9">
        <v>15876</v>
      </c>
      <c r="F504" s="15">
        <f>IFERROR(PRD[[#This Row],[VALOR]]/PRD[[#This Row],[KGS]],"")</f>
        <v>6.3</v>
      </c>
      <c r="H504" s="27"/>
    </row>
    <row r="505" spans="1:8" x14ac:dyDescent="0.25">
      <c r="A505" s="21">
        <v>8150005</v>
      </c>
      <c r="B505" s="1">
        <v>44958</v>
      </c>
      <c r="C505" t="s">
        <v>386</v>
      </c>
      <c r="D505" s="6">
        <v>1260</v>
      </c>
      <c r="E505" s="9">
        <v>6804</v>
      </c>
      <c r="F505" s="15">
        <f>IFERROR(PRD[[#This Row],[VALOR]]/PRD[[#This Row],[KGS]],"")</f>
        <v>5.4</v>
      </c>
      <c r="H505" s="27"/>
    </row>
    <row r="506" spans="1:8" x14ac:dyDescent="0.25">
      <c r="A506" s="21">
        <v>8150006</v>
      </c>
      <c r="B506" s="1">
        <v>44958</v>
      </c>
      <c r="C506" t="s">
        <v>387</v>
      </c>
      <c r="D506" s="6">
        <v>450</v>
      </c>
      <c r="E506" s="9">
        <v>2250</v>
      </c>
      <c r="F506" s="15">
        <f>IFERROR(PRD[[#This Row],[VALOR]]/PRD[[#This Row],[KGS]],"")</f>
        <v>5</v>
      </c>
      <c r="H506" s="27"/>
    </row>
    <row r="507" spans="1:8" x14ac:dyDescent="0.25">
      <c r="A507" s="21" t="s">
        <v>330</v>
      </c>
      <c r="B507" s="1">
        <v>44986</v>
      </c>
      <c r="C507" t="s">
        <v>331</v>
      </c>
      <c r="D507" s="6">
        <v>793.2</v>
      </c>
      <c r="E507" s="9">
        <v>237.96</v>
      </c>
      <c r="F507" s="15">
        <f>IFERROR(PRD[[#This Row],[VALOR]]/PRD[[#This Row],[KGS]],"")</f>
        <v>0.3</v>
      </c>
      <c r="H507" s="27"/>
    </row>
    <row r="508" spans="1:8" x14ac:dyDescent="0.25">
      <c r="A508" s="21" t="s">
        <v>332</v>
      </c>
      <c r="B508" s="1">
        <v>44986</v>
      </c>
      <c r="C508" t="s">
        <v>333</v>
      </c>
      <c r="D508" s="6">
        <v>996.1</v>
      </c>
      <c r="E508" s="9">
        <v>298.83</v>
      </c>
      <c r="F508" s="15">
        <f>IFERROR(PRD[[#This Row],[VALOR]]/PRD[[#This Row],[KGS]],"")</f>
        <v>0.3</v>
      </c>
      <c r="H508" s="27"/>
    </row>
    <row r="509" spans="1:8" x14ac:dyDescent="0.25">
      <c r="A509" s="21">
        <v>1010500</v>
      </c>
      <c r="B509" s="1">
        <v>44986</v>
      </c>
      <c r="C509" t="s">
        <v>6</v>
      </c>
      <c r="D509" s="6">
        <v>1752.72</v>
      </c>
      <c r="E509" s="9">
        <v>946.13</v>
      </c>
      <c r="F509" s="15">
        <f>IFERROR(PRD[[#This Row],[VALOR]]/PRD[[#This Row],[KGS]],"")</f>
        <v>0.53980670044274037</v>
      </c>
      <c r="H509" s="27"/>
    </row>
    <row r="510" spans="1:8" x14ac:dyDescent="0.25">
      <c r="A510" s="21">
        <v>1010600</v>
      </c>
      <c r="B510" s="1">
        <v>44986</v>
      </c>
      <c r="C510" t="s">
        <v>334</v>
      </c>
      <c r="D510" s="6">
        <v>3203.93</v>
      </c>
      <c r="E510" s="9">
        <v>2945.37</v>
      </c>
      <c r="F510" s="15">
        <f>IFERROR(PRD[[#This Row],[VALOR]]/PRD[[#This Row],[KGS]],"")</f>
        <v>0.91929911077957382</v>
      </c>
      <c r="H510" s="27"/>
    </row>
    <row r="511" spans="1:8" x14ac:dyDescent="0.25">
      <c r="A511" s="21">
        <v>1010700</v>
      </c>
      <c r="B511" s="1">
        <v>44986</v>
      </c>
      <c r="C511" t="s">
        <v>10</v>
      </c>
      <c r="D511" s="6">
        <v>477.6</v>
      </c>
      <c r="E511" s="9">
        <v>979.42</v>
      </c>
      <c r="F511" s="15">
        <f>IFERROR(PRD[[#This Row],[VALOR]]/PRD[[#This Row],[KGS]],"")</f>
        <v>2.0507118927973198</v>
      </c>
      <c r="H511" s="27"/>
    </row>
    <row r="512" spans="1:8" x14ac:dyDescent="0.25">
      <c r="A512" s="21">
        <v>1010701</v>
      </c>
      <c r="B512" s="1">
        <v>44986</v>
      </c>
      <c r="C512" t="s">
        <v>12</v>
      </c>
      <c r="D512" s="6">
        <v>61.86</v>
      </c>
      <c r="E512" s="9">
        <v>458.63</v>
      </c>
      <c r="F512" s="15">
        <f>IFERROR(PRD[[#This Row],[VALOR]]/PRD[[#This Row],[KGS]],"")</f>
        <v>7.4139993533785971</v>
      </c>
      <c r="H512" s="27"/>
    </row>
    <row r="513" spans="1:8" x14ac:dyDescent="0.25">
      <c r="A513" s="21">
        <v>1010732</v>
      </c>
      <c r="B513" s="1">
        <v>44986</v>
      </c>
      <c r="C513" t="s">
        <v>14</v>
      </c>
      <c r="D513" s="6">
        <v>36</v>
      </c>
      <c r="E513" s="9">
        <v>280.8</v>
      </c>
      <c r="F513" s="15">
        <f>IFERROR(PRD[[#This Row],[VALOR]]/PRD[[#This Row],[KGS]],"")</f>
        <v>7.8000000000000007</v>
      </c>
      <c r="H513" s="27"/>
    </row>
    <row r="514" spans="1:8" x14ac:dyDescent="0.25">
      <c r="A514" s="21">
        <v>1010900</v>
      </c>
      <c r="B514" s="1">
        <v>44986</v>
      </c>
      <c r="C514" t="s">
        <v>336</v>
      </c>
      <c r="D514" s="6">
        <v>453.02</v>
      </c>
      <c r="E514" s="9">
        <v>701.91</v>
      </c>
      <c r="F514" s="15">
        <f>IFERROR(PRD[[#This Row],[VALOR]]/PRD[[#This Row],[KGS]],"")</f>
        <v>1.5494017924153458</v>
      </c>
      <c r="H514" s="27"/>
    </row>
    <row r="515" spans="1:8" x14ac:dyDescent="0.25">
      <c r="A515" s="21">
        <v>1010901</v>
      </c>
      <c r="B515" s="1">
        <v>44986</v>
      </c>
      <c r="C515" t="s">
        <v>337</v>
      </c>
      <c r="D515" s="6">
        <v>40.799999999999997</v>
      </c>
      <c r="E515" s="9">
        <v>45.88</v>
      </c>
      <c r="F515" s="15">
        <f>IFERROR(PRD[[#This Row],[VALOR]]/PRD[[#This Row],[KGS]],"")</f>
        <v>1.1245098039215689</v>
      </c>
      <c r="H515" s="27"/>
    </row>
    <row r="516" spans="1:8" x14ac:dyDescent="0.25">
      <c r="A516" s="21">
        <v>1011000</v>
      </c>
      <c r="B516" s="1">
        <v>44986</v>
      </c>
      <c r="C516" t="s">
        <v>20</v>
      </c>
      <c r="D516" s="6">
        <v>1866.6</v>
      </c>
      <c r="E516" s="9">
        <v>1016.75</v>
      </c>
      <c r="F516" s="15">
        <f>IFERROR(PRD[[#This Row],[VALOR]]/PRD[[#This Row],[KGS]],"")</f>
        <v>0.54470695381977929</v>
      </c>
      <c r="H516" s="27"/>
    </row>
    <row r="517" spans="1:8" x14ac:dyDescent="0.25">
      <c r="A517" s="21">
        <v>1011100</v>
      </c>
      <c r="B517" s="1">
        <v>44986</v>
      </c>
      <c r="C517" t="s">
        <v>22</v>
      </c>
      <c r="D517" s="6">
        <v>121.3</v>
      </c>
      <c r="E517" s="9">
        <v>63.4</v>
      </c>
      <c r="F517" s="15">
        <f>IFERROR(PRD[[#This Row],[VALOR]]/PRD[[#This Row],[KGS]],"")</f>
        <v>0.52267106347897774</v>
      </c>
      <c r="H517" s="27"/>
    </row>
    <row r="518" spans="1:8" x14ac:dyDescent="0.25">
      <c r="A518" s="21">
        <v>1011200</v>
      </c>
      <c r="B518" s="1">
        <v>44986</v>
      </c>
      <c r="C518" t="s">
        <v>24</v>
      </c>
      <c r="D518" s="6">
        <v>47.66</v>
      </c>
      <c r="E518" s="9">
        <v>65.88</v>
      </c>
      <c r="F518" s="15">
        <f>IFERROR(PRD[[#This Row],[VALOR]]/PRD[[#This Row],[KGS]],"")</f>
        <v>1.3822912295425933</v>
      </c>
      <c r="H518" s="27"/>
    </row>
    <row r="519" spans="1:8" x14ac:dyDescent="0.25">
      <c r="A519" s="21">
        <v>1011201</v>
      </c>
      <c r="B519" s="1">
        <v>44986</v>
      </c>
      <c r="C519" t="s">
        <v>338</v>
      </c>
      <c r="D519" s="6">
        <v>119.3</v>
      </c>
      <c r="E519" s="9">
        <v>322.11</v>
      </c>
      <c r="F519" s="15">
        <f>IFERROR(PRD[[#This Row],[VALOR]]/PRD[[#This Row],[KGS]],"")</f>
        <v>2.7</v>
      </c>
      <c r="H519" s="27"/>
    </row>
    <row r="520" spans="1:8" x14ac:dyDescent="0.25">
      <c r="A520" s="21" t="s">
        <v>339</v>
      </c>
      <c r="B520" s="1">
        <v>44986</v>
      </c>
      <c r="C520" t="s">
        <v>340</v>
      </c>
      <c r="D520" s="6">
        <v>424.7</v>
      </c>
      <c r="E520" s="9">
        <v>169.88</v>
      </c>
      <c r="F520" s="15">
        <f>IFERROR(PRD[[#This Row],[VALOR]]/PRD[[#This Row],[KGS]],"")</f>
        <v>0.4</v>
      </c>
      <c r="H520" s="27"/>
    </row>
    <row r="521" spans="1:8" x14ac:dyDescent="0.25">
      <c r="A521" s="21" t="s">
        <v>341</v>
      </c>
      <c r="B521" s="1">
        <v>44986</v>
      </c>
      <c r="C521" t="s">
        <v>342</v>
      </c>
      <c r="D521" s="6">
        <v>131.1</v>
      </c>
      <c r="E521" s="9">
        <v>78.66</v>
      </c>
      <c r="F521" s="15">
        <f>IFERROR(PRD[[#This Row],[VALOR]]/PRD[[#This Row],[KGS]],"")</f>
        <v>0.6</v>
      </c>
      <c r="H521" s="27"/>
    </row>
    <row r="522" spans="1:8" x14ac:dyDescent="0.25">
      <c r="A522" s="21" t="s">
        <v>343</v>
      </c>
      <c r="B522" s="1">
        <v>44986</v>
      </c>
      <c r="C522" t="s">
        <v>344</v>
      </c>
      <c r="D522" s="6">
        <v>96</v>
      </c>
      <c r="E522" s="9">
        <v>163.19999999999999</v>
      </c>
      <c r="F522" s="15">
        <f>IFERROR(PRD[[#This Row],[VALOR]]/PRD[[#This Row],[KGS]],"")</f>
        <v>1.7</v>
      </c>
      <c r="H522" s="27"/>
    </row>
    <row r="523" spans="1:8" x14ac:dyDescent="0.25">
      <c r="A523" s="21">
        <v>1011300</v>
      </c>
      <c r="B523" s="1">
        <v>44986</v>
      </c>
      <c r="C523" t="s">
        <v>295</v>
      </c>
      <c r="D523" s="6">
        <v>5682.1</v>
      </c>
      <c r="E523" s="9">
        <v>6129.67</v>
      </c>
      <c r="F523" s="15">
        <f>IFERROR(PRD[[#This Row],[VALOR]]/PRD[[#This Row],[KGS]],"")</f>
        <v>1.0787684130867108</v>
      </c>
      <c r="H523" s="27"/>
    </row>
    <row r="524" spans="1:8" x14ac:dyDescent="0.25">
      <c r="A524" s="21">
        <v>1011500</v>
      </c>
      <c r="B524" s="1">
        <v>44986</v>
      </c>
      <c r="C524" t="s">
        <v>27</v>
      </c>
      <c r="D524" s="6">
        <v>2401.9699999999998</v>
      </c>
      <c r="E524" s="9">
        <v>1934.44</v>
      </c>
      <c r="F524" s="15">
        <f>IFERROR(PRD[[#This Row],[VALOR]]/PRD[[#This Row],[KGS]],"")</f>
        <v>0.80535560394176453</v>
      </c>
      <c r="H524" s="27"/>
    </row>
    <row r="525" spans="1:8" x14ac:dyDescent="0.25">
      <c r="A525" s="21">
        <v>1011501</v>
      </c>
      <c r="B525" s="1">
        <v>44986</v>
      </c>
      <c r="C525" t="s">
        <v>297</v>
      </c>
      <c r="D525" s="6">
        <v>932</v>
      </c>
      <c r="E525" s="9">
        <v>466</v>
      </c>
      <c r="F525" s="15">
        <f>IFERROR(PRD[[#This Row],[VALOR]]/PRD[[#This Row],[KGS]],"")</f>
        <v>0.5</v>
      </c>
      <c r="H525" s="27"/>
    </row>
    <row r="526" spans="1:8" x14ac:dyDescent="0.25">
      <c r="A526" s="21">
        <v>1011604</v>
      </c>
      <c r="B526" s="1">
        <v>44986</v>
      </c>
      <c r="C526" t="s">
        <v>29</v>
      </c>
      <c r="D526" s="6">
        <v>29450</v>
      </c>
      <c r="E526" s="9">
        <v>2356</v>
      </c>
      <c r="F526" s="15">
        <f>IFERROR(PRD[[#This Row],[VALOR]]/PRD[[#This Row],[KGS]],"")</f>
        <v>0.08</v>
      </c>
      <c r="H526" s="27"/>
    </row>
    <row r="527" spans="1:8" x14ac:dyDescent="0.25">
      <c r="A527" s="21">
        <v>1011700</v>
      </c>
      <c r="B527" s="1">
        <v>44986</v>
      </c>
      <c r="C527" t="s">
        <v>31</v>
      </c>
      <c r="D527" s="6">
        <v>327.58</v>
      </c>
      <c r="E527" s="9">
        <v>532.34</v>
      </c>
      <c r="F527" s="15">
        <f>IFERROR(PRD[[#This Row],[VALOR]]/PRD[[#This Row],[KGS]],"")</f>
        <v>1.6250686855119363</v>
      </c>
      <c r="H527" s="27"/>
    </row>
    <row r="528" spans="1:8" x14ac:dyDescent="0.25">
      <c r="A528" s="21">
        <v>1011800</v>
      </c>
      <c r="B528" s="1">
        <v>44986</v>
      </c>
      <c r="C528" t="s">
        <v>33</v>
      </c>
      <c r="D528" s="6">
        <v>4194.79</v>
      </c>
      <c r="E528" s="9">
        <v>8664.69</v>
      </c>
      <c r="F528" s="15">
        <f>IFERROR(PRD[[#This Row],[VALOR]]/PRD[[#This Row],[KGS]],"")</f>
        <v>2.0655837360153906</v>
      </c>
      <c r="H528" s="27"/>
    </row>
    <row r="529" spans="1:8" x14ac:dyDescent="0.25">
      <c r="A529" s="21">
        <v>1011801</v>
      </c>
      <c r="B529" s="1">
        <v>44986</v>
      </c>
      <c r="C529" t="s">
        <v>35</v>
      </c>
      <c r="D529" s="6">
        <v>174.2</v>
      </c>
      <c r="E529" s="9">
        <v>278.72000000000003</v>
      </c>
      <c r="F529" s="15">
        <f>IFERROR(PRD[[#This Row],[VALOR]]/PRD[[#This Row],[KGS]],"")</f>
        <v>1.6000000000000003</v>
      </c>
      <c r="H529" s="27"/>
    </row>
    <row r="530" spans="1:8" x14ac:dyDescent="0.25">
      <c r="A530" s="21">
        <v>1011900</v>
      </c>
      <c r="B530" s="1">
        <v>44986</v>
      </c>
      <c r="C530" t="s">
        <v>345</v>
      </c>
      <c r="D530" s="6">
        <v>140.44</v>
      </c>
      <c r="E530" s="9">
        <v>65</v>
      </c>
      <c r="F530" s="15">
        <f>IFERROR(PRD[[#This Row],[VALOR]]/PRD[[#This Row],[KGS]],"")</f>
        <v>0.46283110225007124</v>
      </c>
      <c r="H530" s="27"/>
    </row>
    <row r="531" spans="1:8" x14ac:dyDescent="0.25">
      <c r="A531" s="21">
        <v>1012100</v>
      </c>
      <c r="B531" s="1">
        <v>44986</v>
      </c>
      <c r="C531" t="s">
        <v>302</v>
      </c>
      <c r="D531" s="6">
        <v>474</v>
      </c>
      <c r="E531" s="9">
        <v>1327.2</v>
      </c>
      <c r="F531" s="15">
        <f>IFERROR(PRD[[#This Row],[VALOR]]/PRD[[#This Row],[KGS]],"")</f>
        <v>2.8000000000000003</v>
      </c>
      <c r="H531" s="27"/>
    </row>
    <row r="532" spans="1:8" x14ac:dyDescent="0.25">
      <c r="A532" s="21">
        <v>1012200</v>
      </c>
      <c r="B532" s="1">
        <v>44986</v>
      </c>
      <c r="C532" t="s">
        <v>39</v>
      </c>
      <c r="D532" s="6">
        <v>765</v>
      </c>
      <c r="E532" s="9">
        <v>1230.01</v>
      </c>
      <c r="F532" s="15">
        <f>IFERROR(PRD[[#This Row],[VALOR]]/PRD[[#This Row],[KGS]],"")</f>
        <v>1.6078562091503268</v>
      </c>
      <c r="H532" s="27"/>
    </row>
    <row r="533" spans="1:8" x14ac:dyDescent="0.25">
      <c r="A533" s="21">
        <v>1012201</v>
      </c>
      <c r="B533" s="1">
        <v>44986</v>
      </c>
      <c r="C533" t="s">
        <v>41</v>
      </c>
      <c r="D533" s="6">
        <v>410.2</v>
      </c>
      <c r="E533" s="9">
        <v>859.33</v>
      </c>
      <c r="F533" s="15">
        <f>IFERROR(PRD[[#This Row],[VALOR]]/PRD[[#This Row],[KGS]],"")</f>
        <v>2.0949049244271087</v>
      </c>
      <c r="H533" s="27"/>
    </row>
    <row r="534" spans="1:8" x14ac:dyDescent="0.25">
      <c r="A534" s="21">
        <v>1012203</v>
      </c>
      <c r="B534" s="1">
        <v>44986</v>
      </c>
      <c r="C534" t="s">
        <v>43</v>
      </c>
      <c r="D534" s="6">
        <v>1219.1199999999999</v>
      </c>
      <c r="E534" s="9">
        <v>2126.17</v>
      </c>
      <c r="F534" s="15">
        <f>IFERROR(PRD[[#This Row],[VALOR]]/PRD[[#This Row],[KGS]],"")</f>
        <v>1.744020276921058</v>
      </c>
      <c r="H534" s="27"/>
    </row>
    <row r="535" spans="1:8" x14ac:dyDescent="0.25">
      <c r="A535" s="21">
        <v>1012300</v>
      </c>
      <c r="B535" s="1">
        <v>44986</v>
      </c>
      <c r="C535" t="s">
        <v>45</v>
      </c>
      <c r="D535" s="6">
        <v>413</v>
      </c>
      <c r="E535" s="9">
        <v>577.01</v>
      </c>
      <c r="F535" s="15">
        <f>IFERROR(PRD[[#This Row],[VALOR]]/PRD[[#This Row],[KGS]],"")</f>
        <v>1.3971186440677965</v>
      </c>
      <c r="H535" s="27"/>
    </row>
    <row r="536" spans="1:8" x14ac:dyDescent="0.25">
      <c r="A536" s="21">
        <v>1012301</v>
      </c>
      <c r="B536" s="1">
        <v>44986</v>
      </c>
      <c r="C536" t="s">
        <v>47</v>
      </c>
      <c r="D536" s="6">
        <v>110</v>
      </c>
      <c r="E536" s="9">
        <v>152.5</v>
      </c>
      <c r="F536" s="15">
        <f>IFERROR(PRD[[#This Row],[VALOR]]/PRD[[#This Row],[KGS]],"")</f>
        <v>1.3863636363636365</v>
      </c>
      <c r="H536" s="27"/>
    </row>
    <row r="537" spans="1:8" x14ac:dyDescent="0.25">
      <c r="A537" s="21">
        <v>1012400</v>
      </c>
      <c r="B537" s="1">
        <v>44986</v>
      </c>
      <c r="C537" t="s">
        <v>49</v>
      </c>
      <c r="D537" s="6">
        <v>949.03</v>
      </c>
      <c r="E537" s="9">
        <v>1542.36</v>
      </c>
      <c r="F537" s="15">
        <f>IFERROR(PRD[[#This Row],[VALOR]]/PRD[[#This Row],[KGS]],"")</f>
        <v>1.6251962530162376</v>
      </c>
      <c r="H537" s="27"/>
    </row>
    <row r="538" spans="1:8" x14ac:dyDescent="0.25">
      <c r="A538" s="21">
        <v>1012401</v>
      </c>
      <c r="B538" s="1">
        <v>44986</v>
      </c>
      <c r="C538" t="s">
        <v>51</v>
      </c>
      <c r="D538" s="6">
        <v>100</v>
      </c>
      <c r="E538" s="9">
        <v>173.5</v>
      </c>
      <c r="F538" s="15">
        <f>IFERROR(PRD[[#This Row],[VALOR]]/PRD[[#This Row],[KGS]],"")</f>
        <v>1.7350000000000001</v>
      </c>
      <c r="H538" s="27"/>
    </row>
    <row r="539" spans="1:8" x14ac:dyDescent="0.25">
      <c r="A539" s="21">
        <v>1012500</v>
      </c>
      <c r="B539" s="1">
        <v>44986</v>
      </c>
      <c r="C539" t="s">
        <v>53</v>
      </c>
      <c r="D539" s="6">
        <v>1301.4000000000001</v>
      </c>
      <c r="E539" s="9">
        <v>518.79</v>
      </c>
      <c r="F539" s="15">
        <f>IFERROR(PRD[[#This Row],[VALOR]]/PRD[[#This Row],[KGS]],"")</f>
        <v>0.3986399262332872</v>
      </c>
      <c r="H539" s="27"/>
    </row>
    <row r="540" spans="1:8" x14ac:dyDescent="0.25">
      <c r="A540" s="21">
        <v>1012501</v>
      </c>
      <c r="B540" s="1">
        <v>44986</v>
      </c>
      <c r="C540" t="s">
        <v>388</v>
      </c>
      <c r="D540" s="6">
        <v>564</v>
      </c>
      <c r="E540" s="9">
        <v>253.8</v>
      </c>
      <c r="F540" s="15">
        <f>IFERROR(PRD[[#This Row],[VALOR]]/PRD[[#This Row],[KGS]],"")</f>
        <v>0.45</v>
      </c>
      <c r="H540" s="27"/>
    </row>
    <row r="541" spans="1:8" x14ac:dyDescent="0.25">
      <c r="A541" s="21">
        <v>1012601</v>
      </c>
      <c r="B541" s="1">
        <v>44986</v>
      </c>
      <c r="C541" t="s">
        <v>55</v>
      </c>
      <c r="D541" s="6">
        <v>186</v>
      </c>
      <c r="E541" s="9">
        <v>186</v>
      </c>
      <c r="F541" s="15">
        <f>IFERROR(PRD[[#This Row],[VALOR]]/PRD[[#This Row],[KGS]],"")</f>
        <v>1</v>
      </c>
      <c r="H541" s="27"/>
    </row>
    <row r="542" spans="1:8" x14ac:dyDescent="0.25">
      <c r="A542" s="21">
        <v>1012800</v>
      </c>
      <c r="B542" s="1">
        <v>44986</v>
      </c>
      <c r="C542" t="s">
        <v>389</v>
      </c>
      <c r="D542" s="6">
        <v>36</v>
      </c>
      <c r="E542" s="9">
        <v>54</v>
      </c>
      <c r="F542" s="15">
        <f>IFERROR(PRD[[#This Row],[VALOR]]/PRD[[#This Row],[KGS]],"")</f>
        <v>1.5</v>
      </c>
      <c r="H542" s="27"/>
    </row>
    <row r="543" spans="1:8" x14ac:dyDescent="0.25">
      <c r="A543" s="21">
        <v>1012801</v>
      </c>
      <c r="B543" s="1">
        <v>44986</v>
      </c>
      <c r="C543" t="s">
        <v>390</v>
      </c>
      <c r="D543" s="6">
        <v>2489</v>
      </c>
      <c r="E543" s="9">
        <v>2489</v>
      </c>
      <c r="F543" s="15">
        <f>IFERROR(PRD[[#This Row],[VALOR]]/PRD[[#This Row],[KGS]],"")</f>
        <v>1</v>
      </c>
      <c r="H543" s="27"/>
    </row>
    <row r="544" spans="1:8" x14ac:dyDescent="0.25">
      <c r="A544" s="21">
        <v>1013100</v>
      </c>
      <c r="B544" s="1">
        <v>44986</v>
      </c>
      <c r="C544" t="s">
        <v>57</v>
      </c>
      <c r="D544" s="6">
        <v>416.8</v>
      </c>
      <c r="E544" s="9">
        <v>461.75</v>
      </c>
      <c r="F544" s="15">
        <f>IFERROR(PRD[[#This Row],[VALOR]]/PRD[[#This Row],[KGS]],"")</f>
        <v>1.107845489443378</v>
      </c>
      <c r="H544" s="27"/>
    </row>
    <row r="545" spans="1:8" x14ac:dyDescent="0.25">
      <c r="A545" s="21">
        <v>1013101</v>
      </c>
      <c r="B545" s="1">
        <v>44986</v>
      </c>
      <c r="C545" t="s">
        <v>346</v>
      </c>
      <c r="D545" s="6">
        <v>4072</v>
      </c>
      <c r="E545" s="9">
        <v>8744.7000000000007</v>
      </c>
      <c r="F545" s="15">
        <f>IFERROR(PRD[[#This Row],[VALOR]]/PRD[[#This Row],[KGS]],"")</f>
        <v>2.1475196463654225</v>
      </c>
      <c r="H545" s="27"/>
    </row>
    <row r="546" spans="1:8" x14ac:dyDescent="0.25">
      <c r="A546" s="21">
        <v>1013200</v>
      </c>
      <c r="B546" s="1">
        <v>44986</v>
      </c>
      <c r="C546" t="s">
        <v>59</v>
      </c>
      <c r="D546" s="6">
        <v>2175.6</v>
      </c>
      <c r="E546" s="9">
        <v>2202.31</v>
      </c>
      <c r="F546" s="15">
        <f>IFERROR(PRD[[#This Row],[VALOR]]/PRD[[#This Row],[KGS]],"")</f>
        <v>1.0122770729913588</v>
      </c>
      <c r="H546" s="27"/>
    </row>
    <row r="547" spans="1:8" x14ac:dyDescent="0.25">
      <c r="A547" s="21">
        <v>1013300</v>
      </c>
      <c r="B547" s="1">
        <v>44986</v>
      </c>
      <c r="C547" t="s">
        <v>348</v>
      </c>
      <c r="D547" s="6">
        <v>980.9</v>
      </c>
      <c r="E547" s="9">
        <v>294.27</v>
      </c>
      <c r="F547" s="15">
        <f>IFERROR(PRD[[#This Row],[VALOR]]/PRD[[#This Row],[KGS]],"")</f>
        <v>0.3</v>
      </c>
      <c r="H547" s="27"/>
    </row>
    <row r="548" spans="1:8" x14ac:dyDescent="0.25">
      <c r="A548" s="21">
        <v>1013500</v>
      </c>
      <c r="B548" s="1">
        <v>44986</v>
      </c>
      <c r="C548" t="s">
        <v>61</v>
      </c>
      <c r="D548" s="6">
        <v>13.7</v>
      </c>
      <c r="E548" s="9">
        <v>6.85</v>
      </c>
      <c r="F548" s="15">
        <f>IFERROR(PRD[[#This Row],[VALOR]]/PRD[[#This Row],[KGS]],"")</f>
        <v>0.5</v>
      </c>
      <c r="H548" s="27"/>
    </row>
    <row r="549" spans="1:8" x14ac:dyDescent="0.25">
      <c r="A549" s="21">
        <v>1100100</v>
      </c>
      <c r="B549" s="1">
        <v>44986</v>
      </c>
      <c r="C549" t="s">
        <v>63</v>
      </c>
      <c r="D549" s="6">
        <v>56942.05</v>
      </c>
      <c r="E549" s="9">
        <v>166791.72</v>
      </c>
      <c r="F549" s="15">
        <f>IFERROR(PRD[[#This Row],[VALOR]]/PRD[[#This Row],[KGS]],"")</f>
        <v>2.9291484939513066</v>
      </c>
      <c r="H549" s="27"/>
    </row>
    <row r="550" spans="1:8" x14ac:dyDescent="0.25">
      <c r="A550" s="21">
        <v>1100101</v>
      </c>
      <c r="B550" s="1">
        <v>44986</v>
      </c>
      <c r="C550" t="s">
        <v>65</v>
      </c>
      <c r="D550" s="6">
        <v>452</v>
      </c>
      <c r="E550" s="9">
        <v>1371.54</v>
      </c>
      <c r="F550" s="15">
        <f>IFERROR(PRD[[#This Row],[VALOR]]/PRD[[#This Row],[KGS]],"")</f>
        <v>3.0343805309734511</v>
      </c>
      <c r="H550" s="27"/>
    </row>
    <row r="551" spans="1:8" x14ac:dyDescent="0.25">
      <c r="A551" s="21">
        <v>1100200</v>
      </c>
      <c r="B551" s="1">
        <v>44986</v>
      </c>
      <c r="C551" t="s">
        <v>67</v>
      </c>
      <c r="D551" s="6">
        <v>63319.64</v>
      </c>
      <c r="E551" s="9">
        <v>202994.69</v>
      </c>
      <c r="F551" s="15">
        <f>IFERROR(PRD[[#This Row],[VALOR]]/PRD[[#This Row],[KGS]],"")</f>
        <v>3.2058724591611703</v>
      </c>
      <c r="H551" s="27"/>
    </row>
    <row r="552" spans="1:8" x14ac:dyDescent="0.25">
      <c r="A552" s="21">
        <v>1100300</v>
      </c>
      <c r="B552" s="1">
        <v>44986</v>
      </c>
      <c r="C552" t="s">
        <v>69</v>
      </c>
      <c r="D552" s="6">
        <v>14560.8</v>
      </c>
      <c r="E552" s="9">
        <v>46582.720000000001</v>
      </c>
      <c r="F552" s="15">
        <f>IFERROR(PRD[[#This Row],[VALOR]]/PRD[[#This Row],[KGS]],"")</f>
        <v>3.1991868578649525</v>
      </c>
      <c r="H552" s="27"/>
    </row>
    <row r="553" spans="1:8" x14ac:dyDescent="0.25">
      <c r="A553" s="21">
        <v>1100301</v>
      </c>
      <c r="B553" s="1">
        <v>44986</v>
      </c>
      <c r="C553" t="s">
        <v>71</v>
      </c>
      <c r="D553" s="6">
        <v>2850</v>
      </c>
      <c r="E553" s="9">
        <v>9506.01</v>
      </c>
      <c r="F553" s="15">
        <f>IFERROR(PRD[[#This Row],[VALOR]]/PRD[[#This Row],[KGS]],"")</f>
        <v>3.3354421052631578</v>
      </c>
      <c r="H553" s="27"/>
    </row>
    <row r="554" spans="1:8" x14ac:dyDescent="0.25">
      <c r="A554" s="21">
        <v>1100400</v>
      </c>
      <c r="B554" s="1">
        <v>44986</v>
      </c>
      <c r="C554" t="s">
        <v>73</v>
      </c>
      <c r="D554" s="6">
        <v>5194.72</v>
      </c>
      <c r="E554" s="9">
        <v>16325.74</v>
      </c>
      <c r="F554" s="15">
        <f>IFERROR(PRD[[#This Row],[VALOR]]/PRD[[#This Row],[KGS]],"")</f>
        <v>3.1427564912064554</v>
      </c>
      <c r="H554" s="27"/>
    </row>
    <row r="555" spans="1:8" x14ac:dyDescent="0.25">
      <c r="A555" s="21">
        <v>1100500</v>
      </c>
      <c r="B555" s="1">
        <v>44986</v>
      </c>
      <c r="C555" t="s">
        <v>75</v>
      </c>
      <c r="D555" s="6">
        <v>124.9</v>
      </c>
      <c r="E555" s="9">
        <v>428.96</v>
      </c>
      <c r="F555" s="15">
        <f>IFERROR(PRD[[#This Row],[VALOR]]/PRD[[#This Row],[KGS]],"")</f>
        <v>3.4344275420336268</v>
      </c>
      <c r="H555" s="27"/>
    </row>
    <row r="556" spans="1:8" x14ac:dyDescent="0.25">
      <c r="A556" s="21">
        <v>1100600</v>
      </c>
      <c r="B556" s="1">
        <v>44986</v>
      </c>
      <c r="C556" t="s">
        <v>77</v>
      </c>
      <c r="D556" s="6">
        <v>5312.99</v>
      </c>
      <c r="E556" s="9">
        <v>19287.490000000002</v>
      </c>
      <c r="F556" s="15">
        <f>IFERROR(PRD[[#This Row],[VALOR]]/PRD[[#This Row],[KGS]],"")</f>
        <v>3.6302515156249124</v>
      </c>
      <c r="H556" s="27"/>
    </row>
    <row r="557" spans="1:8" x14ac:dyDescent="0.25">
      <c r="A557" s="21">
        <v>1100602</v>
      </c>
      <c r="B557" s="1">
        <v>44986</v>
      </c>
      <c r="C557" t="s">
        <v>79</v>
      </c>
      <c r="D557" s="6">
        <v>403.8</v>
      </c>
      <c r="E557" s="9">
        <v>1929.95</v>
      </c>
      <c r="F557" s="15">
        <f>IFERROR(PRD[[#This Row],[VALOR]]/PRD[[#This Row],[KGS]],"")</f>
        <v>4.7794700346706289</v>
      </c>
      <c r="H557" s="27"/>
    </row>
    <row r="558" spans="1:8" x14ac:dyDescent="0.25">
      <c r="A558" s="21">
        <v>1100603</v>
      </c>
      <c r="B558" s="1">
        <v>44986</v>
      </c>
      <c r="C558" t="s">
        <v>304</v>
      </c>
      <c r="D558" s="6">
        <v>170</v>
      </c>
      <c r="E558" s="9">
        <v>831.2</v>
      </c>
      <c r="F558" s="15">
        <f>IFERROR(PRD[[#This Row],[VALOR]]/PRD[[#This Row],[KGS]],"")</f>
        <v>4.8894117647058826</v>
      </c>
      <c r="H558" s="27"/>
    </row>
    <row r="559" spans="1:8" x14ac:dyDescent="0.25">
      <c r="A559" s="21">
        <v>1100608</v>
      </c>
      <c r="B559" s="1">
        <v>44986</v>
      </c>
      <c r="C559" t="s">
        <v>349</v>
      </c>
      <c r="D559" s="6">
        <v>3130.77</v>
      </c>
      <c r="E559" s="9">
        <v>10891.81</v>
      </c>
      <c r="F559" s="15">
        <f>IFERROR(PRD[[#This Row],[VALOR]]/PRD[[#This Row],[KGS]],"")</f>
        <v>3.4789556562762516</v>
      </c>
      <c r="H559" s="27"/>
    </row>
    <row r="560" spans="1:8" x14ac:dyDescent="0.25">
      <c r="A560" s="21">
        <v>1100700</v>
      </c>
      <c r="B560" s="1">
        <v>44986</v>
      </c>
      <c r="C560" t="s">
        <v>83</v>
      </c>
      <c r="D560" s="6">
        <v>7454.15</v>
      </c>
      <c r="E560" s="9">
        <v>25741.39</v>
      </c>
      <c r="F560" s="15">
        <f>IFERROR(PRD[[#This Row],[VALOR]]/PRD[[#This Row],[KGS]],"")</f>
        <v>3.453296485850164</v>
      </c>
      <c r="H560" s="27"/>
    </row>
    <row r="561" spans="1:8" x14ac:dyDescent="0.25">
      <c r="A561" s="21">
        <v>1100701</v>
      </c>
      <c r="B561" s="1">
        <v>44986</v>
      </c>
      <c r="C561" t="s">
        <v>84</v>
      </c>
      <c r="D561" s="6">
        <v>8</v>
      </c>
      <c r="E561" s="9">
        <v>42.96</v>
      </c>
      <c r="F561" s="15">
        <f>IFERROR(PRD[[#This Row],[VALOR]]/PRD[[#This Row],[KGS]],"")</f>
        <v>5.37</v>
      </c>
      <c r="H561" s="27"/>
    </row>
    <row r="562" spans="1:8" x14ac:dyDescent="0.25">
      <c r="A562" s="21">
        <v>1100703</v>
      </c>
      <c r="B562" s="1">
        <v>44986</v>
      </c>
      <c r="C562" t="s">
        <v>86</v>
      </c>
      <c r="D562" s="6">
        <v>2302.54</v>
      </c>
      <c r="E562" s="9">
        <v>9237.6299999999992</v>
      </c>
      <c r="F562" s="15">
        <f>IFERROR(PRD[[#This Row],[VALOR]]/PRD[[#This Row],[KGS]],"")</f>
        <v>4.0119303030566238</v>
      </c>
      <c r="H562" s="27"/>
    </row>
    <row r="563" spans="1:8" x14ac:dyDescent="0.25">
      <c r="A563" s="21">
        <v>1100705</v>
      </c>
      <c r="B563" s="1">
        <v>44986</v>
      </c>
      <c r="C563" t="s">
        <v>88</v>
      </c>
      <c r="D563" s="6">
        <v>201.2</v>
      </c>
      <c r="E563" s="9">
        <v>302.95</v>
      </c>
      <c r="F563" s="15">
        <f>IFERROR(PRD[[#This Row],[VALOR]]/PRD[[#This Row],[KGS]],"")</f>
        <v>1.5057157057654076</v>
      </c>
      <c r="H563" s="27"/>
    </row>
    <row r="564" spans="1:8" x14ac:dyDescent="0.25">
      <c r="A564" s="21">
        <v>1100800</v>
      </c>
      <c r="B564" s="1">
        <v>44986</v>
      </c>
      <c r="C564" t="s">
        <v>90</v>
      </c>
      <c r="D564" s="6">
        <v>19661.04</v>
      </c>
      <c r="E564" s="9">
        <v>65017.65</v>
      </c>
      <c r="F564" s="15">
        <f>IFERROR(PRD[[#This Row],[VALOR]]/PRD[[#This Row],[KGS]],"")</f>
        <v>3.3069283211874856</v>
      </c>
      <c r="H564" s="27"/>
    </row>
    <row r="565" spans="1:8" x14ac:dyDescent="0.25">
      <c r="A565" s="21">
        <v>1100802</v>
      </c>
      <c r="B565" s="1">
        <v>44986</v>
      </c>
      <c r="C565" t="s">
        <v>306</v>
      </c>
      <c r="D565" s="6">
        <v>242.67</v>
      </c>
      <c r="E565" s="9">
        <v>837.17</v>
      </c>
      <c r="F565" s="15">
        <f>IFERROR(PRD[[#This Row],[VALOR]]/PRD[[#This Row],[KGS]],"")</f>
        <v>3.4498289858655786</v>
      </c>
      <c r="H565" s="27"/>
    </row>
    <row r="566" spans="1:8" x14ac:dyDescent="0.25">
      <c r="A566" s="21">
        <v>1100900</v>
      </c>
      <c r="B566" s="1">
        <v>44986</v>
      </c>
      <c r="C566" t="s">
        <v>94</v>
      </c>
      <c r="D566" s="6">
        <v>694.82</v>
      </c>
      <c r="E566" s="9">
        <v>4557.04</v>
      </c>
      <c r="F566" s="15">
        <f>IFERROR(PRD[[#This Row],[VALOR]]/PRD[[#This Row],[KGS]],"")</f>
        <v>6.5585907141417916</v>
      </c>
      <c r="H566" s="27"/>
    </row>
    <row r="567" spans="1:8" x14ac:dyDescent="0.25">
      <c r="A567" s="21">
        <v>1101000</v>
      </c>
      <c r="B567" s="1">
        <v>44986</v>
      </c>
      <c r="C567" t="s">
        <v>96</v>
      </c>
      <c r="D567" s="6">
        <v>10875</v>
      </c>
      <c r="E567" s="9">
        <v>41225.67</v>
      </c>
      <c r="F567" s="15">
        <f>IFERROR(PRD[[#This Row],[VALOR]]/PRD[[#This Row],[KGS]],"")</f>
        <v>3.7908662068965517</v>
      </c>
      <c r="H567" s="27"/>
    </row>
    <row r="568" spans="1:8" x14ac:dyDescent="0.25">
      <c r="A568" s="21">
        <v>1101001</v>
      </c>
      <c r="B568" s="1">
        <v>44986</v>
      </c>
      <c r="C568" t="s">
        <v>98</v>
      </c>
      <c r="D568" s="6">
        <v>590.23</v>
      </c>
      <c r="E568" s="9">
        <v>2402.2399999999998</v>
      </c>
      <c r="F568" s="15">
        <f>IFERROR(PRD[[#This Row],[VALOR]]/PRD[[#This Row],[KGS]],"")</f>
        <v>4.0700066075936494</v>
      </c>
      <c r="H568" s="27"/>
    </row>
    <row r="569" spans="1:8" x14ac:dyDescent="0.25">
      <c r="A569" s="21">
        <v>1101100</v>
      </c>
      <c r="B569" s="1">
        <v>44986</v>
      </c>
      <c r="C569" t="s">
        <v>100</v>
      </c>
      <c r="D569" s="6">
        <v>33484.75</v>
      </c>
      <c r="E569" s="9">
        <v>126307.02</v>
      </c>
      <c r="F569" s="15">
        <f>IFERROR(PRD[[#This Row],[VALOR]]/PRD[[#This Row],[KGS]],"")</f>
        <v>3.7720759450197479</v>
      </c>
      <c r="H569" s="27"/>
    </row>
    <row r="570" spans="1:8" x14ac:dyDescent="0.25">
      <c r="A570" s="21">
        <v>1101300</v>
      </c>
      <c r="B570" s="1">
        <v>44986</v>
      </c>
      <c r="C570" t="s">
        <v>102</v>
      </c>
      <c r="D570" s="6">
        <v>98.8</v>
      </c>
      <c r="E570" s="9">
        <v>536.04</v>
      </c>
      <c r="F570" s="15">
        <f>IFERROR(PRD[[#This Row],[VALOR]]/PRD[[#This Row],[KGS]],"")</f>
        <v>5.4255060728744935</v>
      </c>
      <c r="H570" s="27"/>
    </row>
    <row r="571" spans="1:8" x14ac:dyDescent="0.25">
      <c r="A571" s="21">
        <v>1101400</v>
      </c>
      <c r="B571" s="1">
        <v>44986</v>
      </c>
      <c r="C571" t="s">
        <v>104</v>
      </c>
      <c r="D571" s="6">
        <v>19785.77</v>
      </c>
      <c r="E571" s="9">
        <v>58204.83</v>
      </c>
      <c r="F571" s="15">
        <f>IFERROR(PRD[[#This Row],[VALOR]]/PRD[[#This Row],[KGS]],"")</f>
        <v>2.941752077376822</v>
      </c>
      <c r="H571" s="27"/>
    </row>
    <row r="572" spans="1:8" x14ac:dyDescent="0.25">
      <c r="A572" s="21">
        <v>1101500</v>
      </c>
      <c r="B572" s="1">
        <v>44986</v>
      </c>
      <c r="C572" t="s">
        <v>106</v>
      </c>
      <c r="D572" s="6">
        <v>534.66</v>
      </c>
      <c r="E572" s="9">
        <v>1608.66</v>
      </c>
      <c r="F572" s="15">
        <f>IFERROR(PRD[[#This Row],[VALOR]]/PRD[[#This Row],[KGS]],"")</f>
        <v>3.0087532263494561</v>
      </c>
      <c r="H572" s="27"/>
    </row>
    <row r="573" spans="1:8" x14ac:dyDescent="0.25">
      <c r="A573" s="21">
        <v>1101600</v>
      </c>
      <c r="B573" s="1">
        <v>44986</v>
      </c>
      <c r="C573" t="s">
        <v>108</v>
      </c>
      <c r="D573" s="6">
        <v>120.2</v>
      </c>
      <c r="E573" s="9">
        <v>359.2</v>
      </c>
      <c r="F573" s="15">
        <f>IFERROR(PRD[[#This Row],[VALOR]]/PRD[[#This Row],[KGS]],"")</f>
        <v>2.9883527454242929</v>
      </c>
      <c r="H573" s="27"/>
    </row>
    <row r="574" spans="1:8" x14ac:dyDescent="0.25">
      <c r="A574" s="21">
        <v>1101700</v>
      </c>
      <c r="B574" s="1">
        <v>44986</v>
      </c>
      <c r="C574" t="s">
        <v>110</v>
      </c>
      <c r="D574" s="6">
        <v>8250.5</v>
      </c>
      <c r="E574" s="9">
        <v>23897.279999999999</v>
      </c>
      <c r="F574" s="15">
        <f>IFERROR(PRD[[#This Row],[VALOR]]/PRD[[#This Row],[KGS]],"")</f>
        <v>2.8964644566995936</v>
      </c>
      <c r="H574" s="27"/>
    </row>
    <row r="575" spans="1:8" x14ac:dyDescent="0.25">
      <c r="A575" s="21">
        <v>1101801</v>
      </c>
      <c r="B575" s="1">
        <v>44986</v>
      </c>
      <c r="C575" t="s">
        <v>112</v>
      </c>
      <c r="D575" s="6">
        <v>5930.21</v>
      </c>
      <c r="E575" s="9">
        <v>16368.96</v>
      </c>
      <c r="F575" s="15">
        <f>IFERROR(PRD[[#This Row],[VALOR]]/PRD[[#This Row],[KGS]],"")</f>
        <v>2.7602664998372739</v>
      </c>
      <c r="H575" s="27"/>
    </row>
    <row r="576" spans="1:8" x14ac:dyDescent="0.25">
      <c r="A576" s="21">
        <v>1101900</v>
      </c>
      <c r="B576" s="1">
        <v>44986</v>
      </c>
      <c r="C576" t="s">
        <v>114</v>
      </c>
      <c r="D576" s="6">
        <v>3531.24</v>
      </c>
      <c r="E576" s="9">
        <v>12807.94</v>
      </c>
      <c r="F576" s="15">
        <f>IFERROR(PRD[[#This Row],[VALOR]]/PRD[[#This Row],[KGS]],"")</f>
        <v>3.6270375278938847</v>
      </c>
      <c r="H576" s="27"/>
    </row>
    <row r="577" spans="1:8" x14ac:dyDescent="0.25">
      <c r="A577" s="21">
        <v>1101902</v>
      </c>
      <c r="B577" s="1">
        <v>44986</v>
      </c>
      <c r="C577" t="s">
        <v>351</v>
      </c>
      <c r="D577" s="6">
        <v>1841.17</v>
      </c>
      <c r="E577" s="9">
        <v>7340.62</v>
      </c>
      <c r="F577" s="15">
        <f>IFERROR(PRD[[#This Row],[VALOR]]/PRD[[#This Row],[KGS]],"")</f>
        <v>3.9869322224455099</v>
      </c>
      <c r="H577" s="27"/>
    </row>
    <row r="578" spans="1:8" x14ac:dyDescent="0.25">
      <c r="A578" s="21">
        <v>1102000</v>
      </c>
      <c r="B578" s="1">
        <v>44986</v>
      </c>
      <c r="C578" t="s">
        <v>115</v>
      </c>
      <c r="D578" s="6">
        <v>43.1</v>
      </c>
      <c r="E578" s="9">
        <v>185.33</v>
      </c>
      <c r="F578" s="15">
        <f>IFERROR(PRD[[#This Row],[VALOR]]/PRD[[#This Row],[KGS]],"")</f>
        <v>4.3</v>
      </c>
      <c r="H578" s="27"/>
    </row>
    <row r="579" spans="1:8" x14ac:dyDescent="0.25">
      <c r="A579" s="21">
        <v>1102200</v>
      </c>
      <c r="B579" s="1">
        <v>44986</v>
      </c>
      <c r="C579" t="s">
        <v>117</v>
      </c>
      <c r="D579" s="6">
        <v>204.2</v>
      </c>
      <c r="E579" s="9">
        <v>728.19</v>
      </c>
      <c r="F579" s="15">
        <f>IFERROR(PRD[[#This Row],[VALOR]]/PRD[[#This Row],[KGS]],"")</f>
        <v>3.5660626836434872</v>
      </c>
      <c r="H579" s="27"/>
    </row>
    <row r="580" spans="1:8" x14ac:dyDescent="0.25">
      <c r="A580" s="21">
        <v>1102300</v>
      </c>
      <c r="B580" s="1">
        <v>44986</v>
      </c>
      <c r="C580" t="s">
        <v>119</v>
      </c>
      <c r="D580" s="6">
        <v>5439.1</v>
      </c>
      <c r="E580" s="9">
        <v>16924.28</v>
      </c>
      <c r="F580" s="15">
        <f>IFERROR(PRD[[#This Row],[VALOR]]/PRD[[#This Row],[KGS]],"")</f>
        <v>3.111595668401022</v>
      </c>
      <c r="H580" s="27"/>
    </row>
    <row r="581" spans="1:8" x14ac:dyDescent="0.25">
      <c r="A581" s="21">
        <v>1103000</v>
      </c>
      <c r="B581" s="1">
        <v>44986</v>
      </c>
      <c r="C581" t="s">
        <v>121</v>
      </c>
      <c r="D581" s="6">
        <v>1442.58</v>
      </c>
      <c r="E581" s="9">
        <v>2737.34</v>
      </c>
      <c r="F581" s="15">
        <f>IFERROR(PRD[[#This Row],[VALOR]]/PRD[[#This Row],[KGS]],"")</f>
        <v>1.897530812849201</v>
      </c>
      <c r="H581" s="27"/>
    </row>
    <row r="582" spans="1:8" x14ac:dyDescent="0.25">
      <c r="A582" s="21">
        <v>2010900</v>
      </c>
      <c r="B582" s="1">
        <v>44986</v>
      </c>
      <c r="C582" t="s">
        <v>125</v>
      </c>
      <c r="D582" s="6">
        <v>150</v>
      </c>
      <c r="E582" s="9">
        <v>210</v>
      </c>
      <c r="F582" s="15">
        <f>IFERROR(PRD[[#This Row],[VALOR]]/PRD[[#This Row],[KGS]],"")</f>
        <v>1.4</v>
      </c>
      <c r="H582" s="27"/>
    </row>
    <row r="583" spans="1:8" x14ac:dyDescent="0.25">
      <c r="A583" s="21">
        <v>2010902</v>
      </c>
      <c r="B583" s="1">
        <v>44986</v>
      </c>
      <c r="C583" t="s">
        <v>127</v>
      </c>
      <c r="D583" s="6">
        <v>240</v>
      </c>
      <c r="E583" s="9">
        <v>169</v>
      </c>
      <c r="F583" s="15">
        <f>IFERROR(PRD[[#This Row],[VALOR]]/PRD[[#This Row],[KGS]],"")</f>
        <v>0.70416666666666672</v>
      </c>
      <c r="H583" s="27"/>
    </row>
    <row r="584" spans="1:8" x14ac:dyDescent="0.25">
      <c r="A584" s="21">
        <v>2011700</v>
      </c>
      <c r="B584" s="1">
        <v>44986</v>
      </c>
      <c r="C584" t="s">
        <v>129</v>
      </c>
      <c r="D584" s="6">
        <v>31.1</v>
      </c>
      <c r="E584" s="9">
        <v>91.65</v>
      </c>
      <c r="F584" s="15">
        <f>IFERROR(PRD[[#This Row],[VALOR]]/PRD[[#This Row],[KGS]],"")</f>
        <v>2.946945337620579</v>
      </c>
      <c r="H584" s="27"/>
    </row>
    <row r="585" spans="1:8" x14ac:dyDescent="0.25">
      <c r="A585" s="21">
        <v>3020103</v>
      </c>
      <c r="B585" s="1">
        <v>44986</v>
      </c>
      <c r="C585" t="s">
        <v>131</v>
      </c>
      <c r="D585" s="6">
        <v>6138.86</v>
      </c>
      <c r="E585" s="9">
        <v>19775.28</v>
      </c>
      <c r="F585" s="15">
        <f>IFERROR(PRD[[#This Row],[VALOR]]/PRD[[#This Row],[KGS]],"")</f>
        <v>3.2213277383748773</v>
      </c>
      <c r="H585" s="27"/>
    </row>
    <row r="586" spans="1:8" x14ac:dyDescent="0.25">
      <c r="A586" s="21">
        <v>3020212</v>
      </c>
      <c r="B586" s="1">
        <v>44986</v>
      </c>
      <c r="C586" t="s">
        <v>133</v>
      </c>
      <c r="D586" s="6">
        <v>1299.75</v>
      </c>
      <c r="E586" s="9">
        <v>5001.03</v>
      </c>
      <c r="F586" s="15">
        <f>IFERROR(PRD[[#This Row],[VALOR]]/PRD[[#This Row],[KGS]],"")</f>
        <v>3.8476860934795152</v>
      </c>
      <c r="H586" s="27"/>
    </row>
    <row r="587" spans="1:8" x14ac:dyDescent="0.25">
      <c r="A587" s="21">
        <v>3020214</v>
      </c>
      <c r="B587" s="1">
        <v>44986</v>
      </c>
      <c r="C587" t="s">
        <v>135</v>
      </c>
      <c r="D587" s="6">
        <v>532.5</v>
      </c>
      <c r="E587" s="9">
        <v>1968.81</v>
      </c>
      <c r="F587" s="15">
        <f>IFERROR(PRD[[#This Row],[VALOR]]/PRD[[#This Row],[KGS]],"")</f>
        <v>3.6972957746478872</v>
      </c>
      <c r="H587" s="27"/>
    </row>
    <row r="588" spans="1:8" x14ac:dyDescent="0.25">
      <c r="A588" s="21">
        <v>3020315</v>
      </c>
      <c r="B588" s="1">
        <v>44986</v>
      </c>
      <c r="C588" t="s">
        <v>137</v>
      </c>
      <c r="D588" s="6">
        <v>2210.92</v>
      </c>
      <c r="E588" s="9">
        <v>8235.92</v>
      </c>
      <c r="F588" s="15">
        <f>IFERROR(PRD[[#This Row],[VALOR]]/PRD[[#This Row],[KGS]],"")</f>
        <v>3.7251099089971595</v>
      </c>
      <c r="H588" s="27"/>
    </row>
    <row r="589" spans="1:8" x14ac:dyDescent="0.25">
      <c r="A589" s="21">
        <v>3020316</v>
      </c>
      <c r="B589" s="1">
        <v>44986</v>
      </c>
      <c r="C589" t="s">
        <v>139</v>
      </c>
      <c r="D589" s="6">
        <v>416.28</v>
      </c>
      <c r="E589" s="9">
        <v>1430.23</v>
      </c>
      <c r="F589" s="15">
        <f>IFERROR(PRD[[#This Row],[VALOR]]/PRD[[#This Row],[KGS]],"")</f>
        <v>3.4357403670606326</v>
      </c>
      <c r="H589" s="27"/>
    </row>
    <row r="590" spans="1:8" x14ac:dyDescent="0.25">
      <c r="A590" s="21">
        <v>3020402</v>
      </c>
      <c r="B590" s="1">
        <v>44986</v>
      </c>
      <c r="C590" t="s">
        <v>141</v>
      </c>
      <c r="D590" s="6">
        <v>1684.31</v>
      </c>
      <c r="E590" s="9">
        <v>5953.19</v>
      </c>
      <c r="F590" s="15">
        <f>IFERROR(PRD[[#This Row],[VALOR]]/PRD[[#This Row],[KGS]],"")</f>
        <v>3.5344978062233197</v>
      </c>
      <c r="H590" s="27"/>
    </row>
    <row r="591" spans="1:8" x14ac:dyDescent="0.25">
      <c r="A591" s="21">
        <v>3020504</v>
      </c>
      <c r="B591" s="1">
        <v>44986</v>
      </c>
      <c r="C591" t="s">
        <v>143</v>
      </c>
      <c r="D591" s="6">
        <v>536.61</v>
      </c>
      <c r="E591" s="9">
        <v>2045.31</v>
      </c>
      <c r="F591" s="15">
        <f>IFERROR(PRD[[#This Row],[VALOR]]/PRD[[#This Row],[KGS]],"")</f>
        <v>3.8115391066137416</v>
      </c>
      <c r="H591" s="27"/>
    </row>
    <row r="592" spans="1:8" x14ac:dyDescent="0.25">
      <c r="A592" s="21">
        <v>3020622</v>
      </c>
      <c r="B592" s="1">
        <v>44986</v>
      </c>
      <c r="C592" t="s">
        <v>145</v>
      </c>
      <c r="D592" s="6">
        <v>4986.49</v>
      </c>
      <c r="E592" s="9">
        <v>18249.66</v>
      </c>
      <c r="F592" s="15">
        <f>IFERROR(PRD[[#This Row],[VALOR]]/PRD[[#This Row],[KGS]],"")</f>
        <v>3.6598208358985982</v>
      </c>
      <c r="H592" s="27"/>
    </row>
    <row r="593" spans="1:8" x14ac:dyDescent="0.25">
      <c r="A593" s="21">
        <v>3020623</v>
      </c>
      <c r="B593" s="1">
        <v>44986</v>
      </c>
      <c r="C593" t="s">
        <v>147</v>
      </c>
      <c r="D593" s="6">
        <v>1093.93</v>
      </c>
      <c r="E593" s="9">
        <v>4215.99</v>
      </c>
      <c r="F593" s="15">
        <f>IFERROR(PRD[[#This Row],[VALOR]]/PRD[[#This Row],[KGS]],"")</f>
        <v>3.8539851727258596</v>
      </c>
      <c r="H593" s="27"/>
    </row>
    <row r="594" spans="1:8" x14ac:dyDescent="0.25">
      <c r="A594" s="21">
        <v>3020725</v>
      </c>
      <c r="B594" s="1">
        <v>44986</v>
      </c>
      <c r="C594" t="s">
        <v>149</v>
      </c>
      <c r="D594" s="6">
        <v>459.51</v>
      </c>
      <c r="E594" s="9">
        <v>1814.07</v>
      </c>
      <c r="F594" s="15">
        <f>IFERROR(PRD[[#This Row],[VALOR]]/PRD[[#This Row],[KGS]],"")</f>
        <v>3.9478357380688123</v>
      </c>
      <c r="H594" s="27"/>
    </row>
    <row r="595" spans="1:8" x14ac:dyDescent="0.25">
      <c r="A595" s="21">
        <v>3020823</v>
      </c>
      <c r="B595" s="1">
        <v>44986</v>
      </c>
      <c r="C595" t="s">
        <v>151</v>
      </c>
      <c r="D595" s="6">
        <v>1726.59</v>
      </c>
      <c r="E595" s="9">
        <v>6596.66</v>
      </c>
      <c r="F595" s="15">
        <f>IFERROR(PRD[[#This Row],[VALOR]]/PRD[[#This Row],[KGS]],"")</f>
        <v>3.8206291012921425</v>
      </c>
      <c r="H595" s="27"/>
    </row>
    <row r="596" spans="1:8" x14ac:dyDescent="0.25">
      <c r="A596" s="21">
        <v>3020824</v>
      </c>
      <c r="B596" s="1">
        <v>44986</v>
      </c>
      <c r="C596" t="s">
        <v>153</v>
      </c>
      <c r="D596" s="6">
        <v>2435.4899999999998</v>
      </c>
      <c r="E596" s="9">
        <v>8843.66</v>
      </c>
      <c r="F596" s="15">
        <f>IFERROR(PRD[[#This Row],[VALOR]]/PRD[[#This Row],[KGS]],"")</f>
        <v>3.6311625176042606</v>
      </c>
      <c r="H596" s="27"/>
    </row>
    <row r="597" spans="1:8" x14ac:dyDescent="0.25">
      <c r="A597" s="21">
        <v>3020924</v>
      </c>
      <c r="B597" s="1">
        <v>44986</v>
      </c>
      <c r="C597" t="s">
        <v>155</v>
      </c>
      <c r="D597" s="6">
        <v>1284.72</v>
      </c>
      <c r="E597" s="9">
        <v>5008.8599999999997</v>
      </c>
      <c r="F597" s="15">
        <f>IFERROR(PRD[[#This Row],[VALOR]]/PRD[[#This Row],[KGS]],"")</f>
        <v>3.8987950681860637</v>
      </c>
      <c r="H597" s="27"/>
    </row>
    <row r="598" spans="1:8" x14ac:dyDescent="0.25">
      <c r="A598" s="21">
        <v>3020925</v>
      </c>
      <c r="B598" s="1">
        <v>44986</v>
      </c>
      <c r="C598" t="s">
        <v>157</v>
      </c>
      <c r="D598" s="6">
        <v>1915.96</v>
      </c>
      <c r="E598" s="9">
        <v>7255.87</v>
      </c>
      <c r="F598" s="15">
        <f>IFERROR(PRD[[#This Row],[VALOR]]/PRD[[#This Row],[KGS]],"")</f>
        <v>3.7870675796989497</v>
      </c>
      <c r="H598" s="27"/>
    </row>
    <row r="599" spans="1:8" x14ac:dyDescent="0.25">
      <c r="A599" s="21">
        <v>3021435</v>
      </c>
      <c r="B599" s="1">
        <v>44986</v>
      </c>
      <c r="C599" t="s">
        <v>159</v>
      </c>
      <c r="D599" s="6">
        <v>485.47</v>
      </c>
      <c r="E599" s="9">
        <v>1567.03</v>
      </c>
      <c r="F599" s="15">
        <f>IFERROR(PRD[[#This Row],[VALOR]]/PRD[[#This Row],[KGS]],"")</f>
        <v>3.2278616598347991</v>
      </c>
      <c r="H599" s="27"/>
    </row>
    <row r="600" spans="1:8" x14ac:dyDescent="0.25">
      <c r="A600" s="21">
        <v>3021537</v>
      </c>
      <c r="B600" s="1">
        <v>44986</v>
      </c>
      <c r="C600" t="s">
        <v>161</v>
      </c>
      <c r="D600" s="6">
        <v>60.45</v>
      </c>
      <c r="E600" s="9">
        <v>197.22</v>
      </c>
      <c r="F600" s="15">
        <f>IFERROR(PRD[[#This Row],[VALOR]]/PRD[[#This Row],[KGS]],"")</f>
        <v>3.2625310173697271</v>
      </c>
      <c r="H600" s="27"/>
    </row>
    <row r="601" spans="1:8" x14ac:dyDescent="0.25">
      <c r="A601" s="21">
        <v>3021638</v>
      </c>
      <c r="B601" s="1">
        <v>44986</v>
      </c>
      <c r="C601" t="s">
        <v>163</v>
      </c>
      <c r="D601" s="6">
        <v>53.77</v>
      </c>
      <c r="E601" s="9">
        <v>184.12</v>
      </c>
      <c r="F601" s="15">
        <f>IFERROR(PRD[[#This Row],[VALOR]]/PRD[[#This Row],[KGS]],"")</f>
        <v>3.4242142458620046</v>
      </c>
      <c r="H601" s="27"/>
    </row>
    <row r="602" spans="1:8" x14ac:dyDescent="0.25">
      <c r="A602" s="21">
        <v>3021739</v>
      </c>
      <c r="B602" s="1">
        <v>44986</v>
      </c>
      <c r="C602" t="s">
        <v>165</v>
      </c>
      <c r="D602" s="6">
        <v>304.73</v>
      </c>
      <c r="E602" s="9">
        <v>915.47</v>
      </c>
      <c r="F602" s="15">
        <f>IFERROR(PRD[[#This Row],[VALOR]]/PRD[[#This Row],[KGS]],"")</f>
        <v>3.0042004397335345</v>
      </c>
      <c r="H602" s="27"/>
    </row>
    <row r="603" spans="1:8" x14ac:dyDescent="0.25">
      <c r="A603" s="21">
        <v>3021760</v>
      </c>
      <c r="B603" s="1">
        <v>44986</v>
      </c>
      <c r="C603" t="s">
        <v>167</v>
      </c>
      <c r="D603" s="6">
        <v>1746.9</v>
      </c>
      <c r="E603" s="9">
        <v>4296.8900000000003</v>
      </c>
      <c r="F603" s="15">
        <f>IFERROR(PRD[[#This Row],[VALOR]]/PRD[[#This Row],[KGS]],"")</f>
        <v>2.4597229377754881</v>
      </c>
      <c r="H603" s="27"/>
    </row>
    <row r="604" spans="1:8" x14ac:dyDescent="0.25">
      <c r="A604" s="21">
        <v>3021811</v>
      </c>
      <c r="B604" s="1">
        <v>44986</v>
      </c>
      <c r="C604" t="s">
        <v>169</v>
      </c>
      <c r="D604" s="6">
        <v>489.5</v>
      </c>
      <c r="E604" s="9">
        <v>1231.67</v>
      </c>
      <c r="F604" s="15">
        <f>IFERROR(PRD[[#This Row],[VALOR]]/PRD[[#This Row],[KGS]],"")</f>
        <v>2.5161797752808992</v>
      </c>
      <c r="H604" s="27"/>
    </row>
    <row r="605" spans="1:8" x14ac:dyDescent="0.25">
      <c r="A605" s="21">
        <v>3021812</v>
      </c>
      <c r="B605" s="1">
        <v>44986</v>
      </c>
      <c r="C605" t="s">
        <v>171</v>
      </c>
      <c r="D605" s="6">
        <v>823.5</v>
      </c>
      <c r="E605" s="9">
        <v>1940.21</v>
      </c>
      <c r="F605" s="15">
        <f>IFERROR(PRD[[#This Row],[VALOR]]/PRD[[#This Row],[KGS]],"")</f>
        <v>2.3560534304796601</v>
      </c>
      <c r="H605" s="27"/>
    </row>
    <row r="606" spans="1:8" x14ac:dyDescent="0.25">
      <c r="A606" s="21">
        <v>3022100</v>
      </c>
      <c r="B606" s="1">
        <v>44986</v>
      </c>
      <c r="C606" t="s">
        <v>173</v>
      </c>
      <c r="D606" s="6">
        <v>69.2</v>
      </c>
      <c r="E606" s="9">
        <v>271.41000000000003</v>
      </c>
      <c r="F606" s="15">
        <f>IFERROR(PRD[[#This Row],[VALOR]]/PRD[[#This Row],[KGS]],"")</f>
        <v>3.9221098265895957</v>
      </c>
      <c r="H606" s="27"/>
    </row>
    <row r="607" spans="1:8" x14ac:dyDescent="0.25">
      <c r="A607" s="21">
        <v>3022208</v>
      </c>
      <c r="B607" s="1">
        <v>44986</v>
      </c>
      <c r="C607" t="s">
        <v>307</v>
      </c>
      <c r="D607" s="6">
        <v>179.95</v>
      </c>
      <c r="E607" s="9">
        <v>693.76</v>
      </c>
      <c r="F607" s="15">
        <f>IFERROR(PRD[[#This Row],[VALOR]]/PRD[[#This Row],[KGS]],"")</f>
        <v>3.8552931369824952</v>
      </c>
      <c r="H607" s="27"/>
    </row>
    <row r="608" spans="1:8" x14ac:dyDescent="0.25">
      <c r="A608" s="21">
        <v>3022311</v>
      </c>
      <c r="B608" s="1">
        <v>44986</v>
      </c>
      <c r="C608" t="s">
        <v>176</v>
      </c>
      <c r="D608" s="6">
        <v>2246.75</v>
      </c>
      <c r="E608" s="9">
        <v>5363.9</v>
      </c>
      <c r="F608" s="15">
        <f>IFERROR(PRD[[#This Row],[VALOR]]/PRD[[#This Row],[KGS]],"")</f>
        <v>2.3874040280405029</v>
      </c>
      <c r="H608" s="27"/>
    </row>
    <row r="609" spans="1:8" x14ac:dyDescent="0.25">
      <c r="A609" s="21">
        <v>3022312</v>
      </c>
      <c r="B609" s="1">
        <v>44986</v>
      </c>
      <c r="C609" t="s">
        <v>308</v>
      </c>
      <c r="D609" s="6">
        <v>117.43</v>
      </c>
      <c r="E609" s="9">
        <v>328.82</v>
      </c>
      <c r="F609" s="15">
        <f>IFERROR(PRD[[#This Row],[VALOR]]/PRD[[#This Row],[KGS]],"")</f>
        <v>2.8001362513838028</v>
      </c>
      <c r="H609" s="27"/>
    </row>
    <row r="610" spans="1:8" x14ac:dyDescent="0.25">
      <c r="A610" s="21">
        <v>3022411</v>
      </c>
      <c r="B610" s="1">
        <v>44986</v>
      </c>
      <c r="C610" t="s">
        <v>178</v>
      </c>
      <c r="D610" s="6">
        <v>117.96</v>
      </c>
      <c r="E610" s="9">
        <v>301.69</v>
      </c>
      <c r="F610" s="15">
        <f>IFERROR(PRD[[#This Row],[VALOR]]/PRD[[#This Row],[KGS]],"")</f>
        <v>2.5575618853848763</v>
      </c>
      <c r="H610" s="27"/>
    </row>
    <row r="611" spans="1:8" x14ac:dyDescent="0.25">
      <c r="A611" s="21">
        <v>3022511</v>
      </c>
      <c r="B611" s="1">
        <v>44986</v>
      </c>
      <c r="C611" t="s">
        <v>180</v>
      </c>
      <c r="D611" s="6">
        <v>25.87</v>
      </c>
      <c r="E611" s="9">
        <v>66.12</v>
      </c>
      <c r="F611" s="15">
        <f>IFERROR(PRD[[#This Row],[VALOR]]/PRD[[#This Row],[KGS]],"")</f>
        <v>2.55585620409741</v>
      </c>
      <c r="H611" s="27"/>
    </row>
    <row r="612" spans="1:8" x14ac:dyDescent="0.25">
      <c r="A612" s="21">
        <v>3022601</v>
      </c>
      <c r="B612" s="1">
        <v>44986</v>
      </c>
      <c r="C612" t="s">
        <v>182</v>
      </c>
      <c r="D612" s="6">
        <v>332</v>
      </c>
      <c r="E612" s="9">
        <v>1484.55</v>
      </c>
      <c r="F612" s="15">
        <f>IFERROR(PRD[[#This Row],[VALOR]]/PRD[[#This Row],[KGS]],"")</f>
        <v>4.4715361445783133</v>
      </c>
      <c r="H612" s="27"/>
    </row>
    <row r="613" spans="1:8" x14ac:dyDescent="0.25">
      <c r="A613" s="21">
        <v>3022703</v>
      </c>
      <c r="B613" s="1">
        <v>44986</v>
      </c>
      <c r="C613" t="s">
        <v>309</v>
      </c>
      <c r="D613" s="6">
        <v>757</v>
      </c>
      <c r="E613" s="9">
        <v>1745.95</v>
      </c>
      <c r="F613" s="15">
        <f>IFERROR(PRD[[#This Row],[VALOR]]/PRD[[#This Row],[KGS]],"")</f>
        <v>2.3064068692206079</v>
      </c>
      <c r="H613" s="27"/>
    </row>
    <row r="614" spans="1:8" x14ac:dyDescent="0.25">
      <c r="A614" s="21">
        <v>3022805</v>
      </c>
      <c r="B614" s="1">
        <v>44986</v>
      </c>
      <c r="C614" t="s">
        <v>186</v>
      </c>
      <c r="D614" s="6">
        <v>1560</v>
      </c>
      <c r="E614" s="9">
        <v>3062.5</v>
      </c>
      <c r="F614" s="15">
        <f>IFERROR(PRD[[#This Row],[VALOR]]/PRD[[#This Row],[KGS]],"")</f>
        <v>1.9631410256410255</v>
      </c>
      <c r="H614" s="27"/>
    </row>
    <row r="615" spans="1:8" x14ac:dyDescent="0.25">
      <c r="A615" s="21">
        <v>3022906</v>
      </c>
      <c r="B615" s="1">
        <v>44986</v>
      </c>
      <c r="C615" t="s">
        <v>188</v>
      </c>
      <c r="D615" s="6">
        <v>4390</v>
      </c>
      <c r="E615" s="9">
        <v>8671.5</v>
      </c>
      <c r="F615" s="15">
        <f>IFERROR(PRD[[#This Row],[VALOR]]/PRD[[#This Row],[KGS]],"")</f>
        <v>1.9752847380410024</v>
      </c>
      <c r="H615" s="27"/>
    </row>
    <row r="616" spans="1:8" x14ac:dyDescent="0.25">
      <c r="A616" s="21">
        <v>3023007</v>
      </c>
      <c r="B616" s="1">
        <v>44986</v>
      </c>
      <c r="C616" t="s">
        <v>190</v>
      </c>
      <c r="D616" s="6">
        <v>1600</v>
      </c>
      <c r="E616" s="9">
        <v>3212.2</v>
      </c>
      <c r="F616" s="15">
        <f>IFERROR(PRD[[#This Row],[VALOR]]/PRD[[#This Row],[KGS]],"")</f>
        <v>2.007625</v>
      </c>
      <c r="H616" s="27"/>
    </row>
    <row r="617" spans="1:8" x14ac:dyDescent="0.25">
      <c r="A617" s="21">
        <v>3024001</v>
      </c>
      <c r="B617" s="1">
        <v>44986</v>
      </c>
      <c r="C617" t="s">
        <v>192</v>
      </c>
      <c r="D617" s="6">
        <v>1489.94</v>
      </c>
      <c r="E617" s="9">
        <v>5678.24</v>
      </c>
      <c r="F617" s="15">
        <f>IFERROR(PRD[[#This Row],[VALOR]]/PRD[[#This Row],[KGS]],"")</f>
        <v>3.8110527940722441</v>
      </c>
      <c r="H617" s="27"/>
    </row>
    <row r="618" spans="1:8" x14ac:dyDescent="0.25">
      <c r="A618" s="21">
        <v>3024003</v>
      </c>
      <c r="B618" s="1">
        <v>44986</v>
      </c>
      <c r="C618" t="s">
        <v>196</v>
      </c>
      <c r="D618" s="6">
        <v>450.74</v>
      </c>
      <c r="E618" s="9">
        <v>1168.55</v>
      </c>
      <c r="F618" s="15">
        <f>IFERROR(PRD[[#This Row],[VALOR]]/PRD[[#This Row],[KGS]],"")</f>
        <v>2.5925145316590492</v>
      </c>
      <c r="H618" s="27"/>
    </row>
    <row r="619" spans="1:8" x14ac:dyDescent="0.25">
      <c r="A619" s="21">
        <v>3024004</v>
      </c>
      <c r="B619" s="1">
        <v>44986</v>
      </c>
      <c r="C619" t="s">
        <v>198</v>
      </c>
      <c r="D619" s="6">
        <v>1705.02</v>
      </c>
      <c r="E619" s="9">
        <v>1260.05</v>
      </c>
      <c r="F619" s="15">
        <f>IFERROR(PRD[[#This Row],[VALOR]]/PRD[[#This Row],[KGS]],"")</f>
        <v>0.73902358916610944</v>
      </c>
      <c r="H619" s="27"/>
    </row>
    <row r="620" spans="1:8" x14ac:dyDescent="0.25">
      <c r="A620" s="21">
        <v>4030100</v>
      </c>
      <c r="B620" s="1">
        <v>44986</v>
      </c>
      <c r="C620" t="s">
        <v>200</v>
      </c>
      <c r="D620" s="6">
        <v>394.5</v>
      </c>
      <c r="E620" s="9">
        <v>2439.4</v>
      </c>
      <c r="F620" s="15">
        <f>IFERROR(PRD[[#This Row],[VALOR]]/PRD[[#This Row],[KGS]],"")</f>
        <v>6.1835234474017744</v>
      </c>
      <c r="H620" s="27"/>
    </row>
    <row r="621" spans="1:8" x14ac:dyDescent="0.25">
      <c r="A621" s="21">
        <v>4030211</v>
      </c>
      <c r="B621" s="1">
        <v>44986</v>
      </c>
      <c r="C621" t="s">
        <v>202</v>
      </c>
      <c r="D621" s="6">
        <v>879</v>
      </c>
      <c r="E621" s="9">
        <v>5341.6</v>
      </c>
      <c r="F621" s="15">
        <f>IFERROR(PRD[[#This Row],[VALOR]]/PRD[[#This Row],[KGS]],"")</f>
        <v>6.0769055745164966</v>
      </c>
      <c r="H621" s="27"/>
    </row>
    <row r="622" spans="1:8" x14ac:dyDescent="0.25">
      <c r="A622" s="21">
        <v>4030311</v>
      </c>
      <c r="B622" s="1">
        <v>44986</v>
      </c>
      <c r="C622" t="s">
        <v>311</v>
      </c>
      <c r="D622" s="6">
        <v>341.51</v>
      </c>
      <c r="E622" s="9">
        <v>2368.5500000000002</v>
      </c>
      <c r="F622" s="15">
        <f>IFERROR(PRD[[#This Row],[VALOR]]/PRD[[#This Row],[KGS]],"")</f>
        <v>6.9355216538315139</v>
      </c>
      <c r="H622" s="27"/>
    </row>
    <row r="623" spans="1:8" x14ac:dyDescent="0.25">
      <c r="A623" s="21">
        <v>4030400</v>
      </c>
      <c r="B623" s="1">
        <v>44986</v>
      </c>
      <c r="C623" t="s">
        <v>312</v>
      </c>
      <c r="D623" s="6">
        <v>199.18</v>
      </c>
      <c r="E623" s="9">
        <v>1036.6099999999999</v>
      </c>
      <c r="F623" s="15">
        <f>IFERROR(PRD[[#This Row],[VALOR]]/PRD[[#This Row],[KGS]],"")</f>
        <v>5.2043879907621244</v>
      </c>
      <c r="H623" s="27"/>
    </row>
    <row r="624" spans="1:8" x14ac:dyDescent="0.25">
      <c r="A624" s="21">
        <v>4030511</v>
      </c>
      <c r="B624" s="1">
        <v>44986</v>
      </c>
      <c r="C624" t="s">
        <v>208</v>
      </c>
      <c r="D624" s="6">
        <v>996</v>
      </c>
      <c r="E624" s="9">
        <v>4712.68</v>
      </c>
      <c r="F624" s="15">
        <f>IFERROR(PRD[[#This Row],[VALOR]]/PRD[[#This Row],[KGS]],"")</f>
        <v>4.7316064257028119</v>
      </c>
      <c r="H624" s="27"/>
    </row>
    <row r="625" spans="1:8" x14ac:dyDescent="0.25">
      <c r="A625" s="21">
        <v>4030600</v>
      </c>
      <c r="B625" s="1">
        <v>44986</v>
      </c>
      <c r="C625" t="s">
        <v>212</v>
      </c>
      <c r="D625" s="6">
        <v>1140.21</v>
      </c>
      <c r="E625" s="9">
        <v>3374.27</v>
      </c>
      <c r="F625" s="15">
        <f>IFERROR(PRD[[#This Row],[VALOR]]/PRD[[#This Row],[KGS]],"")</f>
        <v>2.9593408231816944</v>
      </c>
      <c r="H625" s="27"/>
    </row>
    <row r="626" spans="1:8" x14ac:dyDescent="0.25">
      <c r="A626" s="21">
        <v>4030711</v>
      </c>
      <c r="B626" s="1">
        <v>44986</v>
      </c>
      <c r="C626" t="s">
        <v>214</v>
      </c>
      <c r="D626" s="6">
        <v>1543.37</v>
      </c>
      <c r="E626" s="9">
        <v>5078.3599999999997</v>
      </c>
      <c r="F626" s="15">
        <f>IFERROR(PRD[[#This Row],[VALOR]]/PRD[[#This Row],[KGS]],"")</f>
        <v>3.2904358643747127</v>
      </c>
      <c r="H626" s="27"/>
    </row>
    <row r="627" spans="1:8" x14ac:dyDescent="0.25">
      <c r="A627" s="21">
        <v>4030811</v>
      </c>
      <c r="B627" s="1">
        <v>44986</v>
      </c>
      <c r="C627" t="s">
        <v>216</v>
      </c>
      <c r="D627" s="6">
        <v>2253.56</v>
      </c>
      <c r="E627" s="9">
        <v>7022.99</v>
      </c>
      <c r="F627" s="15">
        <f>IFERROR(PRD[[#This Row],[VALOR]]/PRD[[#This Row],[KGS]],"")</f>
        <v>3.1163980546335575</v>
      </c>
      <c r="H627" s="27"/>
    </row>
    <row r="628" spans="1:8" x14ac:dyDescent="0.25">
      <c r="A628" s="21">
        <v>4030813</v>
      </c>
      <c r="B628" s="1">
        <v>44986</v>
      </c>
      <c r="C628" t="s">
        <v>218</v>
      </c>
      <c r="D628" s="6">
        <v>2891.8</v>
      </c>
      <c r="E628" s="9">
        <v>8515.15</v>
      </c>
      <c r="F628" s="15">
        <f>IFERROR(PRD[[#This Row],[VALOR]]/PRD[[#This Row],[KGS]],"")</f>
        <v>2.9445846877377408</v>
      </c>
      <c r="H628" s="27"/>
    </row>
    <row r="629" spans="1:8" x14ac:dyDescent="0.25">
      <c r="A629" s="21">
        <v>4030900</v>
      </c>
      <c r="B629" s="1">
        <v>44986</v>
      </c>
      <c r="C629" t="s">
        <v>220</v>
      </c>
      <c r="D629" s="6">
        <v>4552.7</v>
      </c>
      <c r="E629" s="9">
        <v>14162.03</v>
      </c>
      <c r="F629" s="15">
        <f>IFERROR(PRD[[#This Row],[VALOR]]/PRD[[#This Row],[KGS]],"")</f>
        <v>3.1106881630680698</v>
      </c>
      <c r="H629" s="27"/>
    </row>
    <row r="630" spans="1:8" x14ac:dyDescent="0.25">
      <c r="A630" s="21">
        <v>4030910</v>
      </c>
      <c r="B630" s="1">
        <v>44986</v>
      </c>
      <c r="C630" t="s">
        <v>222</v>
      </c>
      <c r="D630" s="6">
        <v>177.07</v>
      </c>
      <c r="E630" s="9">
        <v>586.01</v>
      </c>
      <c r="F630" s="15">
        <f>IFERROR(PRD[[#This Row],[VALOR]]/PRD[[#This Row],[KGS]],"")</f>
        <v>3.3094821257129947</v>
      </c>
      <c r="H630" s="27"/>
    </row>
    <row r="631" spans="1:8" x14ac:dyDescent="0.25">
      <c r="A631" s="21">
        <v>4031012</v>
      </c>
      <c r="B631" s="1">
        <v>44986</v>
      </c>
      <c r="C631" t="s">
        <v>224</v>
      </c>
      <c r="D631" s="6">
        <v>1400.94</v>
      </c>
      <c r="E631" s="9">
        <v>4251.75</v>
      </c>
      <c r="F631" s="15">
        <f>IFERROR(PRD[[#This Row],[VALOR]]/PRD[[#This Row],[KGS]],"")</f>
        <v>3.0349265493168871</v>
      </c>
      <c r="H631" s="27"/>
    </row>
    <row r="632" spans="1:8" x14ac:dyDescent="0.25">
      <c r="A632" s="21">
        <v>4031017</v>
      </c>
      <c r="B632" s="1">
        <v>44986</v>
      </c>
      <c r="C632" t="s">
        <v>226</v>
      </c>
      <c r="D632" s="6">
        <v>2968</v>
      </c>
      <c r="E632" s="9">
        <v>1826.59</v>
      </c>
      <c r="F632" s="15">
        <f>IFERROR(PRD[[#This Row],[VALOR]]/PRD[[#This Row],[KGS]],"")</f>
        <v>0.61542789757412397</v>
      </c>
      <c r="H632" s="27"/>
    </row>
    <row r="633" spans="1:8" x14ac:dyDescent="0.25">
      <c r="A633" s="21">
        <v>4031102</v>
      </c>
      <c r="B633" s="1">
        <v>44986</v>
      </c>
      <c r="C633" t="s">
        <v>228</v>
      </c>
      <c r="D633" s="6">
        <v>9483.11</v>
      </c>
      <c r="E633" s="9">
        <v>27126.44</v>
      </c>
      <c r="F633" s="15">
        <f>IFERROR(PRD[[#This Row],[VALOR]]/PRD[[#This Row],[KGS]],"")</f>
        <v>2.860500405457703</v>
      </c>
      <c r="H633" s="27"/>
    </row>
    <row r="634" spans="1:8" x14ac:dyDescent="0.25">
      <c r="A634" s="21">
        <v>4031200</v>
      </c>
      <c r="B634" s="1">
        <v>44986</v>
      </c>
      <c r="C634" t="s">
        <v>230</v>
      </c>
      <c r="D634" s="6">
        <v>1216</v>
      </c>
      <c r="E634" s="9">
        <v>3578.18</v>
      </c>
      <c r="F634" s="15">
        <f>IFERROR(PRD[[#This Row],[VALOR]]/PRD[[#This Row],[KGS]],"")</f>
        <v>2.9425822368421053</v>
      </c>
      <c r="H634" s="27"/>
    </row>
    <row r="635" spans="1:8" x14ac:dyDescent="0.25">
      <c r="A635" s="21">
        <v>4031304</v>
      </c>
      <c r="B635" s="1">
        <v>44986</v>
      </c>
      <c r="C635" t="s">
        <v>232</v>
      </c>
      <c r="D635" s="6">
        <v>1774.25</v>
      </c>
      <c r="E635" s="9">
        <v>4910.07</v>
      </c>
      <c r="F635" s="15">
        <f>IFERROR(PRD[[#This Row],[VALOR]]/PRD[[#This Row],[KGS]],"")</f>
        <v>2.7674059461744398</v>
      </c>
      <c r="H635" s="27"/>
    </row>
    <row r="636" spans="1:8" x14ac:dyDescent="0.25">
      <c r="A636" s="21">
        <v>4031411</v>
      </c>
      <c r="B636" s="1">
        <v>44986</v>
      </c>
      <c r="C636" t="s">
        <v>234</v>
      </c>
      <c r="D636" s="6">
        <v>155.30000000000001</v>
      </c>
      <c r="E636" s="9">
        <v>470.61</v>
      </c>
      <c r="F636" s="15">
        <f>IFERROR(PRD[[#This Row],[VALOR]]/PRD[[#This Row],[KGS]],"")</f>
        <v>3.0303283966516417</v>
      </c>
      <c r="H636" s="27"/>
    </row>
    <row r="637" spans="1:8" x14ac:dyDescent="0.25">
      <c r="A637" s="21">
        <v>4031500</v>
      </c>
      <c r="B637" s="1">
        <v>44986</v>
      </c>
      <c r="C637" t="s">
        <v>236</v>
      </c>
      <c r="D637" s="6">
        <v>6197</v>
      </c>
      <c r="E637" s="9">
        <v>17232.98</v>
      </c>
      <c r="F637" s="15">
        <f>IFERROR(PRD[[#This Row],[VALOR]]/PRD[[#This Row],[KGS]],"")</f>
        <v>2.7808584799096336</v>
      </c>
      <c r="H637" s="27"/>
    </row>
    <row r="638" spans="1:8" x14ac:dyDescent="0.25">
      <c r="A638" s="21">
        <v>4031604</v>
      </c>
      <c r="B638" s="1">
        <v>44986</v>
      </c>
      <c r="C638" t="s">
        <v>238</v>
      </c>
      <c r="D638" s="6">
        <v>5893.7</v>
      </c>
      <c r="E638" s="9">
        <v>15535.69</v>
      </c>
      <c r="F638" s="15">
        <f>IFERROR(PRD[[#This Row],[VALOR]]/PRD[[#This Row],[KGS]],"")</f>
        <v>2.6359824897772199</v>
      </c>
      <c r="H638" s="27"/>
    </row>
    <row r="639" spans="1:8" x14ac:dyDescent="0.25">
      <c r="A639" s="21">
        <v>4031605</v>
      </c>
      <c r="B639" s="1">
        <v>44986</v>
      </c>
      <c r="C639" t="s">
        <v>240</v>
      </c>
      <c r="D639" s="6">
        <v>78.849999999999994</v>
      </c>
      <c r="E639" s="9">
        <v>249.25</v>
      </c>
      <c r="F639" s="15">
        <f>IFERROR(PRD[[#This Row],[VALOR]]/PRD[[#This Row],[KGS]],"")</f>
        <v>3.1610653138871276</v>
      </c>
      <c r="H639" s="27"/>
    </row>
    <row r="640" spans="1:8" x14ac:dyDescent="0.25">
      <c r="A640" s="21">
        <v>4031700</v>
      </c>
      <c r="B640" s="1">
        <v>44986</v>
      </c>
      <c r="C640" t="s">
        <v>242</v>
      </c>
      <c r="D640" s="6">
        <v>653.70000000000005</v>
      </c>
      <c r="E640" s="9">
        <v>1946.18</v>
      </c>
      <c r="F640" s="15">
        <f>IFERROR(PRD[[#This Row],[VALOR]]/PRD[[#This Row],[KGS]],"")</f>
        <v>2.9771760746519811</v>
      </c>
      <c r="H640" s="27"/>
    </row>
    <row r="641" spans="1:8" x14ac:dyDescent="0.25">
      <c r="A641" s="21">
        <v>4031812</v>
      </c>
      <c r="B641" s="1">
        <v>44986</v>
      </c>
      <c r="C641" t="s">
        <v>244</v>
      </c>
      <c r="D641" s="6">
        <v>383</v>
      </c>
      <c r="E641" s="9">
        <v>1124.18</v>
      </c>
      <c r="F641" s="15">
        <f>IFERROR(PRD[[#This Row],[VALOR]]/PRD[[#This Row],[KGS]],"")</f>
        <v>2.9351958224543084</v>
      </c>
      <c r="H641" s="27"/>
    </row>
    <row r="642" spans="1:8" x14ac:dyDescent="0.25">
      <c r="A642" s="21">
        <v>4031813</v>
      </c>
      <c r="B642" s="1">
        <v>44986</v>
      </c>
      <c r="C642" t="s">
        <v>313</v>
      </c>
      <c r="D642" s="6">
        <v>245</v>
      </c>
      <c r="E642" s="9">
        <v>164.15</v>
      </c>
      <c r="F642" s="15">
        <f>IFERROR(PRD[[#This Row],[VALOR]]/PRD[[#This Row],[KGS]],"")</f>
        <v>0.67</v>
      </c>
      <c r="H642" s="27"/>
    </row>
    <row r="643" spans="1:8" x14ac:dyDescent="0.25">
      <c r="A643" s="21">
        <v>4031904</v>
      </c>
      <c r="B643" s="1">
        <v>44986</v>
      </c>
      <c r="C643" t="s">
        <v>246</v>
      </c>
      <c r="D643" s="6">
        <v>978.59</v>
      </c>
      <c r="E643" s="9">
        <v>2773.75</v>
      </c>
      <c r="F643" s="15">
        <f>IFERROR(PRD[[#This Row],[VALOR]]/PRD[[#This Row],[KGS]],"")</f>
        <v>2.8344352588928969</v>
      </c>
      <c r="H643" s="27"/>
    </row>
    <row r="644" spans="1:8" x14ac:dyDescent="0.25">
      <c r="A644" s="21">
        <v>4032111</v>
      </c>
      <c r="B644" s="1">
        <v>44986</v>
      </c>
      <c r="C644" t="s">
        <v>314</v>
      </c>
      <c r="D644" s="6">
        <v>92.47</v>
      </c>
      <c r="E644" s="9">
        <v>469.44</v>
      </c>
      <c r="F644" s="15">
        <f>IFERROR(PRD[[#This Row],[VALOR]]/PRD[[#This Row],[KGS]],"")</f>
        <v>5.0766735157348331</v>
      </c>
      <c r="H644" s="27"/>
    </row>
    <row r="645" spans="1:8" x14ac:dyDescent="0.25">
      <c r="A645" s="21">
        <v>4032204</v>
      </c>
      <c r="B645" s="1">
        <v>44986</v>
      </c>
      <c r="C645" t="s">
        <v>315</v>
      </c>
      <c r="D645" s="6">
        <v>171.66</v>
      </c>
      <c r="E645" s="9">
        <v>917.92</v>
      </c>
      <c r="F645" s="15">
        <f>IFERROR(PRD[[#This Row],[VALOR]]/PRD[[#This Row],[KGS]],"")</f>
        <v>5.3473144588139343</v>
      </c>
      <c r="H645" s="27"/>
    </row>
    <row r="646" spans="1:8" x14ac:dyDescent="0.25">
      <c r="A646" s="21">
        <v>4032312</v>
      </c>
      <c r="B646" s="1">
        <v>44986</v>
      </c>
      <c r="C646" t="s">
        <v>252</v>
      </c>
      <c r="D646" s="6">
        <v>533.6</v>
      </c>
      <c r="E646" s="9">
        <v>2232.65</v>
      </c>
      <c r="F646" s="15">
        <f>IFERROR(PRD[[#This Row],[VALOR]]/PRD[[#This Row],[KGS]],"")</f>
        <v>4.184126686656672</v>
      </c>
      <c r="H646" s="27"/>
    </row>
    <row r="647" spans="1:8" x14ac:dyDescent="0.25">
      <c r="A647" s="21">
        <v>4032404</v>
      </c>
      <c r="B647" s="1">
        <v>44986</v>
      </c>
      <c r="C647" t="s">
        <v>254</v>
      </c>
      <c r="D647" s="6">
        <v>91.9</v>
      </c>
      <c r="E647" s="9">
        <v>401.76</v>
      </c>
      <c r="F647" s="15">
        <f>IFERROR(PRD[[#This Row],[VALOR]]/PRD[[#This Row],[KGS]],"")</f>
        <v>4.3717083786724693</v>
      </c>
      <c r="H647" s="27"/>
    </row>
    <row r="648" spans="1:8" x14ac:dyDescent="0.25">
      <c r="A648" s="21">
        <v>4032500</v>
      </c>
      <c r="B648" s="1">
        <v>44986</v>
      </c>
      <c r="C648" t="s">
        <v>256</v>
      </c>
      <c r="D648" s="6">
        <v>398.76</v>
      </c>
      <c r="E648" s="9">
        <v>1058.68</v>
      </c>
      <c r="F648" s="15">
        <f>IFERROR(PRD[[#This Row],[VALOR]]/PRD[[#This Row],[KGS]],"")</f>
        <v>2.6549302838800282</v>
      </c>
      <c r="H648" s="27"/>
    </row>
    <row r="649" spans="1:8" x14ac:dyDescent="0.25">
      <c r="A649" s="21">
        <v>4032611</v>
      </c>
      <c r="B649" s="1">
        <v>44986</v>
      </c>
      <c r="C649" t="s">
        <v>258</v>
      </c>
      <c r="D649" s="6">
        <v>84.34</v>
      </c>
      <c r="E649" s="9">
        <v>248.53</v>
      </c>
      <c r="F649" s="15">
        <f>IFERROR(PRD[[#This Row],[VALOR]]/PRD[[#This Row],[KGS]],"")</f>
        <v>2.9467631017310882</v>
      </c>
      <c r="H649" s="27"/>
    </row>
    <row r="650" spans="1:8" x14ac:dyDescent="0.25">
      <c r="A650" s="21">
        <v>4032704</v>
      </c>
      <c r="B650" s="1">
        <v>44986</v>
      </c>
      <c r="C650" t="s">
        <v>260</v>
      </c>
      <c r="D650" s="6">
        <v>290.66000000000003</v>
      </c>
      <c r="E650" s="9">
        <v>825.67</v>
      </c>
      <c r="F650" s="15">
        <f>IFERROR(PRD[[#This Row],[VALOR]]/PRD[[#This Row],[KGS]],"")</f>
        <v>2.840672951214477</v>
      </c>
      <c r="H650" s="27"/>
    </row>
    <row r="651" spans="1:8" x14ac:dyDescent="0.25">
      <c r="A651" s="21">
        <v>4032800</v>
      </c>
      <c r="B651" s="1">
        <v>44986</v>
      </c>
      <c r="C651" t="s">
        <v>262</v>
      </c>
      <c r="D651" s="6">
        <v>137.5</v>
      </c>
      <c r="E651" s="9">
        <v>710.87</v>
      </c>
      <c r="F651" s="15">
        <f>IFERROR(PRD[[#This Row],[VALOR]]/PRD[[#This Row],[KGS]],"")</f>
        <v>5.1699636363636365</v>
      </c>
      <c r="H651" s="27"/>
    </row>
    <row r="652" spans="1:8" x14ac:dyDescent="0.25">
      <c r="A652" s="21">
        <v>4032902</v>
      </c>
      <c r="B652" s="1">
        <v>44986</v>
      </c>
      <c r="C652" t="s">
        <v>264</v>
      </c>
      <c r="D652" s="6">
        <v>132.03</v>
      </c>
      <c r="E652" s="9">
        <v>693.83</v>
      </c>
      <c r="F652" s="15">
        <f>IFERROR(PRD[[#This Row],[VALOR]]/PRD[[#This Row],[KGS]],"")</f>
        <v>5.2550935393471185</v>
      </c>
      <c r="H652" s="27"/>
    </row>
    <row r="653" spans="1:8" x14ac:dyDescent="0.25">
      <c r="A653" s="21">
        <v>4033011</v>
      </c>
      <c r="B653" s="1">
        <v>44986</v>
      </c>
      <c r="C653" t="s">
        <v>266</v>
      </c>
      <c r="D653" s="6">
        <v>59.65</v>
      </c>
      <c r="E653" s="9">
        <v>301.26</v>
      </c>
      <c r="F653" s="15">
        <f>IFERROR(PRD[[#This Row],[VALOR]]/PRD[[#This Row],[KGS]],"")</f>
        <v>5.0504610226320201</v>
      </c>
      <c r="H653" s="27"/>
    </row>
    <row r="654" spans="1:8" x14ac:dyDescent="0.25">
      <c r="A654" s="21">
        <v>4033111</v>
      </c>
      <c r="B654" s="1">
        <v>44986</v>
      </c>
      <c r="C654" t="s">
        <v>268</v>
      </c>
      <c r="D654" s="6">
        <v>26.1</v>
      </c>
      <c r="E654" s="9">
        <v>119.17</v>
      </c>
      <c r="F654" s="15">
        <f>IFERROR(PRD[[#This Row],[VALOR]]/PRD[[#This Row],[KGS]],"")</f>
        <v>4.5659003831417619</v>
      </c>
      <c r="H654" s="27"/>
    </row>
    <row r="655" spans="1:8" x14ac:dyDescent="0.25">
      <c r="A655" s="21">
        <v>4033211</v>
      </c>
      <c r="B655" s="1">
        <v>44986</v>
      </c>
      <c r="C655" t="s">
        <v>270</v>
      </c>
      <c r="D655" s="6">
        <v>207.18</v>
      </c>
      <c r="E655" s="9">
        <v>910.79</v>
      </c>
      <c r="F655" s="15">
        <f>IFERROR(PRD[[#This Row],[VALOR]]/PRD[[#This Row],[KGS]],"")</f>
        <v>4.3961289699777968</v>
      </c>
      <c r="H655" s="27"/>
    </row>
    <row r="656" spans="1:8" x14ac:dyDescent="0.25">
      <c r="A656" s="21">
        <v>4033311</v>
      </c>
      <c r="B656" s="1">
        <v>44986</v>
      </c>
      <c r="C656" t="s">
        <v>272</v>
      </c>
      <c r="D656" s="6">
        <v>17.84</v>
      </c>
      <c r="E656" s="9">
        <v>108.04</v>
      </c>
      <c r="F656" s="15">
        <f>IFERROR(PRD[[#This Row],[VALOR]]/PRD[[#This Row],[KGS]],"")</f>
        <v>6.0560538116591935</v>
      </c>
      <c r="H656" s="27"/>
    </row>
    <row r="657" spans="1:8" x14ac:dyDescent="0.25">
      <c r="A657" s="21">
        <v>4033400</v>
      </c>
      <c r="B657" s="1">
        <v>44986</v>
      </c>
      <c r="C657" t="s">
        <v>274</v>
      </c>
      <c r="D657" s="6">
        <v>498.9</v>
      </c>
      <c r="E657" s="9">
        <v>1534.94</v>
      </c>
      <c r="F657" s="15">
        <f>IFERROR(PRD[[#This Row],[VALOR]]/PRD[[#This Row],[KGS]],"")</f>
        <v>3.0766486269793547</v>
      </c>
      <c r="H657" s="27"/>
    </row>
    <row r="658" spans="1:8" x14ac:dyDescent="0.25">
      <c r="A658" s="21">
        <v>4033511</v>
      </c>
      <c r="B658" s="1">
        <v>44986</v>
      </c>
      <c r="C658" t="s">
        <v>276</v>
      </c>
      <c r="D658" s="6">
        <v>2045.17</v>
      </c>
      <c r="E658" s="9">
        <v>6563.85</v>
      </c>
      <c r="F658" s="15">
        <f>IFERROR(PRD[[#This Row],[VALOR]]/PRD[[#This Row],[KGS]],"")</f>
        <v>3.2094398020702437</v>
      </c>
      <c r="H658" s="27"/>
    </row>
    <row r="659" spans="1:8" x14ac:dyDescent="0.25">
      <c r="A659" s="21">
        <v>4033900</v>
      </c>
      <c r="B659" s="1">
        <v>44986</v>
      </c>
      <c r="C659" t="s">
        <v>278</v>
      </c>
      <c r="D659" s="6">
        <v>62.33</v>
      </c>
      <c r="E659" s="9">
        <v>336.2</v>
      </c>
      <c r="F659" s="15">
        <f>IFERROR(PRD[[#This Row],[VALOR]]/PRD[[#This Row],[KGS]],"")</f>
        <v>5.3938713300176477</v>
      </c>
      <c r="H659" s="27"/>
    </row>
    <row r="660" spans="1:8" x14ac:dyDescent="0.25">
      <c r="A660" s="21">
        <v>4034011</v>
      </c>
      <c r="B660" s="1">
        <v>44986</v>
      </c>
      <c r="C660" t="s">
        <v>280</v>
      </c>
      <c r="D660" s="6">
        <v>695.21</v>
      </c>
      <c r="E660" s="9">
        <v>3654.63</v>
      </c>
      <c r="F660" s="15">
        <f>IFERROR(PRD[[#This Row],[VALOR]]/PRD[[#This Row],[KGS]],"")</f>
        <v>5.2568720242804332</v>
      </c>
      <c r="H660" s="27"/>
    </row>
    <row r="661" spans="1:8" x14ac:dyDescent="0.25">
      <c r="A661" s="21">
        <v>4034211</v>
      </c>
      <c r="B661" s="1">
        <v>44986</v>
      </c>
      <c r="C661" t="s">
        <v>282</v>
      </c>
      <c r="D661" s="6">
        <v>202.95</v>
      </c>
      <c r="E661" s="9">
        <v>854.7</v>
      </c>
      <c r="F661" s="15">
        <f>IFERROR(PRD[[#This Row],[VALOR]]/PRD[[#This Row],[KGS]],"")</f>
        <v>4.2113821138211387</v>
      </c>
      <c r="H661" s="27"/>
    </row>
    <row r="662" spans="1:8" x14ac:dyDescent="0.25">
      <c r="A662" s="21">
        <v>4034400</v>
      </c>
      <c r="B662" s="1">
        <v>44986</v>
      </c>
      <c r="C662" t="s">
        <v>284</v>
      </c>
      <c r="D662" s="6">
        <v>181.1</v>
      </c>
      <c r="E662" s="9">
        <v>473.88</v>
      </c>
      <c r="F662" s="15">
        <f>IFERROR(PRD[[#This Row],[VALOR]]/PRD[[#This Row],[KGS]],"")</f>
        <v>2.616675869685257</v>
      </c>
      <c r="H662" s="27"/>
    </row>
    <row r="663" spans="1:8" x14ac:dyDescent="0.25">
      <c r="A663" s="21">
        <v>4034502</v>
      </c>
      <c r="B663" s="1">
        <v>44986</v>
      </c>
      <c r="C663" t="s">
        <v>286</v>
      </c>
      <c r="D663" s="6">
        <v>78</v>
      </c>
      <c r="E663" s="9">
        <v>217.34</v>
      </c>
      <c r="F663" s="15">
        <f>IFERROR(PRD[[#This Row],[VALOR]]/PRD[[#This Row],[KGS]],"")</f>
        <v>2.7864102564102566</v>
      </c>
      <c r="H663" s="27"/>
    </row>
    <row r="664" spans="1:8" x14ac:dyDescent="0.25">
      <c r="A664" s="21">
        <v>8040009</v>
      </c>
      <c r="B664" s="1">
        <v>44986</v>
      </c>
      <c r="C664" t="s">
        <v>319</v>
      </c>
      <c r="D664" s="6">
        <v>576</v>
      </c>
      <c r="E664" s="9">
        <v>3409.92</v>
      </c>
      <c r="F664" s="15">
        <f>IFERROR(PRD[[#This Row],[VALOR]]/PRD[[#This Row],[KGS]],"")</f>
        <v>5.92</v>
      </c>
      <c r="H664" s="27"/>
    </row>
    <row r="665" spans="1:8" x14ac:dyDescent="0.25">
      <c r="A665" s="21">
        <v>8040012</v>
      </c>
      <c r="B665" s="1">
        <v>44986</v>
      </c>
      <c r="C665" t="s">
        <v>391</v>
      </c>
      <c r="D665" s="6">
        <v>10</v>
      </c>
      <c r="E665" s="9">
        <v>34</v>
      </c>
      <c r="F665" s="15">
        <f>IFERROR(PRD[[#This Row],[VALOR]]/PRD[[#This Row],[KGS]],"")</f>
        <v>3.4</v>
      </c>
      <c r="H665" s="27"/>
    </row>
    <row r="666" spans="1:8" x14ac:dyDescent="0.25">
      <c r="A666" s="21">
        <v>8040027</v>
      </c>
      <c r="B666" s="1">
        <v>44986</v>
      </c>
      <c r="C666" t="s">
        <v>392</v>
      </c>
      <c r="D666" s="6">
        <v>504</v>
      </c>
      <c r="E666" s="9">
        <v>4989.6000000000004</v>
      </c>
      <c r="F666" s="15">
        <f>IFERROR(PRD[[#This Row],[VALOR]]/PRD[[#This Row],[KGS]],"")</f>
        <v>9.9</v>
      </c>
      <c r="H666" s="27"/>
    </row>
    <row r="667" spans="1:8" x14ac:dyDescent="0.25">
      <c r="A667" s="21">
        <v>8040029</v>
      </c>
      <c r="B667" s="1">
        <v>44986</v>
      </c>
      <c r="C667" t="s">
        <v>393</v>
      </c>
      <c r="D667" s="6">
        <v>3772</v>
      </c>
      <c r="E667" s="9">
        <v>33759.4</v>
      </c>
      <c r="F667" s="15">
        <f>IFERROR(PRD[[#This Row],[VALOR]]/PRD[[#This Row],[KGS]],"")</f>
        <v>8.9500000000000011</v>
      </c>
      <c r="H667" s="27"/>
    </row>
    <row r="668" spans="1:8" x14ac:dyDescent="0.25">
      <c r="A668" s="21">
        <v>8050001</v>
      </c>
      <c r="B668" s="1">
        <v>44986</v>
      </c>
      <c r="C668" t="s">
        <v>321</v>
      </c>
      <c r="D668" s="6">
        <v>480</v>
      </c>
      <c r="E668" s="9">
        <v>720</v>
      </c>
      <c r="F668" s="15">
        <f>IFERROR(PRD[[#This Row],[VALOR]]/PRD[[#This Row],[KGS]],"")</f>
        <v>1.5</v>
      </c>
      <c r="H668" s="27"/>
    </row>
    <row r="669" spans="1:8" x14ac:dyDescent="0.25">
      <c r="A669" s="21">
        <v>8050002</v>
      </c>
      <c r="B669" s="1">
        <v>44986</v>
      </c>
      <c r="C669" t="s">
        <v>322</v>
      </c>
      <c r="D669" s="6">
        <v>2</v>
      </c>
      <c r="E669" s="9">
        <v>13</v>
      </c>
      <c r="F669" s="15">
        <f>IFERROR(PRD[[#This Row],[VALOR]]/PRD[[#This Row],[KGS]],"")</f>
        <v>6.5</v>
      </c>
      <c r="H669" s="27"/>
    </row>
    <row r="670" spans="1:8" x14ac:dyDescent="0.25">
      <c r="A670" s="21">
        <v>8050003</v>
      </c>
      <c r="B670" s="1">
        <v>44986</v>
      </c>
      <c r="C670" t="s">
        <v>323</v>
      </c>
      <c r="D670" s="6">
        <v>8</v>
      </c>
      <c r="E670" s="9">
        <v>40.799999999999997</v>
      </c>
      <c r="F670" s="15">
        <f>IFERROR(PRD[[#This Row],[VALOR]]/PRD[[#This Row],[KGS]],"")</f>
        <v>5.0999999999999996</v>
      </c>
      <c r="H670" s="27"/>
    </row>
    <row r="671" spans="1:8" x14ac:dyDescent="0.25">
      <c r="A671" s="21">
        <v>8050004</v>
      </c>
      <c r="B671" s="1">
        <v>44986</v>
      </c>
      <c r="C671" t="s">
        <v>324</v>
      </c>
      <c r="D671" s="6">
        <v>15122</v>
      </c>
      <c r="E671" s="9">
        <v>56559.8</v>
      </c>
      <c r="F671" s="15">
        <f>IFERROR(PRD[[#This Row],[VALOR]]/PRD[[#This Row],[KGS]],"")</f>
        <v>3.7402327734426666</v>
      </c>
      <c r="H671" s="27"/>
    </row>
    <row r="672" spans="1:8" x14ac:dyDescent="0.25">
      <c r="A672" s="21">
        <v>8070008</v>
      </c>
      <c r="B672" s="1">
        <v>44986</v>
      </c>
      <c r="C672" t="s">
        <v>368</v>
      </c>
      <c r="D672" s="6">
        <v>100</v>
      </c>
      <c r="E672" s="9">
        <v>916</v>
      </c>
      <c r="F672" s="15">
        <f>IFERROR(PRD[[#This Row],[VALOR]]/PRD[[#This Row],[KGS]],"")</f>
        <v>9.16</v>
      </c>
      <c r="H672" s="27"/>
    </row>
    <row r="673" spans="1:8" x14ac:dyDescent="0.25">
      <c r="A673" s="21">
        <v>8070014</v>
      </c>
      <c r="B673" s="1">
        <v>44986</v>
      </c>
      <c r="C673" t="s">
        <v>394</v>
      </c>
      <c r="D673" s="6">
        <v>8299.48</v>
      </c>
      <c r="E673" s="9">
        <v>29878.12</v>
      </c>
      <c r="F673" s="15">
        <f>IFERROR(PRD[[#This Row],[VALOR]]/PRD[[#This Row],[KGS]],"")</f>
        <v>3.5999990360841885</v>
      </c>
      <c r="H673" s="27"/>
    </row>
    <row r="674" spans="1:8" x14ac:dyDescent="0.25">
      <c r="A674" s="21">
        <v>8070015</v>
      </c>
      <c r="B674" s="1">
        <v>44986</v>
      </c>
      <c r="C674" t="s">
        <v>373</v>
      </c>
      <c r="D674" s="6">
        <v>13508</v>
      </c>
      <c r="E674" s="9">
        <v>14993.88</v>
      </c>
      <c r="F674" s="15">
        <f>IFERROR(PRD[[#This Row],[VALOR]]/PRD[[#This Row],[KGS]],"")</f>
        <v>1.1099999999999999</v>
      </c>
      <c r="H674" s="27"/>
    </row>
    <row r="675" spans="1:8" x14ac:dyDescent="0.25">
      <c r="A675" s="21">
        <v>8070016</v>
      </c>
      <c r="B675" s="1">
        <v>44986</v>
      </c>
      <c r="C675" t="s">
        <v>395</v>
      </c>
      <c r="D675" s="6">
        <v>9000</v>
      </c>
      <c r="E675" s="9">
        <v>45900</v>
      </c>
      <c r="F675" s="15">
        <f>IFERROR(PRD[[#This Row],[VALOR]]/PRD[[#This Row],[KGS]],"")</f>
        <v>5.0999999999999996</v>
      </c>
      <c r="H675" s="27"/>
    </row>
    <row r="676" spans="1:8" x14ac:dyDescent="0.25">
      <c r="A676" s="21">
        <v>8070017</v>
      </c>
      <c r="B676" s="1">
        <v>44986</v>
      </c>
      <c r="C676" t="s">
        <v>396</v>
      </c>
      <c r="D676" s="6">
        <v>11590.09</v>
      </c>
      <c r="E676" s="9">
        <v>37137.93</v>
      </c>
      <c r="F676" s="15">
        <f>IFERROR(PRD[[#This Row],[VALOR]]/PRD[[#This Row],[KGS]],"")</f>
        <v>3.2042831418910467</v>
      </c>
      <c r="H676" s="27"/>
    </row>
    <row r="677" spans="1:8" x14ac:dyDescent="0.25">
      <c r="A677" s="21">
        <v>8070018</v>
      </c>
      <c r="B677" s="1">
        <v>44986</v>
      </c>
      <c r="C677" t="s">
        <v>397</v>
      </c>
      <c r="D677" s="6">
        <v>1890</v>
      </c>
      <c r="E677" s="9">
        <v>6577.2</v>
      </c>
      <c r="F677" s="15">
        <f>IFERROR(PRD[[#This Row],[VALOR]]/PRD[[#This Row],[KGS]],"")</f>
        <v>3.48</v>
      </c>
      <c r="H677" s="27"/>
    </row>
    <row r="678" spans="1:8" x14ac:dyDescent="0.25">
      <c r="A678" s="21">
        <v>8070019</v>
      </c>
      <c r="B678" s="1">
        <v>44986</v>
      </c>
      <c r="C678" t="s">
        <v>398</v>
      </c>
      <c r="D678" s="6">
        <v>630</v>
      </c>
      <c r="E678" s="9">
        <v>2381.4</v>
      </c>
      <c r="F678" s="15">
        <f>IFERROR(PRD[[#This Row],[VALOR]]/PRD[[#This Row],[KGS]],"")</f>
        <v>3.7800000000000002</v>
      </c>
      <c r="H678" s="27"/>
    </row>
    <row r="679" spans="1:8" x14ac:dyDescent="0.25">
      <c r="A679" s="21">
        <v>8070020</v>
      </c>
      <c r="B679" s="1">
        <v>44986</v>
      </c>
      <c r="C679" t="s">
        <v>399</v>
      </c>
      <c r="D679" s="6">
        <v>864</v>
      </c>
      <c r="E679" s="9">
        <v>4104</v>
      </c>
      <c r="F679" s="15">
        <f>IFERROR(PRD[[#This Row],[VALOR]]/PRD[[#This Row],[KGS]],"")</f>
        <v>4.75</v>
      </c>
      <c r="H679" s="27"/>
    </row>
    <row r="680" spans="1:8" x14ac:dyDescent="0.25">
      <c r="A680" s="21">
        <v>8070021</v>
      </c>
      <c r="B680" s="1">
        <v>44986</v>
      </c>
      <c r="C680" t="s">
        <v>400</v>
      </c>
      <c r="D680" s="6">
        <v>9</v>
      </c>
      <c r="E680" s="9">
        <v>66.599999999999994</v>
      </c>
      <c r="F680" s="15">
        <f>IFERROR(PRD[[#This Row],[VALOR]]/PRD[[#This Row],[KGS]],"")</f>
        <v>7.3999999999999995</v>
      </c>
      <c r="H680" s="27"/>
    </row>
    <row r="681" spans="1:8" x14ac:dyDescent="0.25">
      <c r="A681" s="21">
        <v>8070022</v>
      </c>
      <c r="B681" s="1">
        <v>44986</v>
      </c>
      <c r="C681" t="s">
        <v>401</v>
      </c>
      <c r="D681" s="6">
        <v>4.5</v>
      </c>
      <c r="E681" s="9">
        <v>24.3</v>
      </c>
      <c r="F681" s="15">
        <f>IFERROR(PRD[[#This Row],[VALOR]]/PRD[[#This Row],[KGS]],"")</f>
        <v>5.4</v>
      </c>
      <c r="H681" s="27"/>
    </row>
    <row r="682" spans="1:8" x14ac:dyDescent="0.25">
      <c r="A682" s="21">
        <v>8070023</v>
      </c>
      <c r="B682" s="1">
        <v>44986</v>
      </c>
      <c r="C682" t="s">
        <v>402</v>
      </c>
      <c r="D682" s="6">
        <v>16</v>
      </c>
      <c r="E682" s="9">
        <v>84</v>
      </c>
      <c r="F682" s="15">
        <f>IFERROR(PRD[[#This Row],[VALOR]]/PRD[[#This Row],[KGS]],"")</f>
        <v>5.25</v>
      </c>
      <c r="H682" s="27"/>
    </row>
    <row r="683" spans="1:8" x14ac:dyDescent="0.25">
      <c r="A683" s="21">
        <v>8070036</v>
      </c>
      <c r="B683" s="1">
        <v>44986</v>
      </c>
      <c r="C683" t="s">
        <v>403</v>
      </c>
      <c r="D683" s="6">
        <v>296</v>
      </c>
      <c r="E683" s="9">
        <v>1450.4</v>
      </c>
      <c r="F683" s="15">
        <f>IFERROR(PRD[[#This Row],[VALOR]]/PRD[[#This Row],[KGS]],"")</f>
        <v>4.9000000000000004</v>
      </c>
      <c r="H683" s="27"/>
    </row>
    <row r="684" spans="1:8" x14ac:dyDescent="0.25">
      <c r="A684" s="21">
        <v>8070037</v>
      </c>
      <c r="B684" s="1">
        <v>44986</v>
      </c>
      <c r="C684" t="s">
        <v>404</v>
      </c>
      <c r="D684" s="6">
        <v>544</v>
      </c>
      <c r="E684" s="9">
        <v>2611.1999999999998</v>
      </c>
      <c r="F684" s="15">
        <f>IFERROR(PRD[[#This Row],[VALOR]]/PRD[[#This Row],[KGS]],"")</f>
        <v>4.8</v>
      </c>
      <c r="H684" s="27"/>
    </row>
    <row r="685" spans="1:8" x14ac:dyDescent="0.25">
      <c r="A685" s="21">
        <v>8070038</v>
      </c>
      <c r="B685" s="1">
        <v>44986</v>
      </c>
      <c r="C685" t="s">
        <v>405</v>
      </c>
      <c r="D685" s="6">
        <v>24</v>
      </c>
      <c r="E685" s="9">
        <v>117.6</v>
      </c>
      <c r="F685" s="15">
        <f>IFERROR(PRD[[#This Row],[VALOR]]/PRD[[#This Row],[KGS]],"")</f>
        <v>4.8999999999999995</v>
      </c>
      <c r="H685" s="27"/>
    </row>
    <row r="686" spans="1:8" x14ac:dyDescent="0.25">
      <c r="A686" s="21">
        <v>8120004</v>
      </c>
      <c r="B686" s="1">
        <v>44986</v>
      </c>
      <c r="C686" t="s">
        <v>406</v>
      </c>
      <c r="D686" s="6">
        <v>1500</v>
      </c>
      <c r="E686" s="9">
        <v>9000</v>
      </c>
      <c r="F686" s="15">
        <f>IFERROR(PRD[[#This Row],[VALOR]]/PRD[[#This Row],[KGS]],"")</f>
        <v>6</v>
      </c>
      <c r="H686" s="27"/>
    </row>
    <row r="687" spans="1:8" x14ac:dyDescent="0.25">
      <c r="A687" s="21">
        <v>8120005</v>
      </c>
      <c r="B687" s="1">
        <v>44986</v>
      </c>
      <c r="C687" t="s">
        <v>407</v>
      </c>
      <c r="D687" s="6">
        <v>2900</v>
      </c>
      <c r="E687" s="9">
        <v>14733</v>
      </c>
      <c r="F687" s="15">
        <f>IFERROR(PRD[[#This Row],[VALOR]]/PRD[[#This Row],[KGS]],"")</f>
        <v>5.0803448275862069</v>
      </c>
      <c r="H687" s="27"/>
    </row>
    <row r="688" spans="1:8" x14ac:dyDescent="0.25">
      <c r="A688" s="21">
        <v>8120006</v>
      </c>
      <c r="B688" s="1">
        <v>44986</v>
      </c>
      <c r="C688" t="s">
        <v>408</v>
      </c>
      <c r="D688" s="6">
        <v>1584.87</v>
      </c>
      <c r="E688" s="9">
        <v>10618.63</v>
      </c>
      <c r="F688" s="15">
        <f>IFERROR(PRD[[#This Row],[VALOR]]/PRD[[#This Row],[KGS]],"")</f>
        <v>6.7000006309665778</v>
      </c>
      <c r="H688" s="27"/>
    </row>
    <row r="689" spans="1:8" x14ac:dyDescent="0.25">
      <c r="A689" s="21">
        <v>8120007</v>
      </c>
      <c r="B689" s="1">
        <v>44986</v>
      </c>
      <c r="C689" t="s">
        <v>377</v>
      </c>
      <c r="D689" s="6">
        <v>676.27</v>
      </c>
      <c r="E689" s="9">
        <v>4838.04</v>
      </c>
      <c r="F689" s="15">
        <f>IFERROR(PRD[[#This Row],[VALOR]]/PRD[[#This Row],[KGS]],"")</f>
        <v>7.1540065358510656</v>
      </c>
      <c r="H689" s="27"/>
    </row>
    <row r="690" spans="1:8" x14ac:dyDescent="0.25">
      <c r="A690" s="21">
        <v>8120008</v>
      </c>
      <c r="B690" s="1">
        <v>44986</v>
      </c>
      <c r="C690" t="s">
        <v>409</v>
      </c>
      <c r="D690" s="6">
        <v>5.92</v>
      </c>
      <c r="E690" s="9">
        <v>71.09</v>
      </c>
      <c r="F690" s="15">
        <f>IFERROR(PRD[[#This Row],[VALOR]]/PRD[[#This Row],[KGS]],"")</f>
        <v>12.008445945945947</v>
      </c>
      <c r="H690" s="27"/>
    </row>
    <row r="691" spans="1:8" x14ac:dyDescent="0.25">
      <c r="A691" s="21">
        <v>8120011</v>
      </c>
      <c r="B691" s="1">
        <v>44986</v>
      </c>
      <c r="C691" t="s">
        <v>379</v>
      </c>
      <c r="D691" s="6">
        <v>15.24</v>
      </c>
      <c r="E691" s="9">
        <v>196.6</v>
      </c>
      <c r="F691" s="15">
        <f>IFERROR(PRD[[#This Row],[VALOR]]/PRD[[#This Row],[KGS]],"")</f>
        <v>12.900262467191601</v>
      </c>
      <c r="H691" s="27"/>
    </row>
    <row r="692" spans="1:8" x14ac:dyDescent="0.25">
      <c r="A692" s="21">
        <v>8120013</v>
      </c>
      <c r="B692" s="1">
        <v>44986</v>
      </c>
      <c r="C692" t="s">
        <v>410</v>
      </c>
      <c r="D692" s="6">
        <v>2088</v>
      </c>
      <c r="E692" s="9">
        <v>16808.400000000001</v>
      </c>
      <c r="F692" s="15">
        <f>IFERROR(PRD[[#This Row],[VALOR]]/PRD[[#This Row],[KGS]],"")</f>
        <v>8.0500000000000007</v>
      </c>
      <c r="H692" s="27"/>
    </row>
    <row r="693" spans="1:8" x14ac:dyDescent="0.25">
      <c r="A693" s="21">
        <v>8120014</v>
      </c>
      <c r="B693" s="1">
        <v>44986</v>
      </c>
      <c r="C693" t="s">
        <v>411</v>
      </c>
      <c r="D693" s="6">
        <v>993.8</v>
      </c>
      <c r="E693" s="9">
        <v>18186.45</v>
      </c>
      <c r="F693" s="15">
        <f>IFERROR(PRD[[#This Row],[VALOR]]/PRD[[#This Row],[KGS]],"")</f>
        <v>18.299909438518817</v>
      </c>
      <c r="H693" s="27"/>
    </row>
    <row r="694" spans="1:8" x14ac:dyDescent="0.25">
      <c r="A694" s="21">
        <v>8120015</v>
      </c>
      <c r="B694" s="1">
        <v>44986</v>
      </c>
      <c r="C694" t="s">
        <v>412</v>
      </c>
      <c r="D694" s="6">
        <v>2</v>
      </c>
      <c r="E694" s="9">
        <v>8.4</v>
      </c>
      <c r="F694" s="15">
        <f>IFERROR(PRD[[#This Row],[VALOR]]/PRD[[#This Row],[KGS]],"")</f>
        <v>4.2</v>
      </c>
      <c r="H694" s="27"/>
    </row>
    <row r="695" spans="1:8" x14ac:dyDescent="0.25">
      <c r="A695" s="21">
        <v>8130002</v>
      </c>
      <c r="B695" s="1">
        <v>44986</v>
      </c>
      <c r="C695" t="s">
        <v>413</v>
      </c>
      <c r="D695" s="6">
        <v>2640</v>
      </c>
      <c r="E695" s="9">
        <v>5433.12</v>
      </c>
      <c r="F695" s="15">
        <f>IFERROR(PRD[[#This Row],[VALOR]]/PRD[[#This Row],[KGS]],"")</f>
        <v>2.0579999999999998</v>
      </c>
      <c r="H695" s="27"/>
    </row>
    <row r="696" spans="1:8" x14ac:dyDescent="0.25">
      <c r="A696" s="21">
        <v>8130003</v>
      </c>
      <c r="B696" s="1">
        <v>44986</v>
      </c>
      <c r="C696" t="s">
        <v>414</v>
      </c>
      <c r="D696" s="6">
        <v>486</v>
      </c>
      <c r="E696" s="9">
        <v>1381.21</v>
      </c>
      <c r="F696" s="15">
        <f>IFERROR(PRD[[#This Row],[VALOR]]/PRD[[#This Row],[KGS]],"")</f>
        <v>2.8419958847736626</v>
      </c>
      <c r="H696" s="27"/>
    </row>
    <row r="697" spans="1:8" x14ac:dyDescent="0.25">
      <c r="A697" s="21">
        <v>8130004</v>
      </c>
      <c r="B697" s="1">
        <v>44986</v>
      </c>
      <c r="C697" t="s">
        <v>415</v>
      </c>
      <c r="D697" s="6">
        <v>150</v>
      </c>
      <c r="E697" s="9">
        <v>637.5</v>
      </c>
      <c r="F697" s="15">
        <f>IFERROR(PRD[[#This Row],[VALOR]]/PRD[[#This Row],[KGS]],"")</f>
        <v>4.25</v>
      </c>
      <c r="H697" s="27"/>
    </row>
    <row r="698" spans="1:8" x14ac:dyDescent="0.25">
      <c r="A698" s="21">
        <v>8130013</v>
      </c>
      <c r="B698" s="1">
        <v>44986</v>
      </c>
      <c r="C698" t="s">
        <v>416</v>
      </c>
      <c r="D698" s="6">
        <v>880</v>
      </c>
      <c r="E698" s="9">
        <v>2816</v>
      </c>
      <c r="F698" s="15">
        <f>IFERROR(PRD[[#This Row],[VALOR]]/PRD[[#This Row],[KGS]],"")</f>
        <v>3.2</v>
      </c>
      <c r="H698" s="27"/>
    </row>
    <row r="699" spans="1:8" x14ac:dyDescent="0.25">
      <c r="A699" s="21">
        <v>8130014</v>
      </c>
      <c r="B699" s="1">
        <v>44986</v>
      </c>
      <c r="C699" t="s">
        <v>417</v>
      </c>
      <c r="D699" s="6">
        <v>1152</v>
      </c>
      <c r="E699" s="9">
        <v>4320</v>
      </c>
      <c r="F699" s="15">
        <f>IFERROR(PRD[[#This Row],[VALOR]]/PRD[[#This Row],[KGS]],"")</f>
        <v>3.75</v>
      </c>
      <c r="H699" s="27"/>
    </row>
    <row r="700" spans="1:8" x14ac:dyDescent="0.25">
      <c r="A700" s="21">
        <v>8130015</v>
      </c>
      <c r="B700" s="1">
        <v>44986</v>
      </c>
      <c r="C700" t="s">
        <v>418</v>
      </c>
      <c r="D700" s="6">
        <v>1166.4000000000001</v>
      </c>
      <c r="E700" s="9">
        <v>5178.82</v>
      </c>
      <c r="F700" s="15">
        <f>IFERROR(PRD[[#This Row],[VALOR]]/PRD[[#This Row],[KGS]],"")</f>
        <v>4.440003429355281</v>
      </c>
      <c r="H700" s="27"/>
    </row>
    <row r="701" spans="1:8" x14ac:dyDescent="0.25">
      <c r="A701" s="21">
        <v>8140002</v>
      </c>
      <c r="B701" s="1">
        <v>44986</v>
      </c>
      <c r="C701" t="s">
        <v>419</v>
      </c>
      <c r="D701" s="6">
        <v>1000</v>
      </c>
      <c r="E701" s="9">
        <v>1323</v>
      </c>
      <c r="F701" s="15">
        <f>IFERROR(PRD[[#This Row],[VALOR]]/PRD[[#This Row],[KGS]],"")</f>
        <v>1.323</v>
      </c>
      <c r="H701" s="27"/>
    </row>
    <row r="702" spans="1:8" x14ac:dyDescent="0.25">
      <c r="A702" s="21">
        <v>8140003</v>
      </c>
      <c r="B702" s="1">
        <v>44986</v>
      </c>
      <c r="C702" t="s">
        <v>420</v>
      </c>
      <c r="D702" s="6">
        <v>1200</v>
      </c>
      <c r="E702" s="9">
        <v>2293.1999999999998</v>
      </c>
      <c r="F702" s="15">
        <f>IFERROR(PRD[[#This Row],[VALOR]]/PRD[[#This Row],[KGS]],"")</f>
        <v>1.9109999999999998</v>
      </c>
      <c r="H702" s="27"/>
    </row>
    <row r="703" spans="1:8" x14ac:dyDescent="0.25">
      <c r="A703" s="21">
        <v>8140004</v>
      </c>
      <c r="B703" s="1">
        <v>44986</v>
      </c>
      <c r="C703" t="s">
        <v>421</v>
      </c>
      <c r="D703" s="6">
        <v>500</v>
      </c>
      <c r="E703" s="9">
        <v>935</v>
      </c>
      <c r="F703" s="15">
        <f>IFERROR(PRD[[#This Row],[VALOR]]/PRD[[#This Row],[KGS]],"")</f>
        <v>1.87</v>
      </c>
      <c r="H703" s="27"/>
    </row>
    <row r="704" spans="1:8" x14ac:dyDescent="0.25">
      <c r="A704" s="21">
        <v>8140005</v>
      </c>
      <c r="B704" s="1">
        <v>44986</v>
      </c>
      <c r="C704" t="s">
        <v>422</v>
      </c>
      <c r="D704" s="6">
        <v>500</v>
      </c>
      <c r="E704" s="9">
        <v>940</v>
      </c>
      <c r="F704" s="15">
        <f>IFERROR(PRD[[#This Row],[VALOR]]/PRD[[#This Row],[KGS]],"")</f>
        <v>1.88</v>
      </c>
      <c r="H704" s="27"/>
    </row>
    <row r="705" spans="1:8" x14ac:dyDescent="0.25">
      <c r="A705" s="21">
        <v>8140006</v>
      </c>
      <c r="B705" s="1">
        <v>44986</v>
      </c>
      <c r="C705" t="s">
        <v>423</v>
      </c>
      <c r="D705" s="6">
        <v>7</v>
      </c>
      <c r="E705" s="9">
        <v>16.45</v>
      </c>
      <c r="F705" s="15">
        <f>IFERROR(PRD[[#This Row],[VALOR]]/PRD[[#This Row],[KGS]],"")</f>
        <v>2.35</v>
      </c>
      <c r="H705" s="27"/>
    </row>
    <row r="706" spans="1:8" x14ac:dyDescent="0.25">
      <c r="A706" s="21">
        <v>8140010</v>
      </c>
      <c r="B706" s="1">
        <v>44986</v>
      </c>
      <c r="C706" t="s">
        <v>424</v>
      </c>
      <c r="D706" s="6">
        <v>4150</v>
      </c>
      <c r="E706" s="9">
        <v>11665</v>
      </c>
      <c r="F706" s="15">
        <f>IFERROR(PRD[[#This Row],[VALOR]]/PRD[[#This Row],[KGS]],"")</f>
        <v>2.8108433734939759</v>
      </c>
      <c r="H706" s="27"/>
    </row>
    <row r="707" spans="1:8" x14ac:dyDescent="0.25">
      <c r="A707" s="21">
        <v>8140012</v>
      </c>
      <c r="B707" s="1">
        <v>44986</v>
      </c>
      <c r="C707" t="s">
        <v>425</v>
      </c>
      <c r="D707" s="6">
        <v>303</v>
      </c>
      <c r="E707" s="9">
        <v>5750.95</v>
      </c>
      <c r="F707" s="15">
        <f>IFERROR(PRD[[#This Row],[VALOR]]/PRD[[#This Row],[KGS]],"")</f>
        <v>18.980033003300328</v>
      </c>
      <c r="H707" s="27"/>
    </row>
    <row r="708" spans="1:8" x14ac:dyDescent="0.25">
      <c r="A708" s="21">
        <v>8150001</v>
      </c>
      <c r="B708" s="1">
        <v>44986</v>
      </c>
      <c r="C708" t="s">
        <v>382</v>
      </c>
      <c r="D708" s="6">
        <v>550</v>
      </c>
      <c r="E708" s="9">
        <v>6737.5</v>
      </c>
      <c r="F708" s="15">
        <f>IFERROR(PRD[[#This Row],[VALOR]]/PRD[[#This Row],[KGS]],"")</f>
        <v>12.25</v>
      </c>
      <c r="H708" s="27"/>
    </row>
    <row r="709" spans="1:8" x14ac:dyDescent="0.25">
      <c r="A709" s="21">
        <v>8150002</v>
      </c>
      <c r="B709" s="1">
        <v>44986</v>
      </c>
      <c r="C709" t="s">
        <v>383</v>
      </c>
      <c r="D709" s="6">
        <v>1275</v>
      </c>
      <c r="E709" s="9">
        <v>11647.41</v>
      </c>
      <c r="F709" s="15">
        <f>IFERROR(PRD[[#This Row],[VALOR]]/PRD[[#This Row],[KGS]],"")</f>
        <v>9.1352235294117641</v>
      </c>
      <c r="H709" s="27"/>
    </row>
    <row r="710" spans="1:8" x14ac:dyDescent="0.25">
      <c r="A710" s="21">
        <v>8150003</v>
      </c>
      <c r="B710" s="1">
        <v>44986</v>
      </c>
      <c r="C710" t="s">
        <v>384</v>
      </c>
      <c r="D710" s="6">
        <v>3780</v>
      </c>
      <c r="E710" s="9">
        <v>29973.51</v>
      </c>
      <c r="F710" s="15">
        <f>IFERROR(PRD[[#This Row],[VALOR]]/PRD[[#This Row],[KGS]],"")</f>
        <v>7.9295</v>
      </c>
      <c r="H710" s="27"/>
    </row>
    <row r="711" spans="1:8" x14ac:dyDescent="0.25">
      <c r="A711" s="21">
        <v>8150004</v>
      </c>
      <c r="B711" s="1">
        <v>44986</v>
      </c>
      <c r="C711" t="s">
        <v>385</v>
      </c>
      <c r="D711" s="6">
        <v>11355</v>
      </c>
      <c r="E711" s="9">
        <v>75240.149999999994</v>
      </c>
      <c r="F711" s="15">
        <f>IFERROR(PRD[[#This Row],[VALOR]]/PRD[[#This Row],[KGS]],"")</f>
        <v>6.6261690885072646</v>
      </c>
      <c r="H711" s="27"/>
    </row>
    <row r="712" spans="1:8" x14ac:dyDescent="0.25">
      <c r="A712" s="21">
        <v>8150005</v>
      </c>
      <c r="B712" s="1">
        <v>44986</v>
      </c>
      <c r="C712" t="s">
        <v>386</v>
      </c>
      <c r="D712" s="6">
        <v>1500</v>
      </c>
      <c r="E712" s="9">
        <v>8100</v>
      </c>
      <c r="F712" s="15">
        <f>IFERROR(PRD[[#This Row],[VALOR]]/PRD[[#This Row],[KGS]],"")</f>
        <v>5.4</v>
      </c>
      <c r="H712" s="27"/>
    </row>
    <row r="713" spans="1:8" x14ac:dyDescent="0.25">
      <c r="A713" s="21">
        <v>8150006</v>
      </c>
      <c r="B713" s="1">
        <v>44986</v>
      </c>
      <c r="C713" t="s">
        <v>387</v>
      </c>
      <c r="D713" s="6">
        <v>550</v>
      </c>
      <c r="E713" s="9">
        <v>2750</v>
      </c>
      <c r="F713" s="15">
        <f>IFERROR(PRD[[#This Row],[VALOR]]/PRD[[#This Row],[KGS]],"")</f>
        <v>5</v>
      </c>
      <c r="H713" s="27"/>
    </row>
    <row r="714" spans="1:8" x14ac:dyDescent="0.25">
      <c r="A714" s="21" t="s">
        <v>426</v>
      </c>
      <c r="B714" s="1">
        <v>45017</v>
      </c>
      <c r="C714" s="2" t="s">
        <v>331</v>
      </c>
      <c r="D714" s="7">
        <v>735.5</v>
      </c>
      <c r="E714" s="10">
        <v>220.65</v>
      </c>
      <c r="F714" s="15">
        <f>IFERROR(PRD[[#This Row],[VALOR]]/PRD[[#This Row],[KGS]],"")</f>
        <v>0.3</v>
      </c>
      <c r="H714" s="27"/>
    </row>
    <row r="715" spans="1:8" x14ac:dyDescent="0.25">
      <c r="A715" s="21" t="s">
        <v>427</v>
      </c>
      <c r="B715" s="1">
        <v>45017</v>
      </c>
      <c r="C715" s="3" t="s">
        <v>333</v>
      </c>
      <c r="D715" s="8">
        <v>921</v>
      </c>
      <c r="E715" s="11">
        <v>276.3</v>
      </c>
      <c r="F715" s="15">
        <f>IFERROR(PRD[[#This Row],[VALOR]]/PRD[[#This Row],[KGS]],"")</f>
        <v>0.3</v>
      </c>
      <c r="H715" s="27"/>
    </row>
    <row r="716" spans="1:8" x14ac:dyDescent="0.25">
      <c r="A716" s="21" t="s">
        <v>5</v>
      </c>
      <c r="B716" s="1">
        <v>45017</v>
      </c>
      <c r="C716" t="s">
        <v>6</v>
      </c>
      <c r="D716" s="7">
        <v>1334.9</v>
      </c>
      <c r="E716" s="10">
        <v>805.39</v>
      </c>
      <c r="F716" s="15">
        <f>IFERROR(PRD[[#This Row],[VALOR]]/PRD[[#This Row],[KGS]],"")</f>
        <v>0.60333358303992801</v>
      </c>
      <c r="H716" s="27"/>
    </row>
    <row r="717" spans="1:8" x14ac:dyDescent="0.25">
      <c r="A717" s="21" t="s">
        <v>7</v>
      </c>
      <c r="B717" s="1">
        <v>45017</v>
      </c>
      <c r="C717" t="s">
        <v>334</v>
      </c>
      <c r="D717" s="8">
        <v>5774.19</v>
      </c>
      <c r="E717" s="11">
        <v>4736.34</v>
      </c>
      <c r="F717" s="15">
        <f>IFERROR(PRD[[#This Row],[VALOR]]/PRD[[#This Row],[KGS]],"")</f>
        <v>0.82026050407070095</v>
      </c>
      <c r="H717" s="27"/>
    </row>
    <row r="718" spans="1:8" x14ac:dyDescent="0.25">
      <c r="A718" s="21" t="s">
        <v>9</v>
      </c>
      <c r="B718" s="1">
        <v>45017</v>
      </c>
      <c r="C718" t="s">
        <v>10</v>
      </c>
      <c r="D718" s="7">
        <v>281.57</v>
      </c>
      <c r="E718" s="10">
        <v>590.59</v>
      </c>
      <c r="F718" s="15">
        <f>IFERROR(PRD[[#This Row],[VALOR]]/PRD[[#This Row],[KGS]],"")</f>
        <v>2.0974890790922331</v>
      </c>
      <c r="H718" s="27"/>
    </row>
    <row r="719" spans="1:8" x14ac:dyDescent="0.25">
      <c r="A719" s="21" t="s">
        <v>11</v>
      </c>
      <c r="B719" s="1">
        <v>45017</v>
      </c>
      <c r="C719" s="3" t="s">
        <v>12</v>
      </c>
      <c r="D719" s="8">
        <v>109.28</v>
      </c>
      <c r="E719" s="11">
        <v>826.03</v>
      </c>
      <c r="F719" s="15">
        <f>IFERROR(PRD[[#This Row],[VALOR]]/PRD[[#This Row],[KGS]],"")</f>
        <v>7.5588396778916538</v>
      </c>
      <c r="H719" s="27"/>
    </row>
    <row r="720" spans="1:8" x14ac:dyDescent="0.25">
      <c r="A720" s="21" t="s">
        <v>13</v>
      </c>
      <c r="B720" s="1">
        <v>45017</v>
      </c>
      <c r="C720" s="2" t="s">
        <v>14</v>
      </c>
      <c r="D720" s="7">
        <v>36</v>
      </c>
      <c r="E720" s="10">
        <v>272.7</v>
      </c>
      <c r="F720" s="15">
        <f>IFERROR(PRD[[#This Row],[VALOR]]/PRD[[#This Row],[KGS]],"")</f>
        <v>7.5749999999999993</v>
      </c>
      <c r="H720" s="27"/>
    </row>
    <row r="721" spans="1:8" x14ac:dyDescent="0.25">
      <c r="A721" s="21" t="s">
        <v>428</v>
      </c>
      <c r="B721" s="1">
        <v>45017</v>
      </c>
      <c r="C721" s="3" t="s">
        <v>429</v>
      </c>
      <c r="D721" s="8">
        <v>508.7</v>
      </c>
      <c r="E721" s="11">
        <v>1271.75</v>
      </c>
      <c r="F721" s="15">
        <f>IFERROR(PRD[[#This Row],[VALOR]]/PRD[[#This Row],[KGS]],"")</f>
        <v>2.5</v>
      </c>
      <c r="H721" s="27"/>
    </row>
    <row r="722" spans="1:8" x14ac:dyDescent="0.25">
      <c r="A722" s="21" t="s">
        <v>15</v>
      </c>
      <c r="B722" s="1">
        <v>45017</v>
      </c>
      <c r="C722" t="s">
        <v>336</v>
      </c>
      <c r="D722" s="7">
        <v>488.15</v>
      </c>
      <c r="E722" s="10">
        <v>670.61</v>
      </c>
      <c r="F722" s="15">
        <f>IFERROR(PRD[[#This Row],[VALOR]]/PRD[[#This Row],[KGS]],"")</f>
        <v>1.3737785516746903</v>
      </c>
      <c r="H722" s="27"/>
    </row>
    <row r="723" spans="1:8" x14ac:dyDescent="0.25">
      <c r="A723" s="21" t="s">
        <v>17</v>
      </c>
      <c r="B723" s="1">
        <v>45017</v>
      </c>
      <c r="C723" t="s">
        <v>337</v>
      </c>
      <c r="D723" s="8">
        <v>41.8</v>
      </c>
      <c r="E723" s="11">
        <v>44.98</v>
      </c>
      <c r="F723" s="15">
        <f>IFERROR(PRD[[#This Row],[VALOR]]/PRD[[#This Row],[KGS]],"")</f>
        <v>1.0760765550239235</v>
      </c>
      <c r="H723" s="27"/>
    </row>
    <row r="724" spans="1:8" x14ac:dyDescent="0.25">
      <c r="A724" s="21" t="s">
        <v>430</v>
      </c>
      <c r="B724" s="1">
        <v>45017</v>
      </c>
      <c r="C724" s="2" t="s">
        <v>431</v>
      </c>
      <c r="D724" s="7">
        <v>189.66</v>
      </c>
      <c r="E724" s="10">
        <v>266.10000000000002</v>
      </c>
      <c r="F724" s="15">
        <f>IFERROR(PRD[[#This Row],[VALOR]]/PRD[[#This Row],[KGS]],"")</f>
        <v>1.4030370136032901</v>
      </c>
      <c r="H724" s="27"/>
    </row>
    <row r="725" spans="1:8" x14ac:dyDescent="0.25">
      <c r="A725" s="21" t="s">
        <v>19</v>
      </c>
      <c r="B725" s="1">
        <v>45017</v>
      </c>
      <c r="C725" t="s">
        <v>20</v>
      </c>
      <c r="D725" s="8">
        <v>778.3</v>
      </c>
      <c r="E725" s="11">
        <v>576.4</v>
      </c>
      <c r="F725" s="15">
        <f>IFERROR(PRD[[#This Row],[VALOR]]/PRD[[#This Row],[KGS]],"")</f>
        <v>0.74058846203263529</v>
      </c>
      <c r="H725" s="27"/>
    </row>
    <row r="726" spans="1:8" x14ac:dyDescent="0.25">
      <c r="A726" s="21" t="s">
        <v>21</v>
      </c>
      <c r="B726" s="1">
        <v>45017</v>
      </c>
      <c r="C726" t="s">
        <v>22</v>
      </c>
      <c r="D726" s="7">
        <v>46.2</v>
      </c>
      <c r="E726" s="10">
        <v>24.87</v>
      </c>
      <c r="F726" s="15">
        <f>IFERROR(PRD[[#This Row],[VALOR]]/PRD[[#This Row],[KGS]],"")</f>
        <v>0.5383116883116883</v>
      </c>
      <c r="H726" s="27"/>
    </row>
    <row r="727" spans="1:8" x14ac:dyDescent="0.25">
      <c r="A727" s="21" t="s">
        <v>23</v>
      </c>
      <c r="B727" s="1">
        <v>45017</v>
      </c>
      <c r="C727" s="3" t="s">
        <v>24</v>
      </c>
      <c r="D727" s="8">
        <v>43.6</v>
      </c>
      <c r="E727" s="11">
        <v>60.62</v>
      </c>
      <c r="F727" s="15">
        <f>IFERROR(PRD[[#This Row],[VALOR]]/PRD[[#This Row],[KGS]],"")</f>
        <v>1.3903669724770642</v>
      </c>
      <c r="H727" s="27"/>
    </row>
    <row r="728" spans="1:8" x14ac:dyDescent="0.25">
      <c r="A728" s="21" t="s">
        <v>432</v>
      </c>
      <c r="B728" s="1">
        <v>45017</v>
      </c>
      <c r="C728" s="2" t="s">
        <v>338</v>
      </c>
      <c r="D728" s="7">
        <v>101.7</v>
      </c>
      <c r="E728" s="10">
        <v>274.58999999999997</v>
      </c>
      <c r="F728" s="15">
        <f>IFERROR(PRD[[#This Row],[VALOR]]/PRD[[#This Row],[KGS]],"")</f>
        <v>2.6999999999999997</v>
      </c>
      <c r="H728" s="27"/>
    </row>
    <row r="729" spans="1:8" x14ac:dyDescent="0.25">
      <c r="A729" s="21" t="s">
        <v>433</v>
      </c>
      <c r="B729" s="1">
        <v>45017</v>
      </c>
      <c r="C729" s="3" t="s">
        <v>340</v>
      </c>
      <c r="D729" s="8">
        <v>442.6</v>
      </c>
      <c r="E729" s="11">
        <v>177.04</v>
      </c>
      <c r="F729" s="15">
        <f>IFERROR(PRD[[#This Row],[VALOR]]/PRD[[#This Row],[KGS]],"")</f>
        <v>0.39999999999999997</v>
      </c>
      <c r="H729" s="27"/>
    </row>
    <row r="730" spans="1:8" x14ac:dyDescent="0.25">
      <c r="A730" s="21" t="s">
        <v>434</v>
      </c>
      <c r="B730" s="1">
        <v>45017</v>
      </c>
      <c r="C730" s="2" t="s">
        <v>342</v>
      </c>
      <c r="D730" s="7">
        <v>130.9</v>
      </c>
      <c r="E730" s="10">
        <v>78.540000000000006</v>
      </c>
      <c r="F730" s="15">
        <f>IFERROR(PRD[[#This Row],[VALOR]]/PRD[[#This Row],[KGS]],"")</f>
        <v>0.6</v>
      </c>
      <c r="H730" s="27"/>
    </row>
    <row r="731" spans="1:8" x14ac:dyDescent="0.25">
      <c r="A731" s="21" t="s">
        <v>435</v>
      </c>
      <c r="B731" s="1">
        <v>45017</v>
      </c>
      <c r="C731" s="3" t="s">
        <v>344</v>
      </c>
      <c r="D731" s="8">
        <v>137.1</v>
      </c>
      <c r="E731" s="11">
        <v>233.07</v>
      </c>
      <c r="F731" s="15">
        <f>IFERROR(PRD[[#This Row],[VALOR]]/PRD[[#This Row],[KGS]],"")</f>
        <v>1.7</v>
      </c>
      <c r="H731" s="27"/>
    </row>
    <row r="732" spans="1:8" x14ac:dyDescent="0.25">
      <c r="A732" s="21" t="s">
        <v>294</v>
      </c>
      <c r="B732" s="1">
        <v>45017</v>
      </c>
      <c r="C732" s="2" t="s">
        <v>295</v>
      </c>
      <c r="D732" s="7">
        <v>8128.3</v>
      </c>
      <c r="E732" s="10">
        <v>9017.7800000000007</v>
      </c>
      <c r="F732" s="15">
        <f>IFERROR(PRD[[#This Row],[VALOR]]/PRD[[#This Row],[KGS]],"")</f>
        <v>1.1094300161165311</v>
      </c>
      <c r="H732" s="27"/>
    </row>
    <row r="733" spans="1:8" x14ac:dyDescent="0.25">
      <c r="A733" s="21" t="s">
        <v>26</v>
      </c>
      <c r="B733" s="1">
        <v>45017</v>
      </c>
      <c r="C733" s="3" t="s">
        <v>27</v>
      </c>
      <c r="D733" s="8">
        <v>2524.92</v>
      </c>
      <c r="E733" s="11">
        <v>1998.43</v>
      </c>
      <c r="F733" s="15">
        <f>IFERROR(PRD[[#This Row],[VALOR]]/PRD[[#This Row],[KGS]],"")</f>
        <v>0.79148250241591811</v>
      </c>
      <c r="H733" s="27"/>
    </row>
    <row r="734" spans="1:8" x14ac:dyDescent="0.25">
      <c r="A734" s="21" t="s">
        <v>296</v>
      </c>
      <c r="B734" s="1">
        <v>45017</v>
      </c>
      <c r="C734" s="2" t="s">
        <v>297</v>
      </c>
      <c r="D734" s="7">
        <v>967</v>
      </c>
      <c r="E734" s="10">
        <v>483.5</v>
      </c>
      <c r="F734" s="15">
        <f>IFERROR(PRD[[#This Row],[VALOR]]/PRD[[#This Row],[KGS]],"")</f>
        <v>0.5</v>
      </c>
      <c r="H734" s="27"/>
    </row>
    <row r="735" spans="1:8" x14ac:dyDescent="0.25">
      <c r="A735" s="21" t="s">
        <v>28</v>
      </c>
      <c r="B735" s="1">
        <v>45017</v>
      </c>
      <c r="C735" s="3" t="s">
        <v>29</v>
      </c>
      <c r="D735" s="8">
        <v>18474</v>
      </c>
      <c r="E735" s="11">
        <v>1477.92</v>
      </c>
      <c r="F735" s="15">
        <f>IFERROR(PRD[[#This Row],[VALOR]]/PRD[[#This Row],[KGS]],"")</f>
        <v>0.08</v>
      </c>
      <c r="H735" s="27"/>
    </row>
    <row r="736" spans="1:8" x14ac:dyDescent="0.25">
      <c r="A736" s="21" t="s">
        <v>30</v>
      </c>
      <c r="B736" s="1">
        <v>45017</v>
      </c>
      <c r="C736" s="2" t="s">
        <v>31</v>
      </c>
      <c r="D736" s="7">
        <v>273.44</v>
      </c>
      <c r="E736" s="10">
        <v>448.59</v>
      </c>
      <c r="F736" s="15">
        <f>IFERROR(PRD[[#This Row],[VALOR]]/PRD[[#This Row],[KGS]],"")</f>
        <v>1.6405427150380338</v>
      </c>
      <c r="H736" s="27"/>
    </row>
    <row r="737" spans="1:8" x14ac:dyDescent="0.25">
      <c r="A737" s="21" t="s">
        <v>32</v>
      </c>
      <c r="B737" s="1">
        <v>45017</v>
      </c>
      <c r="C737" s="3" t="s">
        <v>33</v>
      </c>
      <c r="D737" s="8">
        <v>2911.39</v>
      </c>
      <c r="E737" s="11">
        <v>6170.66</v>
      </c>
      <c r="F737" s="15">
        <f>IFERROR(PRD[[#This Row],[VALOR]]/PRD[[#This Row],[KGS]],"")</f>
        <v>2.11948931609987</v>
      </c>
      <c r="H737" s="27"/>
    </row>
    <row r="738" spans="1:8" x14ac:dyDescent="0.25">
      <c r="A738" s="21" t="s">
        <v>34</v>
      </c>
      <c r="B738" s="1">
        <v>45017</v>
      </c>
      <c r="C738" s="2" t="s">
        <v>35</v>
      </c>
      <c r="D738" s="7">
        <v>57.32</v>
      </c>
      <c r="E738" s="10">
        <v>85.98</v>
      </c>
      <c r="F738" s="15">
        <f>IFERROR(PRD[[#This Row],[VALOR]]/PRD[[#This Row],[KGS]],"")</f>
        <v>1.5</v>
      </c>
      <c r="H738" s="27"/>
    </row>
    <row r="739" spans="1:8" x14ac:dyDescent="0.25">
      <c r="A739" s="21" t="s">
        <v>36</v>
      </c>
      <c r="B739" s="1">
        <v>45017</v>
      </c>
      <c r="C739" s="3" t="s">
        <v>37</v>
      </c>
      <c r="D739" s="8">
        <v>52.5</v>
      </c>
      <c r="E739" s="11">
        <v>49.01</v>
      </c>
      <c r="F739" s="15">
        <f>IFERROR(PRD[[#This Row],[VALOR]]/PRD[[#This Row],[KGS]],"")</f>
        <v>0.93352380952380953</v>
      </c>
      <c r="H739" s="27"/>
    </row>
    <row r="740" spans="1:8" x14ac:dyDescent="0.25">
      <c r="A740" s="21" t="s">
        <v>436</v>
      </c>
      <c r="B740" s="1">
        <v>45017</v>
      </c>
      <c r="C740" s="2" t="s">
        <v>437</v>
      </c>
      <c r="D740" s="7">
        <v>420</v>
      </c>
      <c r="E740" s="10">
        <v>210</v>
      </c>
      <c r="F740" s="15">
        <f>IFERROR(PRD[[#This Row],[VALOR]]/PRD[[#This Row],[KGS]],"")</f>
        <v>0.5</v>
      </c>
      <c r="H740" s="27"/>
    </row>
    <row r="741" spans="1:8" x14ac:dyDescent="0.25">
      <c r="A741" s="21" t="s">
        <v>301</v>
      </c>
      <c r="B741" s="1">
        <v>45017</v>
      </c>
      <c r="C741" s="3" t="s">
        <v>302</v>
      </c>
      <c r="D741" s="8">
        <v>387.2</v>
      </c>
      <c r="E741" s="11">
        <v>1084.1600000000001</v>
      </c>
      <c r="F741" s="15">
        <f>IFERROR(PRD[[#This Row],[VALOR]]/PRD[[#This Row],[KGS]],"")</f>
        <v>2.8000000000000003</v>
      </c>
      <c r="H741" s="27"/>
    </row>
    <row r="742" spans="1:8" x14ac:dyDescent="0.25">
      <c r="A742" s="21" t="s">
        <v>38</v>
      </c>
      <c r="B742" s="1">
        <v>45017</v>
      </c>
      <c r="C742" s="2" t="s">
        <v>39</v>
      </c>
      <c r="D742" s="7">
        <v>1185.94</v>
      </c>
      <c r="E742" s="10">
        <v>1837.98</v>
      </c>
      <c r="F742" s="15">
        <f>IFERROR(PRD[[#This Row],[VALOR]]/PRD[[#This Row],[KGS]],"")</f>
        <v>1.5498085906538273</v>
      </c>
      <c r="H742" s="27"/>
    </row>
    <row r="743" spans="1:8" x14ac:dyDescent="0.25">
      <c r="A743" s="21" t="s">
        <v>40</v>
      </c>
      <c r="B743" s="1">
        <v>45017</v>
      </c>
      <c r="C743" s="3" t="s">
        <v>41</v>
      </c>
      <c r="D743" s="8">
        <v>277.5</v>
      </c>
      <c r="E743" s="11">
        <v>593.37</v>
      </c>
      <c r="F743" s="15">
        <f>IFERROR(PRD[[#This Row],[VALOR]]/PRD[[#This Row],[KGS]],"")</f>
        <v>2.1382702702702705</v>
      </c>
      <c r="H743" s="27"/>
    </row>
    <row r="744" spans="1:8" x14ac:dyDescent="0.25">
      <c r="A744" s="21" t="s">
        <v>42</v>
      </c>
      <c r="B744" s="1">
        <v>45017</v>
      </c>
      <c r="C744" s="2" t="s">
        <v>43</v>
      </c>
      <c r="D744" s="7">
        <v>772.9</v>
      </c>
      <c r="E744" s="10">
        <v>1339.46</v>
      </c>
      <c r="F744" s="15">
        <f>IFERROR(PRD[[#This Row],[VALOR]]/PRD[[#This Row],[KGS]],"")</f>
        <v>1.733031440031052</v>
      </c>
      <c r="H744" s="27"/>
    </row>
    <row r="745" spans="1:8" x14ac:dyDescent="0.25">
      <c r="A745" s="21" t="s">
        <v>44</v>
      </c>
      <c r="B745" s="1">
        <v>45017</v>
      </c>
      <c r="C745" s="3" t="s">
        <v>45</v>
      </c>
      <c r="D745" s="8">
        <v>341.27</v>
      </c>
      <c r="E745" s="11">
        <v>563.37</v>
      </c>
      <c r="F745" s="15">
        <f>IFERROR(PRD[[#This Row],[VALOR]]/PRD[[#This Row],[KGS]],"")</f>
        <v>1.6508043484630939</v>
      </c>
      <c r="H745" s="27"/>
    </row>
    <row r="746" spans="1:8" x14ac:dyDescent="0.25">
      <c r="A746" s="21" t="s">
        <v>46</v>
      </c>
      <c r="B746" s="1">
        <v>45017</v>
      </c>
      <c r="C746" s="2" t="s">
        <v>47</v>
      </c>
      <c r="D746" s="7">
        <v>70</v>
      </c>
      <c r="E746" s="10">
        <v>35</v>
      </c>
      <c r="F746" s="15">
        <f>IFERROR(PRD[[#This Row],[VALOR]]/PRD[[#This Row],[KGS]],"")</f>
        <v>0.5</v>
      </c>
      <c r="H746" s="27"/>
    </row>
    <row r="747" spans="1:8" x14ac:dyDescent="0.25">
      <c r="A747" s="21" t="s">
        <v>48</v>
      </c>
      <c r="B747" s="1">
        <v>45017</v>
      </c>
      <c r="C747" s="3" t="s">
        <v>49</v>
      </c>
      <c r="D747" s="8">
        <v>740.47</v>
      </c>
      <c r="E747" s="11">
        <v>1208.44</v>
      </c>
      <c r="F747" s="15">
        <f>IFERROR(PRD[[#This Row],[VALOR]]/PRD[[#This Row],[KGS]],"")</f>
        <v>1.6319904925250179</v>
      </c>
      <c r="H747" s="27"/>
    </row>
    <row r="748" spans="1:8" x14ac:dyDescent="0.25">
      <c r="A748" s="21" t="s">
        <v>52</v>
      </c>
      <c r="B748" s="1">
        <v>45017</v>
      </c>
      <c r="C748" s="3" t="s">
        <v>53</v>
      </c>
      <c r="D748" s="8">
        <v>1166.4000000000001</v>
      </c>
      <c r="E748" s="11">
        <v>467.04</v>
      </c>
      <c r="F748" s="15">
        <f>IFERROR(PRD[[#This Row],[VALOR]]/PRD[[#This Row],[KGS]],"")</f>
        <v>0.40041152263374485</v>
      </c>
      <c r="H748" s="27"/>
    </row>
    <row r="749" spans="1:8" x14ac:dyDescent="0.25">
      <c r="A749" s="21" t="s">
        <v>54</v>
      </c>
      <c r="B749" s="1">
        <v>45017</v>
      </c>
      <c r="C749" s="2" t="s">
        <v>55</v>
      </c>
      <c r="D749" s="7">
        <v>106</v>
      </c>
      <c r="E749" s="10">
        <v>104</v>
      </c>
      <c r="F749" s="15">
        <f>IFERROR(PRD[[#This Row],[VALOR]]/PRD[[#This Row],[KGS]],"")</f>
        <v>0.98113207547169812</v>
      </c>
      <c r="H749" s="27"/>
    </row>
    <row r="750" spans="1:8" x14ac:dyDescent="0.25">
      <c r="A750" s="21" t="s">
        <v>438</v>
      </c>
      <c r="B750" s="1">
        <v>45017</v>
      </c>
      <c r="C750" s="3" t="s">
        <v>439</v>
      </c>
      <c r="D750" s="8">
        <v>22</v>
      </c>
      <c r="E750" s="11">
        <v>33</v>
      </c>
      <c r="F750" s="15">
        <f>IFERROR(PRD[[#This Row],[VALOR]]/PRD[[#This Row],[KGS]],"")</f>
        <v>1.5</v>
      </c>
      <c r="H750" s="27"/>
    </row>
    <row r="751" spans="1:8" x14ac:dyDescent="0.25">
      <c r="A751" s="21" t="s">
        <v>56</v>
      </c>
      <c r="B751" s="1">
        <v>45017</v>
      </c>
      <c r="C751" s="2" t="s">
        <v>57</v>
      </c>
      <c r="D751" s="7">
        <v>161.80000000000001</v>
      </c>
      <c r="E751" s="10">
        <v>210.34</v>
      </c>
      <c r="F751" s="15">
        <f>IFERROR(PRD[[#This Row],[VALOR]]/PRD[[#This Row],[KGS]],"")</f>
        <v>1.2999999999999998</v>
      </c>
      <c r="H751" s="27"/>
    </row>
    <row r="752" spans="1:8" x14ac:dyDescent="0.25">
      <c r="A752" s="21" t="s">
        <v>440</v>
      </c>
      <c r="B752" s="1">
        <v>45017</v>
      </c>
      <c r="C752" s="3" t="s">
        <v>346</v>
      </c>
      <c r="D752" s="8">
        <v>3609</v>
      </c>
      <c r="E752" s="11">
        <v>8300.7000000000007</v>
      </c>
      <c r="F752" s="15">
        <f>IFERROR(PRD[[#This Row],[VALOR]]/PRD[[#This Row],[KGS]],"")</f>
        <v>2.3000000000000003</v>
      </c>
      <c r="H752" s="27"/>
    </row>
    <row r="753" spans="1:8" x14ac:dyDescent="0.25">
      <c r="A753" s="21" t="s">
        <v>58</v>
      </c>
      <c r="B753" s="1">
        <v>45017</v>
      </c>
      <c r="C753" s="2" t="s">
        <v>59</v>
      </c>
      <c r="D753" s="7">
        <v>1632.9</v>
      </c>
      <c r="E753" s="10">
        <v>1733.1</v>
      </c>
      <c r="F753" s="15">
        <f>IFERROR(PRD[[#This Row],[VALOR]]/PRD[[#This Row],[KGS]],"")</f>
        <v>1.0613632188131543</v>
      </c>
      <c r="H753" s="27"/>
    </row>
    <row r="754" spans="1:8" x14ac:dyDescent="0.25">
      <c r="A754" s="21" t="s">
        <v>441</v>
      </c>
      <c r="B754" s="1">
        <v>45017</v>
      </c>
      <c r="C754" s="3" t="s">
        <v>347</v>
      </c>
      <c r="D754" s="8">
        <v>736</v>
      </c>
      <c r="E754" s="11">
        <v>956.8</v>
      </c>
      <c r="F754" s="15">
        <f>IFERROR(PRD[[#This Row],[VALOR]]/PRD[[#This Row],[KGS]],"")</f>
        <v>1.3</v>
      </c>
      <c r="H754" s="27"/>
    </row>
    <row r="755" spans="1:8" x14ac:dyDescent="0.25">
      <c r="A755" s="21" t="s">
        <v>442</v>
      </c>
      <c r="B755" s="1">
        <v>45017</v>
      </c>
      <c r="C755" s="2" t="s">
        <v>443</v>
      </c>
      <c r="D755" s="7">
        <v>12.2</v>
      </c>
      <c r="E755" s="10">
        <v>20.74</v>
      </c>
      <c r="F755" s="15">
        <f>IFERROR(PRD[[#This Row],[VALOR]]/PRD[[#This Row],[KGS]],"")</f>
        <v>1.7</v>
      </c>
      <c r="H755" s="27"/>
    </row>
    <row r="756" spans="1:8" x14ac:dyDescent="0.25">
      <c r="A756" s="21" t="s">
        <v>444</v>
      </c>
      <c r="B756" s="1">
        <v>45017</v>
      </c>
      <c r="C756" s="3" t="s">
        <v>348</v>
      </c>
      <c r="D756" s="8">
        <v>872.9</v>
      </c>
      <c r="E756" s="11">
        <v>261.87</v>
      </c>
      <c r="F756" s="15">
        <f>IFERROR(PRD[[#This Row],[VALOR]]/PRD[[#This Row],[KGS]],"")</f>
        <v>0.3</v>
      </c>
      <c r="H756" s="27"/>
    </row>
    <row r="757" spans="1:8" x14ac:dyDescent="0.25">
      <c r="A757" s="21" t="s">
        <v>60</v>
      </c>
      <c r="B757" s="1">
        <v>45017</v>
      </c>
      <c r="C757" s="2" t="s">
        <v>61</v>
      </c>
      <c r="D757" s="7">
        <v>8</v>
      </c>
      <c r="E757" s="10">
        <v>4</v>
      </c>
      <c r="F757" s="15">
        <f>IFERROR(PRD[[#This Row],[VALOR]]/PRD[[#This Row],[KGS]],"")</f>
        <v>0.5</v>
      </c>
      <c r="H757" s="27"/>
    </row>
    <row r="758" spans="1:8" x14ac:dyDescent="0.25">
      <c r="A758" s="21" t="s">
        <v>62</v>
      </c>
      <c r="B758" s="1">
        <v>45017</v>
      </c>
      <c r="C758" s="3" t="s">
        <v>63</v>
      </c>
      <c r="D758" s="8">
        <v>57521.3</v>
      </c>
      <c r="E758" s="11">
        <v>171476.17</v>
      </c>
      <c r="F758" s="15">
        <f>IFERROR(PRD[[#This Row],[VALOR]]/PRD[[#This Row],[KGS]],"")</f>
        <v>2.9810899614577555</v>
      </c>
      <c r="H758" s="27"/>
    </row>
    <row r="759" spans="1:8" x14ac:dyDescent="0.25">
      <c r="A759" s="21" t="s">
        <v>64</v>
      </c>
      <c r="B759" s="1">
        <v>45017</v>
      </c>
      <c r="C759" s="2" t="s">
        <v>65</v>
      </c>
      <c r="D759" s="7">
        <v>356.4</v>
      </c>
      <c r="E759" s="10">
        <v>1087.02</v>
      </c>
      <c r="F759" s="15">
        <f>IFERROR(PRD[[#This Row],[VALOR]]/PRD[[#This Row],[KGS]],"")</f>
        <v>3.0500000000000003</v>
      </c>
      <c r="H759" s="27"/>
    </row>
    <row r="760" spans="1:8" x14ac:dyDescent="0.25">
      <c r="A760" s="21" t="s">
        <v>66</v>
      </c>
      <c r="B760" s="1">
        <v>45017</v>
      </c>
      <c r="C760" s="3" t="s">
        <v>67</v>
      </c>
      <c r="D760" s="8">
        <v>66185.14</v>
      </c>
      <c r="E760" s="11">
        <v>217731.94</v>
      </c>
      <c r="F760" s="15">
        <f>IFERROR(PRD[[#This Row],[VALOR]]/PRD[[#This Row],[KGS]],"")</f>
        <v>3.2897405671424131</v>
      </c>
      <c r="H760" s="27"/>
    </row>
    <row r="761" spans="1:8" x14ac:dyDescent="0.25">
      <c r="A761" s="21" t="s">
        <v>68</v>
      </c>
      <c r="B761" s="1">
        <v>45017</v>
      </c>
      <c r="C761" s="2" t="s">
        <v>69</v>
      </c>
      <c r="D761" s="7">
        <v>11354.69</v>
      </c>
      <c r="E761" s="10">
        <v>37193.93</v>
      </c>
      <c r="F761" s="15">
        <f>IFERROR(PRD[[#This Row],[VALOR]]/PRD[[#This Row],[KGS]],"")</f>
        <v>3.2756446895511897</v>
      </c>
      <c r="H761" s="27"/>
    </row>
    <row r="762" spans="1:8" x14ac:dyDescent="0.25">
      <c r="A762" s="21" t="s">
        <v>70</v>
      </c>
      <c r="B762" s="1">
        <v>45017</v>
      </c>
      <c r="C762" s="3" t="s">
        <v>71</v>
      </c>
      <c r="D762" s="8">
        <v>2959.5</v>
      </c>
      <c r="E762" s="11">
        <v>10164.790000000001</v>
      </c>
      <c r="F762" s="15">
        <f>IFERROR(PRD[[#This Row],[VALOR]]/PRD[[#This Row],[KGS]],"")</f>
        <v>3.4346308498057105</v>
      </c>
      <c r="H762" s="27"/>
    </row>
    <row r="763" spans="1:8" x14ac:dyDescent="0.25">
      <c r="A763" s="21" t="s">
        <v>72</v>
      </c>
      <c r="B763" s="1">
        <v>45017</v>
      </c>
      <c r="C763" s="2" t="s">
        <v>73</v>
      </c>
      <c r="D763" s="7">
        <v>5885.48</v>
      </c>
      <c r="E763" s="10">
        <v>17849.82</v>
      </c>
      <c r="F763" s="15">
        <f>IFERROR(PRD[[#This Row],[VALOR]]/PRD[[#This Row],[KGS]],"")</f>
        <v>3.0328571331480187</v>
      </c>
      <c r="H763" s="27"/>
    </row>
    <row r="764" spans="1:8" x14ac:dyDescent="0.25">
      <c r="A764" s="21" t="s">
        <v>74</v>
      </c>
      <c r="B764" s="1">
        <v>45017</v>
      </c>
      <c r="C764" s="3" t="s">
        <v>75</v>
      </c>
      <c r="D764" s="8">
        <v>306.54000000000002</v>
      </c>
      <c r="E764" s="11">
        <v>986.88</v>
      </c>
      <c r="F764" s="15">
        <f>IFERROR(PRD[[#This Row],[VALOR]]/PRD[[#This Row],[KGS]],"")</f>
        <v>3.2194167155999214</v>
      </c>
      <c r="H764" s="27"/>
    </row>
    <row r="765" spans="1:8" x14ac:dyDescent="0.25">
      <c r="A765" s="21" t="s">
        <v>76</v>
      </c>
      <c r="B765" s="1">
        <v>45017</v>
      </c>
      <c r="C765" s="2" t="s">
        <v>77</v>
      </c>
      <c r="D765" s="7">
        <v>8122.3</v>
      </c>
      <c r="E765" s="10">
        <v>29634.880000000001</v>
      </c>
      <c r="F765" s="15">
        <f>IFERROR(PRD[[#This Row],[VALOR]]/PRD[[#This Row],[KGS]],"")</f>
        <v>3.6485822981175282</v>
      </c>
      <c r="H765" s="27"/>
    </row>
    <row r="766" spans="1:8" x14ac:dyDescent="0.25">
      <c r="A766" s="21" t="s">
        <v>78</v>
      </c>
      <c r="B766" s="1">
        <v>45017</v>
      </c>
      <c r="C766" s="3" t="s">
        <v>79</v>
      </c>
      <c r="D766" s="8">
        <v>274.36</v>
      </c>
      <c r="E766" s="11">
        <v>1567.98</v>
      </c>
      <c r="F766" s="15">
        <f>IFERROR(PRD[[#This Row],[VALOR]]/PRD[[#This Row],[KGS]],"")</f>
        <v>5.7150459250619621</v>
      </c>
      <c r="H766" s="27"/>
    </row>
    <row r="767" spans="1:8" x14ac:dyDescent="0.25">
      <c r="A767" s="21" t="s">
        <v>80</v>
      </c>
      <c r="B767" s="1">
        <v>45017</v>
      </c>
      <c r="C767" s="2" t="s">
        <v>349</v>
      </c>
      <c r="D767" s="7">
        <v>310.36</v>
      </c>
      <c r="E767" s="10">
        <v>1117.3</v>
      </c>
      <c r="F767" s="15">
        <f>IFERROR(PRD[[#This Row],[VALOR]]/PRD[[#This Row],[KGS]],"")</f>
        <v>3.6000128882587958</v>
      </c>
      <c r="H767" s="27"/>
    </row>
    <row r="768" spans="1:8" x14ac:dyDescent="0.25">
      <c r="A768" s="21" t="s">
        <v>82</v>
      </c>
      <c r="B768" s="1">
        <v>45017</v>
      </c>
      <c r="C768" s="3" t="s">
        <v>83</v>
      </c>
      <c r="D768" s="8">
        <v>13197</v>
      </c>
      <c r="E768" s="11">
        <v>47633</v>
      </c>
      <c r="F768" s="15">
        <f>IFERROR(PRD[[#This Row],[VALOR]]/PRD[[#This Row],[KGS]],"")</f>
        <v>3.6093809199060392</v>
      </c>
      <c r="H768" s="27"/>
    </row>
    <row r="769" spans="1:8" x14ac:dyDescent="0.25">
      <c r="A769" s="21" t="s">
        <v>85</v>
      </c>
      <c r="B769" s="1">
        <v>45017</v>
      </c>
      <c r="C769" s="2" t="s">
        <v>86</v>
      </c>
      <c r="D769" s="7">
        <v>1777.9</v>
      </c>
      <c r="E769" s="10">
        <v>7834.87</v>
      </c>
      <c r="F769" s="15">
        <f>IFERROR(PRD[[#This Row],[VALOR]]/PRD[[#This Row],[KGS]],"")</f>
        <v>4.4068114067157884</v>
      </c>
      <c r="H769" s="27"/>
    </row>
    <row r="770" spans="1:8" x14ac:dyDescent="0.25">
      <c r="A770" s="21" t="s">
        <v>87</v>
      </c>
      <c r="B770" s="1">
        <v>45017</v>
      </c>
      <c r="C770" s="3" t="s">
        <v>88</v>
      </c>
      <c r="D770" s="8">
        <v>151.09</v>
      </c>
      <c r="E770" s="11">
        <v>237.69</v>
      </c>
      <c r="F770" s="15">
        <f>IFERROR(PRD[[#This Row],[VALOR]]/PRD[[#This Row],[KGS]],"")</f>
        <v>1.5731683102786418</v>
      </c>
      <c r="H770" s="27"/>
    </row>
    <row r="771" spans="1:8" x14ac:dyDescent="0.25">
      <c r="A771" s="21" t="s">
        <v>89</v>
      </c>
      <c r="B771" s="1">
        <v>45017</v>
      </c>
      <c r="C771" s="2" t="s">
        <v>90</v>
      </c>
      <c r="D771" s="7">
        <v>10127.68</v>
      </c>
      <c r="E771" s="10">
        <v>34304.11</v>
      </c>
      <c r="F771" s="15">
        <f>IFERROR(PRD[[#This Row],[VALOR]]/PRD[[#This Row],[KGS]],"")</f>
        <v>3.3871636939555754</v>
      </c>
      <c r="H771" s="27"/>
    </row>
    <row r="772" spans="1:8" x14ac:dyDescent="0.25">
      <c r="A772" s="21" t="s">
        <v>91</v>
      </c>
      <c r="B772" s="1">
        <v>45017</v>
      </c>
      <c r="C772" s="3" t="s">
        <v>92</v>
      </c>
      <c r="D772" s="8">
        <v>1579</v>
      </c>
      <c r="E772" s="11">
        <v>5605.45</v>
      </c>
      <c r="F772" s="15">
        <f>IFERROR(PRD[[#This Row],[VALOR]]/PRD[[#This Row],[KGS]],"")</f>
        <v>3.55</v>
      </c>
      <c r="H772" s="27"/>
    </row>
    <row r="773" spans="1:8" x14ac:dyDescent="0.25">
      <c r="A773" s="21" t="s">
        <v>445</v>
      </c>
      <c r="B773" s="1">
        <v>45017</v>
      </c>
      <c r="C773" s="2" t="s">
        <v>306</v>
      </c>
      <c r="D773" s="7">
        <v>276.8</v>
      </c>
      <c r="E773" s="10">
        <v>973.71</v>
      </c>
      <c r="F773" s="15">
        <f>IFERROR(PRD[[#This Row],[VALOR]]/PRD[[#This Row],[KGS]],"")</f>
        <v>3.5177384393063584</v>
      </c>
      <c r="H773" s="27"/>
    </row>
    <row r="774" spans="1:8" x14ac:dyDescent="0.25">
      <c r="A774" s="21" t="s">
        <v>93</v>
      </c>
      <c r="B774" s="1">
        <v>45017</v>
      </c>
      <c r="C774" s="3" t="s">
        <v>94</v>
      </c>
      <c r="D774" s="8">
        <v>807.96</v>
      </c>
      <c r="E774" s="11">
        <v>5030.99</v>
      </c>
      <c r="F774" s="15">
        <f>IFERROR(PRD[[#This Row],[VALOR]]/PRD[[#This Row],[KGS]],"")</f>
        <v>6.2267810287637992</v>
      </c>
      <c r="H774" s="27"/>
    </row>
    <row r="775" spans="1:8" x14ac:dyDescent="0.25">
      <c r="A775" s="21" t="s">
        <v>95</v>
      </c>
      <c r="B775" s="1">
        <v>45017</v>
      </c>
      <c r="C775" s="2" t="s">
        <v>96</v>
      </c>
      <c r="D775" s="7">
        <v>8179.16</v>
      </c>
      <c r="E775" s="10">
        <v>32299.63</v>
      </c>
      <c r="F775" s="15">
        <f>IFERROR(PRD[[#This Row],[VALOR]]/PRD[[#This Row],[KGS]],"")</f>
        <v>3.94901554682877</v>
      </c>
      <c r="H775" s="27"/>
    </row>
    <row r="776" spans="1:8" x14ac:dyDescent="0.25">
      <c r="A776" s="21" t="s">
        <v>97</v>
      </c>
      <c r="B776" s="1">
        <v>45017</v>
      </c>
      <c r="C776" s="3" t="s">
        <v>98</v>
      </c>
      <c r="D776" s="8">
        <v>19.399999999999999</v>
      </c>
      <c r="E776" s="11">
        <v>98.16</v>
      </c>
      <c r="F776" s="15">
        <f>IFERROR(PRD[[#This Row],[VALOR]]/PRD[[#This Row],[KGS]],"")</f>
        <v>5.0597938144329895</v>
      </c>
      <c r="H776" s="27"/>
    </row>
    <row r="777" spans="1:8" x14ac:dyDescent="0.25">
      <c r="A777" s="21" t="s">
        <v>99</v>
      </c>
      <c r="B777" s="1">
        <v>45017</v>
      </c>
      <c r="C777" s="2" t="s">
        <v>100</v>
      </c>
      <c r="D777" s="7">
        <v>40069.660000000003</v>
      </c>
      <c r="E777" s="10">
        <v>151604.4</v>
      </c>
      <c r="F777" s="15">
        <f>IFERROR(PRD[[#This Row],[VALOR]]/PRD[[#This Row],[KGS]],"")</f>
        <v>3.783520998181666</v>
      </c>
      <c r="H777" s="27"/>
    </row>
    <row r="778" spans="1:8" x14ac:dyDescent="0.25">
      <c r="A778" s="21" t="s">
        <v>101</v>
      </c>
      <c r="B778" s="1">
        <v>45017</v>
      </c>
      <c r="C778" s="3" t="s">
        <v>102</v>
      </c>
      <c r="D778" s="8">
        <v>79.8</v>
      </c>
      <c r="E778" s="11">
        <v>469.61</v>
      </c>
      <c r="F778" s="15">
        <f>IFERROR(PRD[[#This Row],[VALOR]]/PRD[[#This Row],[KGS]],"")</f>
        <v>5.8848370927318303</v>
      </c>
      <c r="H778" s="27"/>
    </row>
    <row r="779" spans="1:8" x14ac:dyDescent="0.25">
      <c r="A779" s="21" t="s">
        <v>103</v>
      </c>
      <c r="B779" s="1">
        <v>45017</v>
      </c>
      <c r="C779" s="2" t="s">
        <v>104</v>
      </c>
      <c r="D779" s="7">
        <v>14153.95</v>
      </c>
      <c r="E779" s="10">
        <v>43026.54</v>
      </c>
      <c r="F779" s="15">
        <f>IFERROR(PRD[[#This Row],[VALOR]]/PRD[[#This Row],[KGS]],"")</f>
        <v>3.0398962833696599</v>
      </c>
      <c r="H779" s="27"/>
    </row>
    <row r="780" spans="1:8" x14ac:dyDescent="0.25">
      <c r="A780" s="21" t="s">
        <v>105</v>
      </c>
      <c r="B780" s="1">
        <v>45017</v>
      </c>
      <c r="C780" s="3" t="s">
        <v>106</v>
      </c>
      <c r="D780" s="8">
        <v>452.7</v>
      </c>
      <c r="E780" s="11">
        <v>1397.83</v>
      </c>
      <c r="F780" s="15">
        <f>IFERROR(PRD[[#This Row],[VALOR]]/PRD[[#This Row],[KGS]],"")</f>
        <v>3.0877623149988955</v>
      </c>
      <c r="H780" s="27"/>
    </row>
    <row r="781" spans="1:8" x14ac:dyDescent="0.25">
      <c r="A781" s="21" t="s">
        <v>107</v>
      </c>
      <c r="B781" s="1">
        <v>45017</v>
      </c>
      <c r="C781" s="2" t="s">
        <v>446</v>
      </c>
      <c r="D781" s="7">
        <v>82100</v>
      </c>
      <c r="E781" s="10">
        <v>251.17</v>
      </c>
      <c r="F781" s="15">
        <f>IFERROR(PRD[[#This Row],[VALOR]]/PRD[[#This Row],[KGS]],"")</f>
        <v>3.0593179049939099E-3</v>
      </c>
      <c r="H781" s="27"/>
    </row>
    <row r="782" spans="1:8" x14ac:dyDescent="0.25">
      <c r="A782" s="21" t="s">
        <v>109</v>
      </c>
      <c r="B782" s="1">
        <v>45017</v>
      </c>
      <c r="C782" s="3" t="s">
        <v>110</v>
      </c>
      <c r="D782" s="8">
        <v>7049.9</v>
      </c>
      <c r="E782" s="11">
        <v>20693.54</v>
      </c>
      <c r="F782" s="15">
        <f>IFERROR(PRD[[#This Row],[VALOR]]/PRD[[#This Row],[KGS]],"")</f>
        <v>2.9352955361068953</v>
      </c>
      <c r="H782" s="27"/>
    </row>
    <row r="783" spans="1:8" x14ac:dyDescent="0.25">
      <c r="A783" s="21" t="s">
        <v>111</v>
      </c>
      <c r="B783" s="1">
        <v>45017</v>
      </c>
      <c r="C783" s="2" t="s">
        <v>112</v>
      </c>
      <c r="D783" s="7">
        <v>3701.82</v>
      </c>
      <c r="E783" s="10">
        <v>10539.28</v>
      </c>
      <c r="F783" s="15">
        <f>IFERROR(PRD[[#This Row],[VALOR]]/PRD[[#This Row],[KGS]],"")</f>
        <v>2.8470536114667921</v>
      </c>
      <c r="H783" s="27"/>
    </row>
    <row r="784" spans="1:8" x14ac:dyDescent="0.25">
      <c r="A784" s="21" t="s">
        <v>113</v>
      </c>
      <c r="B784" s="1">
        <v>45017</v>
      </c>
      <c r="C784" s="3" t="s">
        <v>114</v>
      </c>
      <c r="D784" s="8">
        <v>2353.6999999999998</v>
      </c>
      <c r="E784" s="11">
        <v>8758.57</v>
      </c>
      <c r="F784" s="15">
        <f>IFERROR(PRD[[#This Row],[VALOR]]/PRD[[#This Row],[KGS]],"")</f>
        <v>3.721192165526618</v>
      </c>
      <c r="H784" s="27"/>
    </row>
    <row r="785" spans="1:8" x14ac:dyDescent="0.25">
      <c r="A785" s="21" t="s">
        <v>447</v>
      </c>
      <c r="B785" s="1">
        <v>45017</v>
      </c>
      <c r="C785" s="2" t="s">
        <v>448</v>
      </c>
      <c r="D785" s="7">
        <v>408.2</v>
      </c>
      <c r="E785" s="10">
        <v>1449.11</v>
      </c>
      <c r="F785" s="15">
        <f>IFERROR(PRD[[#This Row],[VALOR]]/PRD[[#This Row],[KGS]],"")</f>
        <v>3.55</v>
      </c>
      <c r="H785" s="27"/>
    </row>
    <row r="786" spans="1:8" x14ac:dyDescent="0.25">
      <c r="A786" s="21" t="s">
        <v>449</v>
      </c>
      <c r="B786" s="1">
        <v>45017</v>
      </c>
      <c r="C786" s="3" t="s">
        <v>351</v>
      </c>
      <c r="D786" s="8">
        <v>1000.31</v>
      </c>
      <c r="E786" s="11">
        <v>4082.59</v>
      </c>
      <c r="F786" s="15">
        <f>IFERROR(PRD[[#This Row],[VALOR]]/PRD[[#This Row],[KGS]],"")</f>
        <v>4.0813247893153131</v>
      </c>
      <c r="H786" s="27"/>
    </row>
    <row r="787" spans="1:8" x14ac:dyDescent="0.25">
      <c r="A787" s="21" t="s">
        <v>116</v>
      </c>
      <c r="B787" s="1">
        <v>45017</v>
      </c>
      <c r="C787" s="2" t="s">
        <v>117</v>
      </c>
      <c r="D787" s="7">
        <v>80.400000000000006</v>
      </c>
      <c r="E787" s="10">
        <v>299.08999999999997</v>
      </c>
      <c r="F787" s="15">
        <f>IFERROR(PRD[[#This Row],[VALOR]]/PRD[[#This Row],[KGS]],"")</f>
        <v>3.7200248756218901</v>
      </c>
      <c r="H787" s="27"/>
    </row>
    <row r="788" spans="1:8" x14ac:dyDescent="0.25">
      <c r="A788" s="21" t="s">
        <v>118</v>
      </c>
      <c r="B788" s="1">
        <v>45017</v>
      </c>
      <c r="C788" s="3" t="s">
        <v>119</v>
      </c>
      <c r="D788" s="8">
        <v>6282.8</v>
      </c>
      <c r="E788" s="11">
        <v>20280.8</v>
      </c>
      <c r="F788" s="15">
        <f>IFERROR(PRD[[#This Row],[VALOR]]/PRD[[#This Row],[KGS]],"")</f>
        <v>3.2279875214872349</v>
      </c>
      <c r="H788" s="27"/>
    </row>
    <row r="789" spans="1:8" x14ac:dyDescent="0.25">
      <c r="A789" s="21" t="s">
        <v>120</v>
      </c>
      <c r="B789" s="1">
        <v>45017</v>
      </c>
      <c r="C789" s="2" t="s">
        <v>121</v>
      </c>
      <c r="D789" s="7">
        <v>169.5</v>
      </c>
      <c r="E789" s="10">
        <v>349.08</v>
      </c>
      <c r="F789" s="15">
        <f>IFERROR(PRD[[#This Row],[VALOR]]/PRD[[#This Row],[KGS]],"")</f>
        <v>2.0594690265486726</v>
      </c>
      <c r="H789" s="27"/>
    </row>
    <row r="790" spans="1:8" x14ac:dyDescent="0.25">
      <c r="A790" s="21" t="s">
        <v>122</v>
      </c>
      <c r="B790" s="1">
        <v>45017</v>
      </c>
      <c r="C790" s="3" t="s">
        <v>123</v>
      </c>
      <c r="D790" s="8">
        <v>90</v>
      </c>
      <c r="E790" s="11">
        <v>179</v>
      </c>
      <c r="F790" s="15">
        <f>IFERROR(PRD[[#This Row],[VALOR]]/PRD[[#This Row],[KGS]],"")</f>
        <v>1.9888888888888889</v>
      </c>
      <c r="H790" s="27"/>
    </row>
    <row r="791" spans="1:8" x14ac:dyDescent="0.25">
      <c r="A791" s="21" t="s">
        <v>124</v>
      </c>
      <c r="B791" s="1">
        <v>45017</v>
      </c>
      <c r="C791" s="2" t="s">
        <v>125</v>
      </c>
      <c r="D791" s="7">
        <v>360</v>
      </c>
      <c r="E791" s="10">
        <v>380</v>
      </c>
      <c r="F791" s="15">
        <f>IFERROR(PRD[[#This Row],[VALOR]]/PRD[[#This Row],[KGS]],"")</f>
        <v>1.0555555555555556</v>
      </c>
      <c r="H791" s="27"/>
    </row>
    <row r="792" spans="1:8" x14ac:dyDescent="0.25">
      <c r="A792" s="21" t="s">
        <v>126</v>
      </c>
      <c r="B792" s="1">
        <v>45017</v>
      </c>
      <c r="C792" s="3" t="s">
        <v>127</v>
      </c>
      <c r="D792" s="8">
        <v>220</v>
      </c>
      <c r="E792" s="11">
        <v>210</v>
      </c>
      <c r="F792" s="15">
        <f>IFERROR(PRD[[#This Row],[VALOR]]/PRD[[#This Row],[KGS]],"")</f>
        <v>0.95454545454545459</v>
      </c>
      <c r="H792" s="27"/>
    </row>
    <row r="793" spans="1:8" x14ac:dyDescent="0.25">
      <c r="A793" s="21" t="s">
        <v>128</v>
      </c>
      <c r="B793" s="1">
        <v>45017</v>
      </c>
      <c r="C793" s="2" t="s">
        <v>129</v>
      </c>
      <c r="D793" s="7">
        <v>35.44</v>
      </c>
      <c r="E793" s="10">
        <v>90.24</v>
      </c>
      <c r="F793" s="15">
        <f>IFERROR(PRD[[#This Row],[VALOR]]/PRD[[#This Row],[KGS]],"")</f>
        <v>2.5462753950338599</v>
      </c>
      <c r="H793" s="27"/>
    </row>
    <row r="794" spans="1:8" x14ac:dyDescent="0.25">
      <c r="A794" s="21" t="s">
        <v>450</v>
      </c>
      <c r="B794" s="1">
        <v>45017</v>
      </c>
      <c r="C794" s="3" t="s">
        <v>451</v>
      </c>
      <c r="D794" s="8">
        <v>111.93</v>
      </c>
      <c r="E794" s="11">
        <v>582.03</v>
      </c>
      <c r="F794" s="15">
        <f>IFERROR(PRD[[#This Row],[VALOR]]/PRD[[#This Row],[KGS]],"")</f>
        <v>5.1999463950683458</v>
      </c>
      <c r="H794" s="27"/>
    </row>
    <row r="795" spans="1:8" x14ac:dyDescent="0.25">
      <c r="A795" s="21" t="s">
        <v>452</v>
      </c>
      <c r="B795" s="1">
        <v>45017</v>
      </c>
      <c r="C795" s="2" t="s">
        <v>453</v>
      </c>
      <c r="D795" s="7">
        <v>323</v>
      </c>
      <c r="E795" s="10">
        <v>1453.5</v>
      </c>
      <c r="F795" s="15">
        <f>IFERROR(PRD[[#This Row],[VALOR]]/PRD[[#This Row],[KGS]],"")</f>
        <v>4.5</v>
      </c>
      <c r="H795" s="27"/>
    </row>
    <row r="796" spans="1:8" x14ac:dyDescent="0.25">
      <c r="A796" s="21" t="s">
        <v>130</v>
      </c>
      <c r="B796" s="1">
        <v>45017</v>
      </c>
      <c r="C796" s="3" t="s">
        <v>131</v>
      </c>
      <c r="D796" s="8">
        <v>6713.51</v>
      </c>
      <c r="E796" s="11">
        <v>22114.3</v>
      </c>
      <c r="F796" s="15">
        <f>IFERROR(PRD[[#This Row],[VALOR]]/PRD[[#This Row],[KGS]],"")</f>
        <v>3.2939997110304442</v>
      </c>
      <c r="H796" s="27"/>
    </row>
    <row r="797" spans="1:8" x14ac:dyDescent="0.25">
      <c r="A797" s="21" t="s">
        <v>132</v>
      </c>
      <c r="B797" s="1">
        <v>45017</v>
      </c>
      <c r="C797" s="2" t="s">
        <v>133</v>
      </c>
      <c r="D797" s="7">
        <v>2009.34</v>
      </c>
      <c r="E797" s="10">
        <v>7626.51</v>
      </c>
      <c r="F797" s="15">
        <f>IFERROR(PRD[[#This Row],[VALOR]]/PRD[[#This Row],[KGS]],"")</f>
        <v>3.7955298754815017</v>
      </c>
      <c r="H797" s="27"/>
    </row>
    <row r="798" spans="1:8" x14ac:dyDescent="0.25">
      <c r="A798" s="21" t="s">
        <v>134</v>
      </c>
      <c r="B798" s="1">
        <v>45017</v>
      </c>
      <c r="C798" t="s">
        <v>135</v>
      </c>
      <c r="D798" s="8">
        <v>729.99</v>
      </c>
      <c r="E798" s="11">
        <v>2694.16</v>
      </c>
      <c r="F798" s="15">
        <f>IFERROR(PRD[[#This Row],[VALOR]]/PRD[[#This Row],[KGS]],"")</f>
        <v>3.6906806942560855</v>
      </c>
      <c r="H798" s="27"/>
    </row>
    <row r="799" spans="1:8" x14ac:dyDescent="0.25">
      <c r="A799" s="21" t="s">
        <v>136</v>
      </c>
      <c r="B799" s="1">
        <v>45017</v>
      </c>
      <c r="C799" s="2" t="s">
        <v>137</v>
      </c>
      <c r="D799" s="7">
        <v>2562.06</v>
      </c>
      <c r="E799" s="10">
        <v>9407.3799999999992</v>
      </c>
      <c r="F799" s="15">
        <f>IFERROR(PRD[[#This Row],[VALOR]]/PRD[[#This Row],[KGS]],"")</f>
        <v>3.6718031583959778</v>
      </c>
      <c r="H799" s="27"/>
    </row>
    <row r="800" spans="1:8" x14ac:dyDescent="0.25">
      <c r="A800" s="21" t="s">
        <v>138</v>
      </c>
      <c r="B800" s="1">
        <v>45017</v>
      </c>
      <c r="C800" s="3" t="s">
        <v>139</v>
      </c>
      <c r="D800" s="8">
        <v>169.25</v>
      </c>
      <c r="E800" s="11">
        <v>575.45000000000005</v>
      </c>
      <c r="F800" s="15">
        <f>IFERROR(PRD[[#This Row],[VALOR]]/PRD[[#This Row],[KGS]],"")</f>
        <v>3.4000000000000004</v>
      </c>
      <c r="H800" s="27"/>
    </row>
    <row r="801" spans="1:8" x14ac:dyDescent="0.25">
      <c r="A801" s="21" t="s">
        <v>140</v>
      </c>
      <c r="B801" s="1">
        <v>45017</v>
      </c>
      <c r="C801" s="2" t="s">
        <v>141</v>
      </c>
      <c r="D801" s="7">
        <v>1097.01</v>
      </c>
      <c r="E801" s="10">
        <v>3716.86</v>
      </c>
      <c r="F801" s="15">
        <f>IFERROR(PRD[[#This Row],[VALOR]]/PRD[[#This Row],[KGS]],"")</f>
        <v>3.3881733074447817</v>
      </c>
      <c r="H801" s="27"/>
    </row>
    <row r="802" spans="1:8" x14ac:dyDescent="0.25">
      <c r="A802" s="21" t="s">
        <v>142</v>
      </c>
      <c r="B802" s="1">
        <v>45017</v>
      </c>
      <c r="C802" s="3" t="s">
        <v>143</v>
      </c>
      <c r="D802" s="8">
        <v>451.81</v>
      </c>
      <c r="E802" s="11">
        <v>1700.15</v>
      </c>
      <c r="F802" s="15">
        <f>IFERROR(PRD[[#This Row],[VALOR]]/PRD[[#This Row],[KGS]],"")</f>
        <v>3.7629755870830661</v>
      </c>
      <c r="H802" s="27"/>
    </row>
    <row r="803" spans="1:8" x14ac:dyDescent="0.25">
      <c r="A803" s="21" t="s">
        <v>144</v>
      </c>
      <c r="B803" s="1">
        <v>45017</v>
      </c>
      <c r="C803" s="2" t="s">
        <v>145</v>
      </c>
      <c r="D803" s="7">
        <v>6527.83</v>
      </c>
      <c r="E803" s="10">
        <v>23443.03</v>
      </c>
      <c r="F803" s="15">
        <f>IFERROR(PRD[[#This Row],[VALOR]]/PRD[[#This Row],[KGS]],"")</f>
        <v>3.5912439508994565</v>
      </c>
      <c r="H803" s="27"/>
    </row>
    <row r="804" spans="1:8" x14ac:dyDescent="0.25">
      <c r="A804" s="21" t="s">
        <v>146</v>
      </c>
      <c r="B804" s="1">
        <v>45017</v>
      </c>
      <c r="C804" s="3" t="s">
        <v>147</v>
      </c>
      <c r="D804" s="8">
        <v>990.56</v>
      </c>
      <c r="E804" s="11">
        <v>3853.81</v>
      </c>
      <c r="F804" s="15">
        <f>IFERROR(PRD[[#This Row],[VALOR]]/PRD[[#This Row],[KGS]],"")</f>
        <v>3.8905366661282508</v>
      </c>
      <c r="H804" s="27"/>
    </row>
    <row r="805" spans="1:8" x14ac:dyDescent="0.25">
      <c r="A805" s="21" t="s">
        <v>148</v>
      </c>
      <c r="B805" s="1">
        <v>45017</v>
      </c>
      <c r="C805" s="2" t="s">
        <v>149</v>
      </c>
      <c r="D805" s="7">
        <v>383.82</v>
      </c>
      <c r="E805" s="10">
        <v>1509.45</v>
      </c>
      <c r="F805" s="15">
        <f>IFERROR(PRD[[#This Row],[VALOR]]/PRD[[#This Row],[KGS]],"")</f>
        <v>3.9327028294513053</v>
      </c>
      <c r="H805" s="27"/>
    </row>
    <row r="806" spans="1:8" x14ac:dyDescent="0.25">
      <c r="A806" s="21" t="s">
        <v>150</v>
      </c>
      <c r="B806" s="1">
        <v>45017</v>
      </c>
      <c r="C806" s="3" t="s">
        <v>151</v>
      </c>
      <c r="D806" s="8">
        <v>1587.53</v>
      </c>
      <c r="E806" s="11">
        <v>5995.09</v>
      </c>
      <c r="F806" s="15">
        <f>IFERROR(PRD[[#This Row],[VALOR]]/PRD[[#This Row],[KGS]],"")</f>
        <v>3.7763632813238175</v>
      </c>
      <c r="H806" s="27"/>
    </row>
    <row r="807" spans="1:8" x14ac:dyDescent="0.25">
      <c r="A807" s="21" t="s">
        <v>152</v>
      </c>
      <c r="B807" s="1">
        <v>45017</v>
      </c>
      <c r="C807" s="2" t="s">
        <v>153</v>
      </c>
      <c r="D807" s="7">
        <v>1984.33</v>
      </c>
      <c r="E807" s="10">
        <v>7399.25</v>
      </c>
      <c r="F807" s="15">
        <f>IFERROR(PRD[[#This Row],[VALOR]]/PRD[[#This Row],[KGS]],"")</f>
        <v>3.7288404650436169</v>
      </c>
      <c r="H807" s="27"/>
    </row>
    <row r="808" spans="1:8" x14ac:dyDescent="0.25">
      <c r="A808" s="21" t="s">
        <v>454</v>
      </c>
      <c r="B808" s="1">
        <v>45017</v>
      </c>
      <c r="C808" s="3" t="s">
        <v>455</v>
      </c>
      <c r="D808" s="8">
        <v>225.42</v>
      </c>
      <c r="E808" s="11">
        <v>890.41</v>
      </c>
      <c r="F808" s="15">
        <f>IFERROR(PRD[[#This Row],[VALOR]]/PRD[[#This Row],[KGS]],"")</f>
        <v>3.950004436163606</v>
      </c>
      <c r="H808" s="27"/>
    </row>
    <row r="809" spans="1:8" x14ac:dyDescent="0.25">
      <c r="A809" s="21" t="s">
        <v>154</v>
      </c>
      <c r="B809" s="1">
        <v>45017</v>
      </c>
      <c r="C809" s="2" t="s">
        <v>155</v>
      </c>
      <c r="D809" s="7">
        <v>1418.23</v>
      </c>
      <c r="E809" s="10">
        <v>5512.89</v>
      </c>
      <c r="F809" s="15">
        <f>IFERROR(PRD[[#This Row],[VALOR]]/PRD[[#This Row],[KGS]],"")</f>
        <v>3.8871621669263803</v>
      </c>
      <c r="H809" s="27"/>
    </row>
    <row r="810" spans="1:8" x14ac:dyDescent="0.25">
      <c r="A810" s="21" t="s">
        <v>156</v>
      </c>
      <c r="B810" s="1">
        <v>45017</v>
      </c>
      <c r="C810" s="3" t="s">
        <v>157</v>
      </c>
      <c r="D810" s="8">
        <v>2181.85</v>
      </c>
      <c r="E810" s="11">
        <v>8416.82</v>
      </c>
      <c r="F810" s="15">
        <f>IFERROR(PRD[[#This Row],[VALOR]]/PRD[[#This Row],[KGS]],"")</f>
        <v>3.8576529092284071</v>
      </c>
      <c r="H810" s="27"/>
    </row>
    <row r="811" spans="1:8" x14ac:dyDescent="0.25">
      <c r="A811" s="21" t="s">
        <v>158</v>
      </c>
      <c r="B811" s="1">
        <v>45017</v>
      </c>
      <c r="C811" s="2" t="s">
        <v>159</v>
      </c>
      <c r="D811" s="7">
        <v>902.49</v>
      </c>
      <c r="E811" s="10">
        <v>2928.92</v>
      </c>
      <c r="F811" s="15">
        <f>IFERROR(PRD[[#This Row],[VALOR]]/PRD[[#This Row],[KGS]],"")</f>
        <v>3.2453766800740174</v>
      </c>
      <c r="H811" s="27"/>
    </row>
    <row r="812" spans="1:8" x14ac:dyDescent="0.25">
      <c r="A812" s="21" t="s">
        <v>160</v>
      </c>
      <c r="B812" s="1">
        <v>45017</v>
      </c>
      <c r="C812" s="3" t="s">
        <v>161</v>
      </c>
      <c r="D812" s="8">
        <v>52854</v>
      </c>
      <c r="E812" s="11">
        <v>174.42</v>
      </c>
      <c r="F812" s="15">
        <f>IFERROR(PRD[[#This Row],[VALOR]]/PRD[[#This Row],[KGS]],"")</f>
        <v>3.3000340560790098E-3</v>
      </c>
      <c r="H812" s="27"/>
    </row>
    <row r="813" spans="1:8" x14ac:dyDescent="0.25">
      <c r="A813" s="21" t="s">
        <v>162</v>
      </c>
      <c r="B813" s="1">
        <v>45017</v>
      </c>
      <c r="C813" s="2" t="s">
        <v>163</v>
      </c>
      <c r="D813" s="7">
        <v>51350</v>
      </c>
      <c r="E813" s="10">
        <v>164.93</v>
      </c>
      <c r="F813" s="15">
        <f>IFERROR(PRD[[#This Row],[VALOR]]/PRD[[#This Row],[KGS]],"")</f>
        <v>3.2118792599805258E-3</v>
      </c>
      <c r="H813" s="27"/>
    </row>
    <row r="814" spans="1:8" x14ac:dyDescent="0.25">
      <c r="A814" s="21" t="s">
        <v>456</v>
      </c>
      <c r="B814" s="1">
        <v>45017</v>
      </c>
      <c r="C814" s="3" t="s">
        <v>457</v>
      </c>
      <c r="D814" s="8">
        <v>5.7</v>
      </c>
      <c r="E814" s="11">
        <v>17.670000000000002</v>
      </c>
      <c r="F814" s="15">
        <f>IFERROR(PRD[[#This Row],[VALOR]]/PRD[[#This Row],[KGS]],"")</f>
        <v>3.1</v>
      </c>
      <c r="H814" s="27"/>
    </row>
    <row r="815" spans="1:8" x14ac:dyDescent="0.25">
      <c r="A815" s="21" t="s">
        <v>164</v>
      </c>
      <c r="B815" s="1">
        <v>45017</v>
      </c>
      <c r="C815" s="2" t="s">
        <v>165</v>
      </c>
      <c r="D815" s="7">
        <v>377.33</v>
      </c>
      <c r="E815" s="10">
        <v>1061.75</v>
      </c>
      <c r="F815" s="15">
        <f>IFERROR(PRD[[#This Row],[VALOR]]/PRD[[#This Row],[KGS]],"")</f>
        <v>2.8138499456708983</v>
      </c>
      <c r="H815" s="27"/>
    </row>
    <row r="816" spans="1:8" x14ac:dyDescent="0.25">
      <c r="A816" s="21" t="s">
        <v>458</v>
      </c>
      <c r="B816" s="1">
        <v>45017</v>
      </c>
      <c r="C816" s="3" t="s">
        <v>459</v>
      </c>
      <c r="D816" s="8">
        <v>235.3</v>
      </c>
      <c r="E816" s="11">
        <v>658.84</v>
      </c>
      <c r="F816" s="15">
        <f>IFERROR(PRD[[#This Row],[VALOR]]/PRD[[#This Row],[KGS]],"")</f>
        <v>2.8</v>
      </c>
      <c r="H816" s="27"/>
    </row>
    <row r="817" spans="1:8" x14ac:dyDescent="0.25">
      <c r="A817" s="21" t="s">
        <v>166</v>
      </c>
      <c r="B817" s="1">
        <v>45017</v>
      </c>
      <c r="C817" s="2" t="s">
        <v>167</v>
      </c>
      <c r="D817" s="7">
        <v>2007.18</v>
      </c>
      <c r="E817" s="10">
        <v>4866.24</v>
      </c>
      <c r="F817" s="15">
        <f>IFERROR(PRD[[#This Row],[VALOR]]/PRD[[#This Row],[KGS]],"")</f>
        <v>2.4244163453202998</v>
      </c>
      <c r="H817" s="27"/>
    </row>
    <row r="818" spans="1:8" x14ac:dyDescent="0.25">
      <c r="A818" s="21" t="s">
        <v>168</v>
      </c>
      <c r="B818" s="1">
        <v>45017</v>
      </c>
      <c r="C818" s="3" t="s">
        <v>169</v>
      </c>
      <c r="D818" s="8">
        <v>457.83</v>
      </c>
      <c r="E818" s="11">
        <v>1128.54</v>
      </c>
      <c r="F818" s="15">
        <f>IFERROR(PRD[[#This Row],[VALOR]]/PRD[[#This Row],[KGS]],"")</f>
        <v>2.464976082825503</v>
      </c>
      <c r="H818" s="27"/>
    </row>
    <row r="819" spans="1:8" x14ac:dyDescent="0.25">
      <c r="A819" s="21" t="s">
        <v>170</v>
      </c>
      <c r="B819" s="1">
        <v>45017</v>
      </c>
      <c r="C819" s="2" t="s">
        <v>171</v>
      </c>
      <c r="D819" s="7">
        <v>811.67</v>
      </c>
      <c r="E819" s="10">
        <v>1893.19</v>
      </c>
      <c r="F819" s="15">
        <f>IFERROR(PRD[[#This Row],[VALOR]]/PRD[[#This Row],[KGS]],"")</f>
        <v>2.3324627003585201</v>
      </c>
      <c r="H819" s="27"/>
    </row>
    <row r="820" spans="1:8" x14ac:dyDescent="0.25">
      <c r="A820" s="21" t="s">
        <v>172</v>
      </c>
      <c r="B820" s="1">
        <v>45017</v>
      </c>
      <c r="C820" s="3" t="s">
        <v>173</v>
      </c>
      <c r="D820" s="8">
        <v>161.5</v>
      </c>
      <c r="E820" s="11">
        <v>613.48</v>
      </c>
      <c r="F820" s="15">
        <f>IFERROR(PRD[[#This Row],[VALOR]]/PRD[[#This Row],[KGS]],"")</f>
        <v>3.7986377708978329</v>
      </c>
      <c r="H820" s="27"/>
    </row>
    <row r="821" spans="1:8" x14ac:dyDescent="0.25">
      <c r="A821" s="21" t="s">
        <v>174</v>
      </c>
      <c r="B821" s="1">
        <v>45017</v>
      </c>
      <c r="C821" s="2" t="s">
        <v>307</v>
      </c>
      <c r="D821" s="7">
        <v>290.33</v>
      </c>
      <c r="E821" s="10">
        <v>1098.18</v>
      </c>
      <c r="F821" s="15">
        <f>IFERROR(PRD[[#This Row],[VALOR]]/PRD[[#This Row],[KGS]],"")</f>
        <v>3.7825233355147594</v>
      </c>
      <c r="H821" s="27"/>
    </row>
    <row r="822" spans="1:8" x14ac:dyDescent="0.25">
      <c r="A822" s="21" t="s">
        <v>175</v>
      </c>
      <c r="B822" s="1">
        <v>45017</v>
      </c>
      <c r="C822" s="3" t="s">
        <v>176</v>
      </c>
      <c r="D822" s="8">
        <v>1952.93</v>
      </c>
      <c r="E822" s="11">
        <v>4710.42</v>
      </c>
      <c r="F822" s="15">
        <f>IFERROR(PRD[[#This Row],[VALOR]]/PRD[[#This Row],[KGS]],"")</f>
        <v>2.4119758516690304</v>
      </c>
      <c r="H822" s="27"/>
    </row>
    <row r="823" spans="1:8" x14ac:dyDescent="0.25">
      <c r="A823" s="21" t="s">
        <v>177</v>
      </c>
      <c r="B823" s="1">
        <v>45017</v>
      </c>
      <c r="C823" s="2" t="s">
        <v>178</v>
      </c>
      <c r="D823" s="7">
        <v>19.420000000000002</v>
      </c>
      <c r="E823" s="10">
        <v>56.82</v>
      </c>
      <c r="F823" s="15">
        <f>IFERROR(PRD[[#This Row],[VALOR]]/PRD[[#This Row],[KGS]],"")</f>
        <v>2.9258496395468585</v>
      </c>
      <c r="H823" s="27"/>
    </row>
    <row r="824" spans="1:8" x14ac:dyDescent="0.25">
      <c r="A824" s="21" t="s">
        <v>179</v>
      </c>
      <c r="B824" s="1">
        <v>45017</v>
      </c>
      <c r="C824" s="3" t="s">
        <v>180</v>
      </c>
      <c r="D824" s="8">
        <v>10.76</v>
      </c>
      <c r="E824" s="11">
        <v>28.81</v>
      </c>
      <c r="F824" s="15">
        <f>IFERROR(PRD[[#This Row],[VALOR]]/PRD[[#This Row],[KGS]],"")</f>
        <v>2.6775092936802976</v>
      </c>
      <c r="H824" s="27"/>
    </row>
    <row r="825" spans="1:8" x14ac:dyDescent="0.25">
      <c r="A825" s="21" t="s">
        <v>181</v>
      </c>
      <c r="B825" s="1">
        <v>45017</v>
      </c>
      <c r="C825" s="2" t="s">
        <v>182</v>
      </c>
      <c r="D825" s="7">
        <v>241.5</v>
      </c>
      <c r="E825" s="10">
        <v>1013.31</v>
      </c>
      <c r="F825" s="15">
        <f>IFERROR(PRD[[#This Row],[VALOR]]/PRD[[#This Row],[KGS]],"")</f>
        <v>4.1959006211180121</v>
      </c>
      <c r="H825" s="27"/>
    </row>
    <row r="826" spans="1:8" x14ac:dyDescent="0.25">
      <c r="A826" s="21" t="s">
        <v>183</v>
      </c>
      <c r="B826" s="1">
        <v>45017</v>
      </c>
      <c r="C826" t="s">
        <v>309</v>
      </c>
      <c r="D826" s="8">
        <v>606</v>
      </c>
      <c r="E826" s="11">
        <v>1672.55</v>
      </c>
      <c r="F826" s="15">
        <f>IFERROR(PRD[[#This Row],[VALOR]]/PRD[[#This Row],[KGS]],"")</f>
        <v>2.7599834983498348</v>
      </c>
      <c r="H826" s="27"/>
    </row>
    <row r="827" spans="1:8" x14ac:dyDescent="0.25">
      <c r="A827" s="21" t="s">
        <v>185</v>
      </c>
      <c r="B827" s="1">
        <v>45017</v>
      </c>
      <c r="C827" s="2" t="s">
        <v>186</v>
      </c>
      <c r="D827" s="7">
        <v>1520</v>
      </c>
      <c r="E827" s="10">
        <v>3181.7</v>
      </c>
      <c r="F827" s="15">
        <f>IFERROR(PRD[[#This Row],[VALOR]]/PRD[[#This Row],[KGS]],"")</f>
        <v>2.0932236842105261</v>
      </c>
      <c r="H827" s="27"/>
    </row>
    <row r="828" spans="1:8" x14ac:dyDescent="0.25">
      <c r="A828" s="21" t="s">
        <v>187</v>
      </c>
      <c r="B828" s="1">
        <v>45017</v>
      </c>
      <c r="C828" s="3" t="s">
        <v>188</v>
      </c>
      <c r="D828" s="8">
        <v>3350</v>
      </c>
      <c r="E828" s="11">
        <v>6740.96</v>
      </c>
      <c r="F828" s="15">
        <f>IFERROR(PRD[[#This Row],[VALOR]]/PRD[[#This Row],[KGS]],"")</f>
        <v>2.012226865671642</v>
      </c>
      <c r="H828" s="27"/>
    </row>
    <row r="829" spans="1:8" x14ac:dyDescent="0.25">
      <c r="A829" s="21" t="s">
        <v>189</v>
      </c>
      <c r="B829" s="1">
        <v>45017</v>
      </c>
      <c r="C829" s="2" t="s">
        <v>190</v>
      </c>
      <c r="D829" s="7">
        <v>2400</v>
      </c>
      <c r="E829" s="10">
        <v>4879</v>
      </c>
      <c r="F829" s="15">
        <f>IFERROR(PRD[[#This Row],[VALOR]]/PRD[[#This Row],[KGS]],"")</f>
        <v>2.0329166666666665</v>
      </c>
      <c r="H829" s="27"/>
    </row>
    <row r="830" spans="1:8" x14ac:dyDescent="0.25">
      <c r="A830" s="21" t="s">
        <v>191</v>
      </c>
      <c r="B830" s="1">
        <v>45017</v>
      </c>
      <c r="C830" s="3" t="s">
        <v>192</v>
      </c>
      <c r="D830" s="8">
        <v>1086.1400000000001</v>
      </c>
      <c r="E830" s="11">
        <v>4132.3599999999997</v>
      </c>
      <c r="F830" s="15">
        <f>IFERROR(PRD[[#This Row],[VALOR]]/PRD[[#This Row],[KGS]],"")</f>
        <v>3.8046292374831969</v>
      </c>
      <c r="H830" s="27"/>
    </row>
    <row r="831" spans="1:8" x14ac:dyDescent="0.25">
      <c r="A831" s="21" t="s">
        <v>195</v>
      </c>
      <c r="B831" s="1">
        <v>45017</v>
      </c>
      <c r="C831" s="2" t="s">
        <v>196</v>
      </c>
      <c r="D831" s="7">
        <v>354.46</v>
      </c>
      <c r="E831" s="10">
        <v>1002.44</v>
      </c>
      <c r="F831" s="15">
        <f>IFERROR(PRD[[#This Row],[VALOR]]/PRD[[#This Row],[KGS]],"")</f>
        <v>2.8280765107487449</v>
      </c>
      <c r="H831" s="27"/>
    </row>
    <row r="832" spans="1:8" x14ac:dyDescent="0.25">
      <c r="A832" s="21" t="s">
        <v>197</v>
      </c>
      <c r="B832" s="1">
        <v>45017</v>
      </c>
      <c r="C832" s="3" t="s">
        <v>198</v>
      </c>
      <c r="D832" s="8">
        <v>1303.76</v>
      </c>
      <c r="E832" s="11">
        <v>1289.01</v>
      </c>
      <c r="F832" s="15">
        <f>IFERROR(PRD[[#This Row],[VALOR]]/PRD[[#This Row],[KGS]],"")</f>
        <v>0.98868656808001476</v>
      </c>
      <c r="H832" s="27"/>
    </row>
    <row r="833" spans="1:8" x14ac:dyDescent="0.25">
      <c r="A833" s="21" t="s">
        <v>199</v>
      </c>
      <c r="B833" s="1">
        <v>45017</v>
      </c>
      <c r="C833" s="2" t="s">
        <v>200</v>
      </c>
      <c r="D833" s="7">
        <v>285.2</v>
      </c>
      <c r="E833" s="10">
        <v>1766.76</v>
      </c>
      <c r="F833" s="15">
        <f>IFERROR(PRD[[#This Row],[VALOR]]/PRD[[#This Row],[KGS]],"")</f>
        <v>6.194810659186536</v>
      </c>
      <c r="H833" s="27"/>
    </row>
    <row r="834" spans="1:8" x14ac:dyDescent="0.25">
      <c r="A834" s="21" t="s">
        <v>201</v>
      </c>
      <c r="B834" s="1">
        <v>45017</v>
      </c>
      <c r="C834" s="3" t="s">
        <v>202</v>
      </c>
      <c r="D834" s="8">
        <v>503.08</v>
      </c>
      <c r="E834" s="11">
        <v>2989.74</v>
      </c>
      <c r="F834" s="15">
        <f>IFERROR(PRD[[#This Row],[VALOR]]/PRD[[#This Row],[KGS]],"")</f>
        <v>5.9428719090403117</v>
      </c>
      <c r="H834" s="27"/>
    </row>
    <row r="835" spans="1:8" x14ac:dyDescent="0.25">
      <c r="A835" s="21" t="s">
        <v>203</v>
      </c>
      <c r="B835" s="1">
        <v>45017</v>
      </c>
      <c r="C835" t="s">
        <v>311</v>
      </c>
      <c r="D835" s="7">
        <v>306.67</v>
      </c>
      <c r="E835" s="10">
        <v>2070.17</v>
      </c>
      <c r="F835" s="15">
        <f>IFERROR(PRD[[#This Row],[VALOR]]/PRD[[#This Row],[KGS]],"")</f>
        <v>6.7504809730329018</v>
      </c>
      <c r="H835" s="27"/>
    </row>
    <row r="836" spans="1:8" x14ac:dyDescent="0.25">
      <c r="A836" s="21" t="s">
        <v>460</v>
      </c>
      <c r="B836" s="1">
        <v>45017</v>
      </c>
      <c r="C836" s="3" t="s">
        <v>312</v>
      </c>
      <c r="D836" s="8">
        <v>134.36000000000001</v>
      </c>
      <c r="E836" s="11">
        <v>671.83</v>
      </c>
      <c r="F836" s="15">
        <f>IFERROR(PRD[[#This Row],[VALOR]]/PRD[[#This Row],[KGS]],"")</f>
        <v>5.0002232807383145</v>
      </c>
      <c r="H836" s="27"/>
    </row>
    <row r="837" spans="1:8" x14ac:dyDescent="0.25">
      <c r="A837" s="21" t="s">
        <v>205</v>
      </c>
      <c r="B837" s="1">
        <v>45017</v>
      </c>
      <c r="C837" t="s">
        <v>461</v>
      </c>
      <c r="D837" s="7">
        <v>63.2</v>
      </c>
      <c r="E837" s="10">
        <v>328.9</v>
      </c>
      <c r="F837" s="15">
        <f>IFERROR(PRD[[#This Row],[VALOR]]/PRD[[#This Row],[KGS]],"")</f>
        <v>5.204113924050632</v>
      </c>
      <c r="H837" s="27"/>
    </row>
    <row r="838" spans="1:8" x14ac:dyDescent="0.25">
      <c r="A838" s="21" t="s">
        <v>207</v>
      </c>
      <c r="B838" s="1">
        <v>45017</v>
      </c>
      <c r="C838" s="3" t="s">
        <v>208</v>
      </c>
      <c r="D838" s="8">
        <v>82.54</v>
      </c>
      <c r="E838" s="11">
        <v>431.36</v>
      </c>
      <c r="F838" s="15">
        <f>IFERROR(PRD[[#This Row],[VALOR]]/PRD[[#This Row],[KGS]],"")</f>
        <v>5.2260722074145862</v>
      </c>
      <c r="H838" s="27"/>
    </row>
    <row r="839" spans="1:8" x14ac:dyDescent="0.25">
      <c r="A839" s="21" t="s">
        <v>211</v>
      </c>
      <c r="B839" s="1">
        <v>45017</v>
      </c>
      <c r="C839" s="2" t="s">
        <v>212</v>
      </c>
      <c r="D839" s="7">
        <v>749.4</v>
      </c>
      <c r="E839" s="10">
        <v>2289.09</v>
      </c>
      <c r="F839" s="15">
        <f>IFERROR(PRD[[#This Row],[VALOR]]/PRD[[#This Row],[KGS]],"")</f>
        <v>3.0545636509207368</v>
      </c>
      <c r="H839" s="27"/>
    </row>
    <row r="840" spans="1:8" x14ac:dyDescent="0.25">
      <c r="A840" s="21" t="s">
        <v>213</v>
      </c>
      <c r="B840" s="1">
        <v>45017</v>
      </c>
      <c r="C840" s="3" t="s">
        <v>214</v>
      </c>
      <c r="D840" s="8">
        <v>712.86</v>
      </c>
      <c r="E840" s="11">
        <v>2394.06</v>
      </c>
      <c r="F840" s="15">
        <f>IFERROR(PRD[[#This Row],[VALOR]]/PRD[[#This Row],[KGS]],"")</f>
        <v>3.358387341132901</v>
      </c>
      <c r="H840" s="27"/>
    </row>
    <row r="841" spans="1:8" x14ac:dyDescent="0.25">
      <c r="A841" s="21" t="s">
        <v>215</v>
      </c>
      <c r="B841" s="1">
        <v>45017</v>
      </c>
      <c r="C841" s="2" t="s">
        <v>216</v>
      </c>
      <c r="D841" s="7">
        <v>1305.3900000000001</v>
      </c>
      <c r="E841" s="10">
        <v>4104.01</v>
      </c>
      <c r="F841" s="15">
        <f>IFERROR(PRD[[#This Row],[VALOR]]/PRD[[#This Row],[KGS]],"")</f>
        <v>3.143895694007155</v>
      </c>
      <c r="H841" s="27"/>
    </row>
    <row r="842" spans="1:8" x14ac:dyDescent="0.25">
      <c r="A842" s="21" t="s">
        <v>217</v>
      </c>
      <c r="B842" s="1">
        <v>45017</v>
      </c>
      <c r="C842" t="s">
        <v>218</v>
      </c>
      <c r="D842" s="8">
        <v>2368.9499999999998</v>
      </c>
      <c r="E842" s="11">
        <v>7088.97</v>
      </c>
      <c r="F842" s="15">
        <f>IFERROR(PRD[[#This Row],[VALOR]]/PRD[[#This Row],[KGS]],"")</f>
        <v>2.9924523523079847</v>
      </c>
      <c r="H842" s="27"/>
    </row>
    <row r="843" spans="1:8" x14ac:dyDescent="0.25">
      <c r="A843" s="21" t="s">
        <v>219</v>
      </c>
      <c r="B843" s="1">
        <v>45017</v>
      </c>
      <c r="C843" s="2" t="s">
        <v>220</v>
      </c>
      <c r="D843" s="7">
        <v>4180.3500000000004</v>
      </c>
      <c r="E843" s="10">
        <v>12757.55</v>
      </c>
      <c r="F843" s="15">
        <f>IFERROR(PRD[[#This Row],[VALOR]]/PRD[[#This Row],[KGS]],"")</f>
        <v>3.0517899218964915</v>
      </c>
      <c r="H843" s="27"/>
    </row>
    <row r="844" spans="1:8" x14ac:dyDescent="0.25">
      <c r="A844" s="21" t="s">
        <v>221</v>
      </c>
      <c r="B844" s="1">
        <v>45017</v>
      </c>
      <c r="C844" s="3" t="s">
        <v>222</v>
      </c>
      <c r="D844" s="8">
        <v>51.38</v>
      </c>
      <c r="E844" s="11">
        <v>162.55000000000001</v>
      </c>
      <c r="F844" s="15">
        <f>IFERROR(PRD[[#This Row],[VALOR]]/PRD[[#This Row],[KGS]],"")</f>
        <v>3.1636823666796419</v>
      </c>
      <c r="H844" s="27"/>
    </row>
    <row r="845" spans="1:8" x14ac:dyDescent="0.25">
      <c r="A845" s="21" t="s">
        <v>223</v>
      </c>
      <c r="B845" s="1">
        <v>45017</v>
      </c>
      <c r="C845" s="2" t="s">
        <v>224</v>
      </c>
      <c r="D845" s="7">
        <v>1152.73</v>
      </c>
      <c r="E845" s="10">
        <v>3511.28</v>
      </c>
      <c r="F845" s="15">
        <f>IFERROR(PRD[[#This Row],[VALOR]]/PRD[[#This Row],[KGS]],"")</f>
        <v>3.046055884725825</v>
      </c>
      <c r="H845" s="27"/>
    </row>
    <row r="846" spans="1:8" x14ac:dyDescent="0.25">
      <c r="A846" s="21" t="s">
        <v>225</v>
      </c>
      <c r="B846" s="1">
        <v>45017</v>
      </c>
      <c r="C846" s="3" t="s">
        <v>226</v>
      </c>
      <c r="D846" s="8">
        <v>350</v>
      </c>
      <c r="E846" s="11">
        <v>241.5</v>
      </c>
      <c r="F846" s="15">
        <f>IFERROR(PRD[[#This Row],[VALOR]]/PRD[[#This Row],[KGS]],"")</f>
        <v>0.69</v>
      </c>
      <c r="H846" s="27"/>
    </row>
    <row r="847" spans="1:8" x14ac:dyDescent="0.25">
      <c r="A847" s="21" t="s">
        <v>227</v>
      </c>
      <c r="B847" s="1">
        <v>45017</v>
      </c>
      <c r="C847" s="2" t="s">
        <v>228</v>
      </c>
      <c r="D847" s="7">
        <v>8047.83</v>
      </c>
      <c r="E847" s="10">
        <v>23003.46</v>
      </c>
      <c r="F847" s="15">
        <f>IFERROR(PRD[[#This Row],[VALOR]]/PRD[[#This Row],[KGS]],"")</f>
        <v>2.8583431807083399</v>
      </c>
      <c r="H847" s="27"/>
    </row>
    <row r="848" spans="1:8" x14ac:dyDescent="0.25">
      <c r="A848" s="21" t="s">
        <v>229</v>
      </c>
      <c r="B848" s="1">
        <v>45017</v>
      </c>
      <c r="C848" s="3" t="s">
        <v>230</v>
      </c>
      <c r="D848" s="8">
        <v>927.3</v>
      </c>
      <c r="E848" s="11">
        <v>2779.85</v>
      </c>
      <c r="F848" s="15">
        <f>IFERROR(PRD[[#This Row],[VALOR]]/PRD[[#This Row],[KGS]],"")</f>
        <v>2.9977892807074302</v>
      </c>
      <c r="H848" s="27"/>
    </row>
    <row r="849" spans="1:8" x14ac:dyDescent="0.25">
      <c r="A849" s="21" t="s">
        <v>231</v>
      </c>
      <c r="B849" s="1">
        <v>45017</v>
      </c>
      <c r="C849" s="2" t="s">
        <v>232</v>
      </c>
      <c r="D849" s="7">
        <v>1748.1</v>
      </c>
      <c r="E849" s="10">
        <v>4956.3599999999997</v>
      </c>
      <c r="F849" s="15">
        <f>IFERROR(PRD[[#This Row],[VALOR]]/PRD[[#This Row],[KGS]],"")</f>
        <v>2.8352840226531661</v>
      </c>
      <c r="H849" s="27"/>
    </row>
    <row r="850" spans="1:8" x14ac:dyDescent="0.25">
      <c r="A850" s="21" t="s">
        <v>233</v>
      </c>
      <c r="B850" s="1">
        <v>45017</v>
      </c>
      <c r="C850" s="3" t="s">
        <v>234</v>
      </c>
      <c r="D850" s="8">
        <v>63.1</v>
      </c>
      <c r="E850" s="11">
        <v>182.19</v>
      </c>
      <c r="F850" s="15">
        <f>IFERROR(PRD[[#This Row],[VALOR]]/PRD[[#This Row],[KGS]],"")</f>
        <v>2.887321711568938</v>
      </c>
      <c r="H850" s="27"/>
    </row>
    <row r="851" spans="1:8" x14ac:dyDescent="0.25">
      <c r="A851" s="21" t="s">
        <v>235</v>
      </c>
      <c r="B851" s="1">
        <v>45017</v>
      </c>
      <c r="C851" s="2" t="s">
        <v>236</v>
      </c>
      <c r="D851" s="7">
        <v>5124.8599999999997</v>
      </c>
      <c r="E851" s="10">
        <v>14464.68</v>
      </c>
      <c r="F851" s="15">
        <f>IFERROR(PRD[[#This Row],[VALOR]]/PRD[[#This Row],[KGS]],"")</f>
        <v>2.8224536865397303</v>
      </c>
      <c r="H851" s="27"/>
    </row>
    <row r="852" spans="1:8" x14ac:dyDescent="0.25">
      <c r="A852" s="21" t="s">
        <v>237</v>
      </c>
      <c r="B852" s="1">
        <v>45017</v>
      </c>
      <c r="C852" s="3" t="s">
        <v>238</v>
      </c>
      <c r="D852" s="8">
        <v>5324.32</v>
      </c>
      <c r="E852" s="11">
        <v>14236.16</v>
      </c>
      <c r="F852" s="15">
        <f>IFERROR(PRD[[#This Row],[VALOR]]/PRD[[#This Row],[KGS]],"")</f>
        <v>2.6737987198365238</v>
      </c>
      <c r="H852" s="27"/>
    </row>
    <row r="853" spans="1:8" x14ac:dyDescent="0.25">
      <c r="A853" s="21" t="s">
        <v>239</v>
      </c>
      <c r="B853" s="1">
        <v>45017</v>
      </c>
      <c r="C853" s="2" t="s">
        <v>240</v>
      </c>
      <c r="D853" s="7">
        <v>14.98</v>
      </c>
      <c r="E853" s="10">
        <v>47.49</v>
      </c>
      <c r="F853" s="15">
        <f>IFERROR(PRD[[#This Row],[VALOR]]/PRD[[#This Row],[KGS]],"")</f>
        <v>3.1702269692923899</v>
      </c>
      <c r="H853" s="27"/>
    </row>
    <row r="854" spans="1:8" x14ac:dyDescent="0.25">
      <c r="A854" s="21" t="s">
        <v>241</v>
      </c>
      <c r="B854" s="1">
        <v>45017</v>
      </c>
      <c r="C854" s="3" t="s">
        <v>242</v>
      </c>
      <c r="D854" s="8">
        <v>577</v>
      </c>
      <c r="E854" s="11">
        <v>1718.34</v>
      </c>
      <c r="F854" s="15">
        <f>IFERROR(PRD[[#This Row],[VALOR]]/PRD[[#This Row],[KGS]],"")</f>
        <v>2.9780589254766028</v>
      </c>
      <c r="H854" s="27"/>
    </row>
    <row r="855" spans="1:8" x14ac:dyDescent="0.25">
      <c r="A855" s="21" t="s">
        <v>243</v>
      </c>
      <c r="B855" s="1">
        <v>45017</v>
      </c>
      <c r="C855" s="2" t="s">
        <v>244</v>
      </c>
      <c r="D855" s="7">
        <v>433.47</v>
      </c>
      <c r="E855" s="10">
        <v>1319.84</v>
      </c>
      <c r="F855" s="15">
        <f>IFERROR(PRD[[#This Row],[VALOR]]/PRD[[#This Row],[KGS]],"")</f>
        <v>3.044824324636076</v>
      </c>
      <c r="H855" s="27"/>
    </row>
    <row r="856" spans="1:8" x14ac:dyDescent="0.25">
      <c r="A856" s="21" t="s">
        <v>463</v>
      </c>
      <c r="B856" s="1">
        <v>45017</v>
      </c>
      <c r="C856" s="3" t="s">
        <v>464</v>
      </c>
      <c r="D856" s="8">
        <v>350</v>
      </c>
      <c r="E856" s="11">
        <v>234.5</v>
      </c>
      <c r="F856" s="15">
        <f>IFERROR(PRD[[#This Row],[VALOR]]/PRD[[#This Row],[KGS]],"")</f>
        <v>0.67</v>
      </c>
      <c r="H856" s="27"/>
    </row>
    <row r="857" spans="1:8" x14ac:dyDescent="0.25">
      <c r="A857" s="21" t="s">
        <v>245</v>
      </c>
      <c r="B857" s="1">
        <v>45017</v>
      </c>
      <c r="C857" s="2" t="s">
        <v>246</v>
      </c>
      <c r="D857" s="7">
        <v>898.69</v>
      </c>
      <c r="E857" s="10">
        <v>2580.35</v>
      </c>
      <c r="F857" s="15">
        <f>IFERROR(PRD[[#This Row],[VALOR]]/PRD[[#This Row],[KGS]],"")</f>
        <v>2.871234797316093</v>
      </c>
      <c r="H857" s="27"/>
    </row>
    <row r="858" spans="1:8" x14ac:dyDescent="0.25">
      <c r="A858" s="21" t="s">
        <v>247</v>
      </c>
      <c r="B858" s="1">
        <v>45017</v>
      </c>
      <c r="C858" s="3" t="s">
        <v>314</v>
      </c>
      <c r="D858" s="8">
        <v>43.95</v>
      </c>
      <c r="E858" s="11">
        <v>230.95</v>
      </c>
      <c r="F858" s="15">
        <f>IFERROR(PRD[[#This Row],[VALOR]]/PRD[[#This Row],[KGS]],"")</f>
        <v>5.2548350398179746</v>
      </c>
      <c r="H858" s="27"/>
    </row>
    <row r="859" spans="1:8" x14ac:dyDescent="0.25">
      <c r="A859" s="21" t="s">
        <v>249</v>
      </c>
      <c r="B859" s="1">
        <v>45017</v>
      </c>
      <c r="C859" s="2" t="s">
        <v>315</v>
      </c>
      <c r="D859" s="7">
        <v>132.63</v>
      </c>
      <c r="E859" s="10">
        <v>687.8</v>
      </c>
      <c r="F859" s="15">
        <f>IFERROR(PRD[[#This Row],[VALOR]]/PRD[[#This Row],[KGS]],"")</f>
        <v>5.1858553871673072</v>
      </c>
      <c r="H859" s="27"/>
    </row>
    <row r="860" spans="1:8" x14ac:dyDescent="0.25">
      <c r="A860" s="21" t="s">
        <v>251</v>
      </c>
      <c r="B860" s="1">
        <v>45017</v>
      </c>
      <c r="C860" s="3" t="s">
        <v>252</v>
      </c>
      <c r="D860" s="8">
        <v>374.28</v>
      </c>
      <c r="E860" s="11">
        <v>1579.87</v>
      </c>
      <c r="F860" s="15">
        <f>IFERROR(PRD[[#This Row],[VALOR]]/PRD[[#This Row],[KGS]],"")</f>
        <v>4.2210911616971254</v>
      </c>
      <c r="H860" s="27"/>
    </row>
    <row r="861" spans="1:8" x14ac:dyDescent="0.25">
      <c r="A861" s="21" t="s">
        <v>253</v>
      </c>
      <c r="B861" s="1">
        <v>45017</v>
      </c>
      <c r="C861" s="2" t="s">
        <v>254</v>
      </c>
      <c r="D861" s="7">
        <v>85.87</v>
      </c>
      <c r="E861" s="10">
        <v>381.32</v>
      </c>
      <c r="F861" s="15">
        <f>IFERROR(PRD[[#This Row],[VALOR]]/PRD[[#This Row],[KGS]],"")</f>
        <v>4.4406661232095024</v>
      </c>
      <c r="H861" s="27"/>
    </row>
    <row r="862" spans="1:8" x14ac:dyDescent="0.25">
      <c r="A862" s="21" t="s">
        <v>255</v>
      </c>
      <c r="B862" s="1">
        <v>45017</v>
      </c>
      <c r="C862" s="3" t="s">
        <v>256</v>
      </c>
      <c r="D862" s="8">
        <v>248.44</v>
      </c>
      <c r="E862" s="11">
        <v>664.75</v>
      </c>
      <c r="F862" s="15">
        <f>IFERROR(PRD[[#This Row],[VALOR]]/PRD[[#This Row],[KGS]],"")</f>
        <v>2.6756963451940106</v>
      </c>
      <c r="H862" s="27"/>
    </row>
    <row r="863" spans="1:8" x14ac:dyDescent="0.25">
      <c r="A863" s="21" t="s">
        <v>257</v>
      </c>
      <c r="B863" s="1">
        <v>45017</v>
      </c>
      <c r="C863" s="2" t="s">
        <v>258</v>
      </c>
      <c r="D863" s="7">
        <v>84.12</v>
      </c>
      <c r="E863" s="10">
        <v>254.3</v>
      </c>
      <c r="F863" s="15">
        <f>IFERROR(PRD[[#This Row],[VALOR]]/PRD[[#This Row],[KGS]],"")</f>
        <v>3.023062291963861</v>
      </c>
      <c r="H863" s="27"/>
    </row>
    <row r="864" spans="1:8" x14ac:dyDescent="0.25">
      <c r="A864" s="21" t="s">
        <v>259</v>
      </c>
      <c r="B864" s="1">
        <v>45017</v>
      </c>
      <c r="C864" s="3" t="s">
        <v>260</v>
      </c>
      <c r="D864" s="8">
        <v>311.35000000000002</v>
      </c>
      <c r="E864" s="11">
        <v>915.09</v>
      </c>
      <c r="F864" s="15">
        <f>IFERROR(PRD[[#This Row],[VALOR]]/PRD[[#This Row],[KGS]],"")</f>
        <v>2.9391039023606873</v>
      </c>
      <c r="H864" s="27"/>
    </row>
    <row r="865" spans="1:8" x14ac:dyDescent="0.25">
      <c r="A865" s="21" t="s">
        <v>261</v>
      </c>
      <c r="B865" s="1">
        <v>45017</v>
      </c>
      <c r="C865" s="2" t="s">
        <v>262</v>
      </c>
      <c r="D865" s="7">
        <v>77.58</v>
      </c>
      <c r="E865" s="10">
        <v>428.79</v>
      </c>
      <c r="F865" s="15">
        <f>IFERROR(PRD[[#This Row],[VALOR]]/PRD[[#This Row],[KGS]],"")</f>
        <v>5.5270688321732413</v>
      </c>
      <c r="H865" s="27"/>
    </row>
    <row r="866" spans="1:8" x14ac:dyDescent="0.25">
      <c r="A866" s="21" t="s">
        <v>263</v>
      </c>
      <c r="B866" s="1">
        <v>45017</v>
      </c>
      <c r="C866" s="3" t="s">
        <v>264</v>
      </c>
      <c r="D866" s="8">
        <v>56.46</v>
      </c>
      <c r="E866" s="11">
        <v>312.52999999999997</v>
      </c>
      <c r="F866" s="15">
        <f>IFERROR(PRD[[#This Row],[VALOR]]/PRD[[#This Row],[KGS]],"")</f>
        <v>5.535423308537017</v>
      </c>
      <c r="H866" s="27"/>
    </row>
    <row r="867" spans="1:8" x14ac:dyDescent="0.25">
      <c r="A867" s="21" t="s">
        <v>265</v>
      </c>
      <c r="B867" s="1">
        <v>45017</v>
      </c>
      <c r="C867" s="2" t="s">
        <v>266</v>
      </c>
      <c r="D867" s="7">
        <v>24.52</v>
      </c>
      <c r="E867" s="10">
        <v>126.31</v>
      </c>
      <c r="F867" s="15">
        <f>IFERROR(PRD[[#This Row],[VALOR]]/PRD[[#This Row],[KGS]],"")</f>
        <v>5.1513050570962484</v>
      </c>
      <c r="H867" s="27"/>
    </row>
    <row r="868" spans="1:8" x14ac:dyDescent="0.25">
      <c r="A868" s="21" t="s">
        <v>267</v>
      </c>
      <c r="B868" s="1">
        <v>45017</v>
      </c>
      <c r="C868" s="3" t="s">
        <v>268</v>
      </c>
      <c r="D868" s="8">
        <v>206.9</v>
      </c>
      <c r="E868" s="11">
        <v>882.37</v>
      </c>
      <c r="F868" s="15">
        <f>IFERROR(PRD[[#This Row],[VALOR]]/PRD[[#This Row],[KGS]],"")</f>
        <v>4.264717254712421</v>
      </c>
      <c r="H868" s="27"/>
    </row>
    <row r="869" spans="1:8" x14ac:dyDescent="0.25">
      <c r="A869" s="21" t="s">
        <v>269</v>
      </c>
      <c r="B869" s="1">
        <v>45017</v>
      </c>
      <c r="C869" s="2" t="s">
        <v>270</v>
      </c>
      <c r="D869" s="7">
        <v>76.239999999999995</v>
      </c>
      <c r="E869" s="10">
        <v>339.3</v>
      </c>
      <c r="F869" s="15">
        <f>IFERROR(PRD[[#This Row],[VALOR]]/PRD[[#This Row],[KGS]],"")</f>
        <v>4.4504197271773354</v>
      </c>
      <c r="H869" s="27"/>
    </row>
    <row r="870" spans="1:8" x14ac:dyDescent="0.25">
      <c r="A870" s="21" t="s">
        <v>271</v>
      </c>
      <c r="B870" s="1">
        <v>45017</v>
      </c>
      <c r="C870" s="3" t="s">
        <v>272</v>
      </c>
      <c r="D870" s="8">
        <v>11.8</v>
      </c>
      <c r="E870" s="11">
        <v>73.83</v>
      </c>
      <c r="F870" s="15">
        <f>IFERROR(PRD[[#This Row],[VALOR]]/PRD[[#This Row],[KGS]],"")</f>
        <v>6.2567796610169486</v>
      </c>
      <c r="H870" s="27"/>
    </row>
    <row r="871" spans="1:8" x14ac:dyDescent="0.25">
      <c r="A871" s="21" t="s">
        <v>273</v>
      </c>
      <c r="B871" s="1">
        <v>45017</v>
      </c>
      <c r="C871" s="2" t="s">
        <v>274</v>
      </c>
      <c r="D871" s="7">
        <v>636.5</v>
      </c>
      <c r="E871" s="10">
        <v>1862.36</v>
      </c>
      <c r="F871" s="15">
        <f>IFERROR(PRD[[#This Row],[VALOR]]/PRD[[#This Row],[KGS]],"")</f>
        <v>2.9259387274155535</v>
      </c>
      <c r="H871" s="27"/>
    </row>
    <row r="872" spans="1:8" x14ac:dyDescent="0.25">
      <c r="A872" s="21" t="s">
        <v>275</v>
      </c>
      <c r="B872" s="1">
        <v>45017</v>
      </c>
      <c r="C872" s="3" t="s">
        <v>276</v>
      </c>
      <c r="D872" s="8">
        <v>882.54</v>
      </c>
      <c r="E872" s="11">
        <v>2853.48</v>
      </c>
      <c r="F872" s="15">
        <f>IFERROR(PRD[[#This Row],[VALOR]]/PRD[[#This Row],[KGS]],"")</f>
        <v>3.2332585491875725</v>
      </c>
      <c r="H872" s="27"/>
    </row>
    <row r="873" spans="1:8" x14ac:dyDescent="0.25">
      <c r="A873" s="21" t="s">
        <v>277</v>
      </c>
      <c r="B873" s="1">
        <v>45017</v>
      </c>
      <c r="C873" s="2" t="s">
        <v>278</v>
      </c>
      <c r="D873" s="7">
        <v>67.760000000000005</v>
      </c>
      <c r="E873" s="10">
        <v>349.82</v>
      </c>
      <c r="F873" s="15">
        <f>IFERROR(PRD[[#This Row],[VALOR]]/PRD[[#This Row],[KGS]],"")</f>
        <v>5.1626328217237303</v>
      </c>
      <c r="H873" s="27"/>
    </row>
    <row r="874" spans="1:8" x14ac:dyDescent="0.25">
      <c r="A874" s="21" t="s">
        <v>279</v>
      </c>
      <c r="B874" s="1">
        <v>45017</v>
      </c>
      <c r="C874" s="3" t="s">
        <v>280</v>
      </c>
      <c r="D874" s="8">
        <v>728.62</v>
      </c>
      <c r="E874" s="11">
        <v>3782.45</v>
      </c>
      <c r="F874" s="15">
        <f>IFERROR(PRD[[#This Row],[VALOR]]/PRD[[#This Row],[KGS]],"")</f>
        <v>5.1912519557519694</v>
      </c>
      <c r="H874" s="27"/>
    </row>
    <row r="875" spans="1:8" x14ac:dyDescent="0.25">
      <c r="A875" s="21" t="s">
        <v>281</v>
      </c>
      <c r="B875" s="1">
        <v>45017</v>
      </c>
      <c r="C875" s="2" t="s">
        <v>282</v>
      </c>
      <c r="D875" s="7">
        <v>131.71</v>
      </c>
      <c r="E875" s="10">
        <v>572.27</v>
      </c>
      <c r="F875" s="15">
        <f>IFERROR(PRD[[#This Row],[VALOR]]/PRD[[#This Row],[KGS]],"")</f>
        <v>4.3449244552425776</v>
      </c>
      <c r="H875" s="27"/>
    </row>
    <row r="876" spans="1:8" x14ac:dyDescent="0.25">
      <c r="A876" s="21" t="s">
        <v>283</v>
      </c>
      <c r="B876" s="1">
        <v>45017</v>
      </c>
      <c r="C876" s="3" t="s">
        <v>284</v>
      </c>
      <c r="D876" s="8">
        <v>92.41</v>
      </c>
      <c r="E876" s="11">
        <v>246.25</v>
      </c>
      <c r="F876" s="15">
        <f>IFERROR(PRD[[#This Row],[VALOR]]/PRD[[#This Row],[KGS]],"")</f>
        <v>2.664754896656206</v>
      </c>
      <c r="H876" s="27"/>
    </row>
    <row r="877" spans="1:8" x14ac:dyDescent="0.25">
      <c r="A877" s="21" t="s">
        <v>285</v>
      </c>
      <c r="B877" s="1">
        <v>45017</v>
      </c>
      <c r="C877" s="2" t="s">
        <v>286</v>
      </c>
      <c r="D877" s="7">
        <v>38.39</v>
      </c>
      <c r="E877" s="10">
        <v>109.33</v>
      </c>
      <c r="F877" s="15">
        <f>IFERROR(PRD[[#This Row],[VALOR]]/PRD[[#This Row],[KGS]],"")</f>
        <v>2.8478770513154466</v>
      </c>
      <c r="H877" s="27"/>
    </row>
    <row r="878" spans="1:8" x14ac:dyDescent="0.25">
      <c r="A878" s="21" t="s">
        <v>465</v>
      </c>
      <c r="B878" s="1">
        <v>45017</v>
      </c>
      <c r="C878" s="3" t="s">
        <v>466</v>
      </c>
      <c r="D878" s="8">
        <v>20</v>
      </c>
      <c r="E878" s="11">
        <v>68.2</v>
      </c>
      <c r="F878" s="15">
        <f>IFERROR(PRD[[#This Row],[VALOR]]/PRD[[#This Row],[KGS]],"")</f>
        <v>3.41</v>
      </c>
      <c r="H878" s="27"/>
    </row>
    <row r="879" spans="1:8" x14ac:dyDescent="0.25">
      <c r="A879" s="21" t="s">
        <v>467</v>
      </c>
      <c r="B879" s="1">
        <v>45017</v>
      </c>
      <c r="C879" s="2" t="s">
        <v>468</v>
      </c>
      <c r="D879" s="7">
        <v>594</v>
      </c>
      <c r="E879" s="10">
        <v>7217.1</v>
      </c>
      <c r="F879" s="15">
        <f>IFERROR(PRD[[#This Row],[VALOR]]/PRD[[#This Row],[KGS]],"")</f>
        <v>12.15</v>
      </c>
      <c r="H879" s="27"/>
    </row>
    <row r="880" spans="1:8" x14ac:dyDescent="0.25">
      <c r="A880" s="21" t="s">
        <v>469</v>
      </c>
      <c r="B880" s="1">
        <v>45017</v>
      </c>
      <c r="C880" s="3" t="s">
        <v>470</v>
      </c>
      <c r="D880" s="8">
        <v>80</v>
      </c>
      <c r="E880" s="11">
        <v>957.6</v>
      </c>
      <c r="F880" s="15">
        <f>IFERROR(PRD[[#This Row],[VALOR]]/PRD[[#This Row],[KGS]],"")</f>
        <v>11.97</v>
      </c>
      <c r="H880" s="27"/>
    </row>
    <row r="881" spans="1:8" x14ac:dyDescent="0.25">
      <c r="A881" s="21" t="s">
        <v>471</v>
      </c>
      <c r="B881" s="1">
        <v>45017</v>
      </c>
      <c r="C881" s="2" t="s">
        <v>472</v>
      </c>
      <c r="D881" s="7">
        <v>8</v>
      </c>
      <c r="E881" s="10">
        <v>104.4</v>
      </c>
      <c r="F881" s="15">
        <f>IFERROR(PRD[[#This Row],[VALOR]]/PRD[[#This Row],[KGS]],"")</f>
        <v>13.05</v>
      </c>
      <c r="H881" s="27"/>
    </row>
    <row r="882" spans="1:8" x14ac:dyDescent="0.25">
      <c r="A882" s="21" t="s">
        <v>473</v>
      </c>
      <c r="B882" s="1">
        <v>45017</v>
      </c>
      <c r="C882" s="3" t="s">
        <v>474</v>
      </c>
      <c r="D882" s="8">
        <v>1</v>
      </c>
      <c r="E882" s="11">
        <v>6.46</v>
      </c>
      <c r="F882" s="15">
        <f>IFERROR(PRD[[#This Row],[VALOR]]/PRD[[#This Row],[KGS]],"")</f>
        <v>6.46</v>
      </c>
      <c r="H882" s="27"/>
    </row>
    <row r="883" spans="1:8" x14ac:dyDescent="0.25">
      <c r="A883" s="21" t="s">
        <v>475</v>
      </c>
      <c r="B883" s="1">
        <v>45017</v>
      </c>
      <c r="C883" s="2" t="s">
        <v>323</v>
      </c>
      <c r="D883" s="7">
        <v>3</v>
      </c>
      <c r="E883" s="10">
        <v>15.12</v>
      </c>
      <c r="F883" s="15">
        <f>IFERROR(PRD[[#This Row],[VALOR]]/PRD[[#This Row],[KGS]],"")</f>
        <v>5.04</v>
      </c>
      <c r="H883" s="27"/>
    </row>
    <row r="884" spans="1:8" x14ac:dyDescent="0.25">
      <c r="A884" s="21" t="s">
        <v>476</v>
      </c>
      <c r="B884" s="1">
        <v>45017</v>
      </c>
      <c r="C884" s="3" t="s">
        <v>477</v>
      </c>
      <c r="D884" s="8">
        <v>1</v>
      </c>
      <c r="E884" s="11">
        <v>5.45</v>
      </c>
      <c r="F884" s="15">
        <f>IFERROR(PRD[[#This Row],[VALOR]]/PRD[[#This Row],[KGS]],"")</f>
        <v>5.45</v>
      </c>
      <c r="H884" s="27"/>
    </row>
    <row r="885" spans="1:8" x14ac:dyDescent="0.25">
      <c r="A885" s="21" t="s">
        <v>478</v>
      </c>
      <c r="B885" s="1">
        <v>45017</v>
      </c>
      <c r="C885" s="2" t="s">
        <v>479</v>
      </c>
      <c r="D885" s="7">
        <v>3</v>
      </c>
      <c r="E885" s="10">
        <v>17.440000000000001</v>
      </c>
      <c r="F885" s="15">
        <f>IFERROR(PRD[[#This Row],[VALOR]]/PRD[[#This Row],[KGS]],"")</f>
        <v>5.8133333333333335</v>
      </c>
      <c r="H885" s="27"/>
    </row>
    <row r="886" spans="1:8" x14ac:dyDescent="0.25">
      <c r="A886" s="21" t="s">
        <v>480</v>
      </c>
      <c r="B886" s="1">
        <v>45017</v>
      </c>
      <c r="C886" s="3" t="s">
        <v>481</v>
      </c>
      <c r="D886" s="8">
        <v>3000</v>
      </c>
      <c r="E886" s="11">
        <v>18750</v>
      </c>
      <c r="F886" s="15">
        <f>IFERROR(PRD[[#This Row],[VALOR]]/PRD[[#This Row],[KGS]],"")</f>
        <v>6.25</v>
      </c>
      <c r="H886" s="27"/>
    </row>
    <row r="887" spans="1:8" x14ac:dyDescent="0.25">
      <c r="A887" s="21" t="s">
        <v>482</v>
      </c>
      <c r="B887" s="1">
        <v>45017</v>
      </c>
      <c r="C887" s="2" t="s">
        <v>483</v>
      </c>
      <c r="D887" s="7">
        <v>300</v>
      </c>
      <c r="E887" s="10">
        <v>2700</v>
      </c>
      <c r="F887" s="15">
        <f>IFERROR(PRD[[#This Row],[VALOR]]/PRD[[#This Row],[KGS]],"")</f>
        <v>9</v>
      </c>
      <c r="H887" s="27"/>
    </row>
    <row r="888" spans="1:8" x14ac:dyDescent="0.25">
      <c r="A888" s="21" t="s">
        <v>484</v>
      </c>
      <c r="B888" s="1">
        <v>45017</v>
      </c>
      <c r="C888" s="3" t="s">
        <v>485</v>
      </c>
      <c r="D888" s="8">
        <v>3000</v>
      </c>
      <c r="E888" s="11">
        <v>8700</v>
      </c>
      <c r="F888" s="15">
        <f>IFERROR(PRD[[#This Row],[VALOR]]/PRD[[#This Row],[KGS]],"")</f>
        <v>2.9</v>
      </c>
      <c r="H888" s="27"/>
    </row>
    <row r="889" spans="1:8" x14ac:dyDescent="0.25">
      <c r="A889" s="21" t="s">
        <v>486</v>
      </c>
      <c r="B889" s="1">
        <v>45017</v>
      </c>
      <c r="C889" s="2" t="s">
        <v>487</v>
      </c>
      <c r="D889" s="7">
        <v>1200</v>
      </c>
      <c r="E889" s="10">
        <v>3660</v>
      </c>
      <c r="F889" s="15">
        <f>IFERROR(PRD[[#This Row],[VALOR]]/PRD[[#This Row],[KGS]],"")</f>
        <v>3.05</v>
      </c>
      <c r="H889" s="27"/>
    </row>
    <row r="890" spans="1:8" x14ac:dyDescent="0.25">
      <c r="A890" s="21" t="s">
        <v>488</v>
      </c>
      <c r="B890" s="1">
        <v>45017</v>
      </c>
      <c r="C890" s="3" t="s">
        <v>489</v>
      </c>
      <c r="D890" s="8">
        <v>1000</v>
      </c>
      <c r="E890" s="11">
        <v>3300</v>
      </c>
      <c r="F890" s="15">
        <f>IFERROR(PRD[[#This Row],[VALOR]]/PRD[[#This Row],[KGS]],"")</f>
        <v>3.3</v>
      </c>
      <c r="H890" s="27"/>
    </row>
    <row r="891" spans="1:8" x14ac:dyDescent="0.25">
      <c r="A891" s="21" t="s">
        <v>490</v>
      </c>
      <c r="B891" s="1">
        <v>45017</v>
      </c>
      <c r="C891" s="2" t="s">
        <v>491</v>
      </c>
      <c r="D891" s="7">
        <v>2500</v>
      </c>
      <c r="E891" s="10">
        <v>8000</v>
      </c>
      <c r="F891" s="15">
        <f>IFERROR(PRD[[#This Row],[VALOR]]/PRD[[#This Row],[KGS]],"")</f>
        <v>3.2</v>
      </c>
      <c r="H891" s="27"/>
    </row>
    <row r="892" spans="1:8" x14ac:dyDescent="0.25">
      <c r="A892" s="21" t="s">
        <v>492</v>
      </c>
      <c r="B892" s="1">
        <v>45017</v>
      </c>
      <c r="C892" s="3" t="s">
        <v>493</v>
      </c>
      <c r="D892" s="8">
        <v>480</v>
      </c>
      <c r="E892" s="11">
        <v>4473.6000000000004</v>
      </c>
      <c r="F892" s="15">
        <f>IFERROR(PRD[[#This Row],[VALOR]]/PRD[[#This Row],[KGS]],"")</f>
        <v>9.32</v>
      </c>
      <c r="H892" s="27"/>
    </row>
    <row r="893" spans="1:8" x14ac:dyDescent="0.25">
      <c r="A893" s="21" t="s">
        <v>494</v>
      </c>
      <c r="B893" s="1">
        <v>45017</v>
      </c>
      <c r="C893" s="2" t="s">
        <v>495</v>
      </c>
      <c r="D893" s="7">
        <v>1061.8800000000001</v>
      </c>
      <c r="E893" s="10">
        <v>6902.22</v>
      </c>
      <c r="F893" s="15">
        <f>IFERROR(PRD[[#This Row],[VALOR]]/PRD[[#This Row],[KGS]],"")</f>
        <v>6.5</v>
      </c>
      <c r="H893" s="27"/>
    </row>
    <row r="894" spans="1:8" x14ac:dyDescent="0.25">
      <c r="A894" s="21" t="s">
        <v>496</v>
      </c>
      <c r="B894" s="1">
        <v>45017</v>
      </c>
      <c r="C894" s="3" t="s">
        <v>497</v>
      </c>
      <c r="D894" s="8">
        <v>704</v>
      </c>
      <c r="E894" s="11">
        <v>6983.68</v>
      </c>
      <c r="F894" s="15">
        <f>IFERROR(PRD[[#This Row],[VALOR]]/PRD[[#This Row],[KGS]],"")</f>
        <v>9.92</v>
      </c>
      <c r="H894" s="27"/>
    </row>
    <row r="895" spans="1:8" x14ac:dyDescent="0.25">
      <c r="A895" s="21" t="s">
        <v>498</v>
      </c>
      <c r="B895" s="1">
        <v>45017</v>
      </c>
      <c r="C895" s="2" t="s">
        <v>499</v>
      </c>
      <c r="D895" s="7">
        <v>1693.89</v>
      </c>
      <c r="E895" s="10">
        <v>8469.4500000000007</v>
      </c>
      <c r="F895" s="15">
        <f>IFERROR(PRD[[#This Row],[VALOR]]/PRD[[#This Row],[KGS]],"")</f>
        <v>5</v>
      </c>
      <c r="H895" s="27"/>
    </row>
    <row r="896" spans="1:8" x14ac:dyDescent="0.25">
      <c r="A896" s="21" t="s">
        <v>500</v>
      </c>
      <c r="B896" s="1">
        <v>45017</v>
      </c>
      <c r="C896" s="3" t="s">
        <v>501</v>
      </c>
      <c r="D896" s="8">
        <v>2592</v>
      </c>
      <c r="E896" s="11">
        <v>12000.96</v>
      </c>
      <c r="F896" s="15">
        <f>IFERROR(PRD[[#This Row],[VALOR]]/PRD[[#This Row],[KGS]],"")</f>
        <v>4.63</v>
      </c>
      <c r="H896" s="27"/>
    </row>
    <row r="897" spans="1:8" x14ac:dyDescent="0.25">
      <c r="A897" s="21" t="s">
        <v>502</v>
      </c>
      <c r="B897" s="1">
        <v>45017</v>
      </c>
      <c r="C897" s="2" t="s">
        <v>408</v>
      </c>
      <c r="D897" s="7">
        <v>15.04</v>
      </c>
      <c r="E897" s="10">
        <v>118.82</v>
      </c>
      <c r="F897" s="15">
        <f>IFERROR(PRD[[#This Row],[VALOR]]/PRD[[#This Row],[KGS]],"")</f>
        <v>7.9002659574468082</v>
      </c>
      <c r="H897" s="27"/>
    </row>
    <row r="898" spans="1:8" x14ac:dyDescent="0.25">
      <c r="A898" s="21" t="s">
        <v>503</v>
      </c>
      <c r="B898" s="1">
        <v>45017</v>
      </c>
      <c r="C898" s="3" t="s">
        <v>377</v>
      </c>
      <c r="D898" s="8">
        <v>1.8</v>
      </c>
      <c r="E898" s="11">
        <v>17.100000000000001</v>
      </c>
      <c r="F898" s="15">
        <f>IFERROR(PRD[[#This Row],[VALOR]]/PRD[[#This Row],[KGS]],"")</f>
        <v>9.5</v>
      </c>
      <c r="H898" s="27"/>
    </row>
    <row r="899" spans="1:8" x14ac:dyDescent="0.25">
      <c r="A899" s="21" t="s">
        <v>504</v>
      </c>
      <c r="B899" s="1">
        <v>45017</v>
      </c>
      <c r="C899" s="2" t="s">
        <v>409</v>
      </c>
      <c r="D899" s="7">
        <v>8.66</v>
      </c>
      <c r="E899" s="10">
        <v>103.99</v>
      </c>
      <c r="F899" s="15">
        <f>IFERROR(PRD[[#This Row],[VALOR]]/PRD[[#This Row],[KGS]],"")</f>
        <v>12.008083140877597</v>
      </c>
      <c r="H899" s="27"/>
    </row>
    <row r="900" spans="1:8" x14ac:dyDescent="0.25">
      <c r="A900" s="21" t="s">
        <v>505</v>
      </c>
      <c r="B900" s="1">
        <v>45017</v>
      </c>
      <c r="C900" s="3" t="s">
        <v>506</v>
      </c>
      <c r="D900" s="8">
        <v>817.68</v>
      </c>
      <c r="E900" s="11">
        <v>9239.7800000000007</v>
      </c>
      <c r="F900" s="15">
        <f>IFERROR(PRD[[#This Row],[VALOR]]/PRD[[#This Row],[KGS]],"")</f>
        <v>11.299995108110753</v>
      </c>
      <c r="H900" s="27"/>
    </row>
    <row r="901" spans="1:8" x14ac:dyDescent="0.25">
      <c r="A901" s="21" t="s">
        <v>507</v>
      </c>
      <c r="B901" s="1">
        <v>45017</v>
      </c>
      <c r="C901" s="2" t="s">
        <v>508</v>
      </c>
      <c r="D901" s="7">
        <v>1</v>
      </c>
      <c r="E901" s="10">
        <v>4.0999999999999996</v>
      </c>
      <c r="F901" s="15">
        <f>IFERROR(PRD[[#This Row],[VALOR]]/PRD[[#This Row],[KGS]],"")</f>
        <v>4.0999999999999996</v>
      </c>
      <c r="H901" s="27"/>
    </row>
    <row r="902" spans="1:8" x14ac:dyDescent="0.25">
      <c r="A902" s="21" t="s">
        <v>509</v>
      </c>
      <c r="B902" s="1">
        <v>45017</v>
      </c>
      <c r="C902" s="3" t="s">
        <v>510</v>
      </c>
      <c r="D902" s="8">
        <v>1252.7</v>
      </c>
      <c r="E902" s="11">
        <v>8393.09</v>
      </c>
      <c r="F902" s="15">
        <f>IFERROR(PRD[[#This Row],[VALOR]]/PRD[[#This Row],[KGS]],"")</f>
        <v>6.7</v>
      </c>
      <c r="H902" s="27"/>
    </row>
    <row r="903" spans="1:8" x14ac:dyDescent="0.25">
      <c r="A903" s="21" t="s">
        <v>511</v>
      </c>
      <c r="B903" s="1">
        <v>45017</v>
      </c>
      <c r="C903" s="2" t="s">
        <v>512</v>
      </c>
      <c r="D903" s="7">
        <v>200</v>
      </c>
      <c r="E903" s="10">
        <v>1312</v>
      </c>
      <c r="F903" s="15">
        <f>IFERROR(PRD[[#This Row],[VALOR]]/PRD[[#This Row],[KGS]],"")</f>
        <v>6.56</v>
      </c>
      <c r="H903" s="27"/>
    </row>
    <row r="904" spans="1:8" x14ac:dyDescent="0.25">
      <c r="A904" s="21" t="s">
        <v>513</v>
      </c>
      <c r="B904" s="1">
        <v>45017</v>
      </c>
      <c r="C904" s="3" t="s">
        <v>514</v>
      </c>
      <c r="D904" s="8">
        <v>5.14</v>
      </c>
      <c r="E904" s="11">
        <v>47.8</v>
      </c>
      <c r="F904" s="15">
        <f>IFERROR(PRD[[#This Row],[VALOR]]/PRD[[#This Row],[KGS]],"")</f>
        <v>9.299610894941635</v>
      </c>
      <c r="H904" s="27"/>
    </row>
    <row r="905" spans="1:8" x14ac:dyDescent="0.25">
      <c r="A905" s="21" t="s">
        <v>515</v>
      </c>
      <c r="B905" s="1">
        <v>45017</v>
      </c>
      <c r="C905" s="2" t="s">
        <v>516</v>
      </c>
      <c r="D905" s="7">
        <v>1944</v>
      </c>
      <c r="E905" s="10">
        <v>5929.2</v>
      </c>
      <c r="F905" s="15">
        <f>IFERROR(PRD[[#This Row],[VALOR]]/PRD[[#This Row],[KGS]],"")</f>
        <v>3.05</v>
      </c>
      <c r="H905" s="27"/>
    </row>
    <row r="906" spans="1:8" x14ac:dyDescent="0.25">
      <c r="A906" s="21" t="s">
        <v>517</v>
      </c>
      <c r="B906" s="1">
        <v>45017</v>
      </c>
      <c r="C906" s="3" t="s">
        <v>518</v>
      </c>
      <c r="D906" s="8">
        <v>370</v>
      </c>
      <c r="E906" s="11">
        <v>1598.4</v>
      </c>
      <c r="F906" s="15">
        <f>IFERROR(PRD[[#This Row],[VALOR]]/PRD[[#This Row],[KGS]],"")</f>
        <v>4.32</v>
      </c>
      <c r="H906" s="27"/>
    </row>
    <row r="907" spans="1:8" x14ac:dyDescent="0.25">
      <c r="A907" s="21" t="s">
        <v>519</v>
      </c>
      <c r="B907" s="1">
        <v>45017</v>
      </c>
      <c r="C907" s="2" t="s">
        <v>520</v>
      </c>
      <c r="D907" s="7">
        <v>10</v>
      </c>
      <c r="E907" s="10">
        <v>36</v>
      </c>
      <c r="F907" s="15">
        <f>IFERROR(PRD[[#This Row],[VALOR]]/PRD[[#This Row],[KGS]],"")</f>
        <v>3.6</v>
      </c>
      <c r="H907" s="27"/>
    </row>
    <row r="908" spans="1:8" x14ac:dyDescent="0.25">
      <c r="A908" s="21" t="s">
        <v>521</v>
      </c>
      <c r="B908" s="1">
        <v>45017</v>
      </c>
      <c r="C908" s="3" t="s">
        <v>417</v>
      </c>
      <c r="D908" s="8">
        <v>16</v>
      </c>
      <c r="E908" s="11">
        <v>59.2</v>
      </c>
      <c r="F908" s="15">
        <f>IFERROR(PRD[[#This Row],[VALOR]]/PRD[[#This Row],[KGS]],"")</f>
        <v>3.7</v>
      </c>
      <c r="H908" s="27"/>
    </row>
    <row r="909" spans="1:8" x14ac:dyDescent="0.25">
      <c r="A909" s="21" t="s">
        <v>522</v>
      </c>
      <c r="B909" s="1">
        <v>45017</v>
      </c>
      <c r="C909" s="2" t="s">
        <v>381</v>
      </c>
      <c r="D909" s="7">
        <v>60</v>
      </c>
      <c r="E909" s="10">
        <v>255</v>
      </c>
      <c r="F909" s="15">
        <f>IFERROR(PRD[[#This Row],[VALOR]]/PRD[[#This Row],[KGS]],"")</f>
        <v>4.25</v>
      </c>
      <c r="H909" s="27"/>
    </row>
    <row r="910" spans="1:8" x14ac:dyDescent="0.25">
      <c r="A910" s="21" t="s">
        <v>523</v>
      </c>
      <c r="B910" s="1">
        <v>45017</v>
      </c>
      <c r="C910" s="3" t="s">
        <v>423</v>
      </c>
      <c r="D910" s="8">
        <v>4</v>
      </c>
      <c r="E910" s="11">
        <v>9.31</v>
      </c>
      <c r="F910" s="15">
        <f>IFERROR(PRD[[#This Row],[VALOR]]/PRD[[#This Row],[KGS]],"")</f>
        <v>2.3275000000000001</v>
      </c>
      <c r="H910" s="27"/>
    </row>
    <row r="911" spans="1:8" x14ac:dyDescent="0.25">
      <c r="A911" s="21" t="s">
        <v>524</v>
      </c>
      <c r="B911" s="1">
        <v>45017</v>
      </c>
      <c r="C911" s="2" t="s">
        <v>525</v>
      </c>
      <c r="D911" s="7">
        <v>3450</v>
      </c>
      <c r="E911" s="10">
        <v>29082</v>
      </c>
      <c r="F911" s="15">
        <f>IFERROR(PRD[[#This Row],[VALOR]]/PRD[[#This Row],[KGS]],"")</f>
        <v>8.4295652173913052</v>
      </c>
      <c r="H911" s="27"/>
    </row>
    <row r="912" spans="1:8" x14ac:dyDescent="0.25">
      <c r="A912" s="21" t="s">
        <v>526</v>
      </c>
      <c r="B912" s="1">
        <v>45017</v>
      </c>
      <c r="C912" s="3" t="s">
        <v>384</v>
      </c>
      <c r="D912" s="8">
        <v>2660</v>
      </c>
      <c r="E912" s="11">
        <v>20178</v>
      </c>
      <c r="F912" s="15">
        <f>IFERROR(PRD[[#This Row],[VALOR]]/PRD[[#This Row],[KGS]],"")</f>
        <v>7.5857142857142854</v>
      </c>
      <c r="H912" s="27"/>
    </row>
    <row r="913" spans="1:8" x14ac:dyDescent="0.25">
      <c r="A913" s="21" t="s">
        <v>527</v>
      </c>
      <c r="B913" s="1">
        <v>45017</v>
      </c>
      <c r="C913" s="2" t="s">
        <v>528</v>
      </c>
      <c r="D913" s="7">
        <v>5525</v>
      </c>
      <c r="E913" s="10">
        <v>35074.5</v>
      </c>
      <c r="F913" s="15">
        <f>IFERROR(PRD[[#This Row],[VALOR]]/PRD[[#This Row],[KGS]],"")</f>
        <v>6.3483257918552036</v>
      </c>
      <c r="H913" s="27"/>
    </row>
    <row r="914" spans="1:8" x14ac:dyDescent="0.25">
      <c r="A914" s="21" t="s">
        <v>529</v>
      </c>
      <c r="B914" s="1">
        <v>45017</v>
      </c>
      <c r="C914" s="3" t="s">
        <v>530</v>
      </c>
      <c r="D914" s="8">
        <v>1630</v>
      </c>
      <c r="E914" s="11">
        <v>9141</v>
      </c>
      <c r="F914" s="15">
        <f>IFERROR(PRD[[#This Row],[VALOR]]/PRD[[#This Row],[KGS]],"")</f>
        <v>5.6079754601226997</v>
      </c>
      <c r="H914" s="27"/>
    </row>
    <row r="915" spans="1:8" x14ac:dyDescent="0.25">
      <c r="A915" s="21" t="s">
        <v>531</v>
      </c>
      <c r="B915" s="1">
        <v>45017</v>
      </c>
      <c r="C915" s="2" t="s">
        <v>532</v>
      </c>
      <c r="D915" s="7">
        <v>1000</v>
      </c>
      <c r="E915" s="10">
        <v>5400</v>
      </c>
      <c r="F915" s="15">
        <f>IFERROR(PRD[[#This Row],[VALOR]]/PRD[[#This Row],[KGS]],"")</f>
        <v>5.4</v>
      </c>
      <c r="H915" s="27"/>
    </row>
    <row r="916" spans="1:8" x14ac:dyDescent="0.25">
      <c r="A916" s="21" t="s">
        <v>533</v>
      </c>
      <c r="B916" s="1">
        <v>45017</v>
      </c>
      <c r="C916" s="3" t="s">
        <v>534</v>
      </c>
      <c r="D916" s="8">
        <v>1500</v>
      </c>
      <c r="E916" s="11">
        <v>7650</v>
      </c>
      <c r="F916" s="15">
        <f>IFERROR(PRD[[#This Row],[VALOR]]/PRD[[#This Row],[KGS]],"")</f>
        <v>5.0999999999999996</v>
      </c>
      <c r="H916" s="27"/>
    </row>
    <row r="917" spans="1:8" x14ac:dyDescent="0.25">
      <c r="A917" s="21" t="s">
        <v>535</v>
      </c>
      <c r="B917" s="1">
        <v>45017</v>
      </c>
      <c r="C917" s="2" t="s">
        <v>536</v>
      </c>
      <c r="D917" s="7">
        <v>1500</v>
      </c>
      <c r="E917" s="10">
        <v>6900</v>
      </c>
      <c r="F917" s="15">
        <f>IFERROR(PRD[[#This Row],[VALOR]]/PRD[[#This Row],[KGS]],"")</f>
        <v>4.5999999999999996</v>
      </c>
      <c r="H917" s="27"/>
    </row>
    <row r="918" spans="1:8" x14ac:dyDescent="0.25">
      <c r="A918" s="21" t="s">
        <v>537</v>
      </c>
      <c r="B918" s="1">
        <v>45017</v>
      </c>
      <c r="C918" s="3" t="s">
        <v>538</v>
      </c>
      <c r="D918" s="8">
        <v>500</v>
      </c>
      <c r="E918" s="11">
        <v>2000</v>
      </c>
      <c r="F918" s="15">
        <f>IFERROR(PRD[[#This Row],[VALOR]]/PRD[[#This Row],[KGS]],"")</f>
        <v>4</v>
      </c>
      <c r="H918" s="27"/>
    </row>
    <row r="919" spans="1:8" x14ac:dyDescent="0.25">
      <c r="A919" s="22" t="s">
        <v>426</v>
      </c>
      <c r="B919" s="1">
        <v>45047</v>
      </c>
      <c r="C919" s="2" t="s">
        <v>331</v>
      </c>
      <c r="D919" s="7">
        <v>812.6</v>
      </c>
      <c r="E919" s="13">
        <v>243.78</v>
      </c>
      <c r="F919" s="15">
        <f>IFERROR(PRD[[#This Row],[VALOR]]/PRD[[#This Row],[KGS]],"")</f>
        <v>0.3</v>
      </c>
      <c r="H919" s="27"/>
    </row>
    <row r="920" spans="1:8" x14ac:dyDescent="0.25">
      <c r="A920" s="23" t="s">
        <v>427</v>
      </c>
      <c r="B920" s="1">
        <v>45047</v>
      </c>
      <c r="C920" s="3" t="s">
        <v>333</v>
      </c>
      <c r="D920" s="8">
        <v>792.8</v>
      </c>
      <c r="E920" s="12">
        <v>237.95</v>
      </c>
      <c r="F920" s="15">
        <f>IFERROR(PRD[[#This Row],[VALOR]]/PRD[[#This Row],[KGS]],"")</f>
        <v>0.30013874873864782</v>
      </c>
      <c r="H920" s="27"/>
    </row>
    <row r="921" spans="1:8" x14ac:dyDescent="0.25">
      <c r="A921" s="22" t="s">
        <v>539</v>
      </c>
      <c r="B921" s="1">
        <v>45047</v>
      </c>
      <c r="C921" t="s">
        <v>6</v>
      </c>
      <c r="D921" s="7">
        <v>270.60000000000002</v>
      </c>
      <c r="E921" s="13">
        <v>541.20000000000005</v>
      </c>
      <c r="F921" s="15">
        <f>IFERROR(PRD[[#This Row],[VALOR]]/PRD[[#This Row],[KGS]],"")</f>
        <v>2</v>
      </c>
      <c r="H921" s="27"/>
    </row>
    <row r="922" spans="1:8" x14ac:dyDescent="0.25">
      <c r="A922" s="23" t="s">
        <v>5</v>
      </c>
      <c r="B922" s="1">
        <v>45047</v>
      </c>
      <c r="C922" t="s">
        <v>6</v>
      </c>
      <c r="D922" s="8">
        <v>1638.3</v>
      </c>
      <c r="E922" s="12">
        <v>924.81</v>
      </c>
      <c r="F922" s="15">
        <f>IFERROR(PRD[[#This Row],[VALOR]]/PRD[[#This Row],[KGS]],"")</f>
        <v>0.56449368247573706</v>
      </c>
      <c r="H922" s="27"/>
    </row>
    <row r="923" spans="1:8" x14ac:dyDescent="0.25">
      <c r="A923" s="22" t="s">
        <v>7</v>
      </c>
      <c r="B923" s="1">
        <v>45047</v>
      </c>
      <c r="C923" t="s">
        <v>334</v>
      </c>
      <c r="D923" s="7">
        <v>3608.5</v>
      </c>
      <c r="E923" s="13">
        <v>3000.87</v>
      </c>
      <c r="F923" s="15">
        <f>IFERROR(PRD[[#This Row],[VALOR]]/PRD[[#This Row],[KGS]],"")</f>
        <v>0.83161147291118187</v>
      </c>
      <c r="H923" s="27"/>
    </row>
    <row r="924" spans="1:8" x14ac:dyDescent="0.25">
      <c r="A924" s="23" t="s">
        <v>9</v>
      </c>
      <c r="B924" s="1">
        <v>45047</v>
      </c>
      <c r="C924" t="s">
        <v>10</v>
      </c>
      <c r="D924" s="8">
        <v>266.89999999999998</v>
      </c>
      <c r="E924" s="12">
        <v>556.23</v>
      </c>
      <c r="F924" s="15">
        <f>IFERROR(PRD[[#This Row],[VALOR]]/PRD[[#This Row],[KGS]],"")</f>
        <v>2.0840389659048335</v>
      </c>
      <c r="H924" s="27"/>
    </row>
    <row r="925" spans="1:8" x14ac:dyDescent="0.25">
      <c r="A925" s="22" t="s">
        <v>11</v>
      </c>
      <c r="B925" s="1">
        <v>45047</v>
      </c>
      <c r="C925" s="2" t="s">
        <v>12</v>
      </c>
      <c r="D925" s="7">
        <v>76.55</v>
      </c>
      <c r="E925" s="13">
        <v>570.73</v>
      </c>
      <c r="F925" s="15">
        <f>IFERROR(PRD[[#This Row],[VALOR]]/PRD[[#This Row],[KGS]],"")</f>
        <v>7.4556499020248213</v>
      </c>
      <c r="H925" s="27"/>
    </row>
    <row r="926" spans="1:8" x14ac:dyDescent="0.25">
      <c r="A926" s="23" t="s">
        <v>13</v>
      </c>
      <c r="B926" s="1">
        <v>45047</v>
      </c>
      <c r="C926" s="3" t="s">
        <v>14</v>
      </c>
      <c r="D926" s="8">
        <v>216</v>
      </c>
      <c r="E926" s="12">
        <v>1660.5</v>
      </c>
      <c r="F926" s="15">
        <f>IFERROR(PRD[[#This Row],[VALOR]]/PRD[[#This Row],[KGS]],"")</f>
        <v>7.6875</v>
      </c>
      <c r="H926" s="27"/>
    </row>
    <row r="927" spans="1:8" x14ac:dyDescent="0.25">
      <c r="A927" s="22" t="s">
        <v>428</v>
      </c>
      <c r="B927" s="1">
        <v>45047</v>
      </c>
      <c r="C927" s="2" t="s">
        <v>429</v>
      </c>
      <c r="D927" s="7">
        <v>331</v>
      </c>
      <c r="E927" s="13">
        <v>893.7</v>
      </c>
      <c r="F927" s="15">
        <f>IFERROR(PRD[[#This Row],[VALOR]]/PRD[[#This Row],[KGS]],"")</f>
        <v>2.7</v>
      </c>
      <c r="H927" s="27"/>
    </row>
    <row r="928" spans="1:8" x14ac:dyDescent="0.25">
      <c r="A928" s="23" t="s">
        <v>15</v>
      </c>
      <c r="B928" s="1">
        <v>45047</v>
      </c>
      <c r="C928" s="3" t="s">
        <v>16</v>
      </c>
      <c r="D928" s="8">
        <v>248.24</v>
      </c>
      <c r="E928" s="12">
        <v>371.11</v>
      </c>
      <c r="F928" s="15">
        <f>IFERROR(PRD[[#This Row],[VALOR]]/PRD[[#This Row],[KGS]],"")</f>
        <v>1.4949645504350628</v>
      </c>
      <c r="H928" s="27"/>
    </row>
    <row r="929" spans="1:8" x14ac:dyDescent="0.25">
      <c r="A929" s="22" t="s">
        <v>17</v>
      </c>
      <c r="B929" s="1">
        <v>45047</v>
      </c>
      <c r="C929" t="s">
        <v>337</v>
      </c>
      <c r="D929" s="7">
        <v>25.7</v>
      </c>
      <c r="E929" s="13">
        <v>30.29</v>
      </c>
      <c r="F929" s="15">
        <f>IFERROR(PRD[[#This Row],[VALOR]]/PRD[[#This Row],[KGS]],"")</f>
        <v>1.1785992217898833</v>
      </c>
      <c r="H929" s="27"/>
    </row>
    <row r="930" spans="1:8" x14ac:dyDescent="0.25">
      <c r="A930" s="23" t="s">
        <v>430</v>
      </c>
      <c r="B930" s="1">
        <v>45047</v>
      </c>
      <c r="C930" s="3" t="s">
        <v>431</v>
      </c>
      <c r="D930" s="8">
        <v>36.4</v>
      </c>
      <c r="E930" s="12">
        <v>49.55</v>
      </c>
      <c r="F930" s="15">
        <f>IFERROR(PRD[[#This Row],[VALOR]]/PRD[[#This Row],[KGS]],"")</f>
        <v>1.3612637362637363</v>
      </c>
      <c r="H930" s="27"/>
    </row>
    <row r="931" spans="1:8" x14ac:dyDescent="0.25">
      <c r="A931" s="22" t="s">
        <v>19</v>
      </c>
      <c r="B931" s="1">
        <v>45047</v>
      </c>
      <c r="C931" t="s">
        <v>20</v>
      </c>
      <c r="D931" s="7">
        <v>1092.58</v>
      </c>
      <c r="E931" s="13">
        <v>793.71</v>
      </c>
      <c r="F931" s="15">
        <f>IFERROR(PRD[[#This Row],[VALOR]]/PRD[[#This Row],[KGS]],"")</f>
        <v>0.72645481337751017</v>
      </c>
      <c r="H931" s="27"/>
    </row>
    <row r="932" spans="1:8" x14ac:dyDescent="0.25">
      <c r="A932" s="23" t="s">
        <v>21</v>
      </c>
      <c r="B932" s="1">
        <v>45047</v>
      </c>
      <c r="C932" t="s">
        <v>22</v>
      </c>
      <c r="D932" s="8">
        <v>18.600000000000001</v>
      </c>
      <c r="E932" s="12">
        <v>9.43</v>
      </c>
      <c r="F932" s="15">
        <f>IFERROR(PRD[[#This Row],[VALOR]]/PRD[[#This Row],[KGS]],"")</f>
        <v>0.50698924731182793</v>
      </c>
      <c r="H932" s="27"/>
    </row>
    <row r="933" spans="1:8" x14ac:dyDescent="0.25">
      <c r="A933" s="22" t="s">
        <v>23</v>
      </c>
      <c r="B933" s="1">
        <v>45047</v>
      </c>
      <c r="C933" s="2" t="s">
        <v>24</v>
      </c>
      <c r="D933" s="7">
        <v>65.8</v>
      </c>
      <c r="E933" s="13">
        <v>93.52</v>
      </c>
      <c r="F933" s="15">
        <f>IFERROR(PRD[[#This Row],[VALOR]]/PRD[[#This Row],[KGS]],"")</f>
        <v>1.4212765957446809</v>
      </c>
      <c r="H933" s="27"/>
    </row>
    <row r="934" spans="1:8" x14ac:dyDescent="0.25">
      <c r="A934" s="23" t="s">
        <v>432</v>
      </c>
      <c r="B934" s="1">
        <v>45047</v>
      </c>
      <c r="C934" s="3" t="s">
        <v>338</v>
      </c>
      <c r="D934" s="8">
        <v>92.1</v>
      </c>
      <c r="E934" s="12">
        <v>248.67</v>
      </c>
      <c r="F934" s="15">
        <f>IFERROR(PRD[[#This Row],[VALOR]]/PRD[[#This Row],[KGS]],"")</f>
        <v>2.7</v>
      </c>
      <c r="H934" s="27"/>
    </row>
    <row r="935" spans="1:8" x14ac:dyDescent="0.25">
      <c r="A935" s="22" t="s">
        <v>433</v>
      </c>
      <c r="B935" s="1">
        <v>45047</v>
      </c>
      <c r="C935" s="2" t="s">
        <v>340</v>
      </c>
      <c r="D935" s="7">
        <v>240</v>
      </c>
      <c r="E935" s="13">
        <v>96</v>
      </c>
      <c r="F935" s="15">
        <f>IFERROR(PRD[[#This Row],[VALOR]]/PRD[[#This Row],[KGS]],"")</f>
        <v>0.4</v>
      </c>
      <c r="H935" s="27"/>
    </row>
    <row r="936" spans="1:8" x14ac:dyDescent="0.25">
      <c r="A936" s="23" t="s">
        <v>434</v>
      </c>
      <c r="B936" s="1">
        <v>45047</v>
      </c>
      <c r="C936" s="3" t="s">
        <v>342</v>
      </c>
      <c r="D936" s="8">
        <v>327.10000000000002</v>
      </c>
      <c r="E936" s="12">
        <v>196.26</v>
      </c>
      <c r="F936" s="15">
        <f>IFERROR(PRD[[#This Row],[VALOR]]/PRD[[#This Row],[KGS]],"")</f>
        <v>0.6</v>
      </c>
      <c r="H936" s="27"/>
    </row>
    <row r="937" spans="1:8" x14ac:dyDescent="0.25">
      <c r="A937" s="22" t="s">
        <v>435</v>
      </c>
      <c r="B937" s="1">
        <v>45047</v>
      </c>
      <c r="C937" s="2" t="s">
        <v>344</v>
      </c>
      <c r="D937" s="7">
        <v>131.5</v>
      </c>
      <c r="E937" s="13">
        <v>223.55</v>
      </c>
      <c r="F937" s="15">
        <f>IFERROR(PRD[[#This Row],[VALOR]]/PRD[[#This Row],[KGS]],"")</f>
        <v>1.7000000000000002</v>
      </c>
      <c r="H937" s="27"/>
    </row>
    <row r="938" spans="1:8" x14ac:dyDescent="0.25">
      <c r="A938" s="23" t="s">
        <v>294</v>
      </c>
      <c r="B938" s="1">
        <v>45047</v>
      </c>
      <c r="C938" s="3" t="s">
        <v>295</v>
      </c>
      <c r="D938" s="8">
        <v>6265.5</v>
      </c>
      <c r="E938" s="12">
        <v>7841.49</v>
      </c>
      <c r="F938" s="15">
        <f>IFERROR(PRD[[#This Row],[VALOR]]/PRD[[#This Row],[KGS]],"")</f>
        <v>1.2515345942063683</v>
      </c>
      <c r="H938" s="27"/>
    </row>
    <row r="939" spans="1:8" x14ac:dyDescent="0.25">
      <c r="A939" s="22" t="s">
        <v>26</v>
      </c>
      <c r="B939" s="1">
        <v>45047</v>
      </c>
      <c r="C939" s="2" t="s">
        <v>27</v>
      </c>
      <c r="D939" s="7">
        <v>3025</v>
      </c>
      <c r="E939" s="13">
        <v>2392.36</v>
      </c>
      <c r="F939" s="15">
        <f>IFERROR(PRD[[#This Row],[VALOR]]/PRD[[#This Row],[KGS]],"")</f>
        <v>0.79086280991735547</v>
      </c>
      <c r="H939" s="27"/>
    </row>
    <row r="940" spans="1:8" x14ac:dyDescent="0.25">
      <c r="A940" s="23" t="s">
        <v>296</v>
      </c>
      <c r="B940" s="1">
        <v>45047</v>
      </c>
      <c r="C940" s="3" t="s">
        <v>297</v>
      </c>
      <c r="D940" s="8">
        <v>1158</v>
      </c>
      <c r="E940" s="12">
        <v>579</v>
      </c>
      <c r="F940" s="15">
        <f>IFERROR(PRD[[#This Row],[VALOR]]/PRD[[#This Row],[KGS]],"")</f>
        <v>0.5</v>
      </c>
      <c r="H940" s="27"/>
    </row>
    <row r="941" spans="1:8" x14ac:dyDescent="0.25">
      <c r="A941" s="22" t="s">
        <v>28</v>
      </c>
      <c r="B941" s="1">
        <v>45047</v>
      </c>
      <c r="C941" s="2" t="s">
        <v>29</v>
      </c>
      <c r="D941" s="7">
        <v>27466</v>
      </c>
      <c r="E941" s="13">
        <v>2197.2800000000002</v>
      </c>
      <c r="F941" s="15">
        <f>IFERROR(PRD[[#This Row],[VALOR]]/PRD[[#This Row],[KGS]],"")</f>
        <v>0.08</v>
      </c>
      <c r="H941" s="27"/>
    </row>
    <row r="942" spans="1:8" x14ac:dyDescent="0.25">
      <c r="A942" s="23" t="s">
        <v>30</v>
      </c>
      <c r="B942" s="1">
        <v>45047</v>
      </c>
      <c r="C942" s="3" t="s">
        <v>31</v>
      </c>
      <c r="D942" s="8">
        <v>273.08</v>
      </c>
      <c r="E942" s="12">
        <v>444.32</v>
      </c>
      <c r="F942" s="15">
        <f>IFERROR(PRD[[#This Row],[VALOR]]/PRD[[#This Row],[KGS]],"")</f>
        <v>1.6270689907719351</v>
      </c>
      <c r="H942" s="27"/>
    </row>
    <row r="943" spans="1:8" x14ac:dyDescent="0.25">
      <c r="A943" s="22" t="s">
        <v>32</v>
      </c>
      <c r="B943" s="1">
        <v>45047</v>
      </c>
      <c r="C943" s="2" t="s">
        <v>33</v>
      </c>
      <c r="D943" s="7">
        <v>2439.12</v>
      </c>
      <c r="E943" s="13">
        <v>5055.93</v>
      </c>
      <c r="F943" s="15">
        <f>IFERROR(PRD[[#This Row],[VALOR]]/PRD[[#This Row],[KGS]],"")</f>
        <v>2.0728500442782645</v>
      </c>
      <c r="H943" s="27"/>
    </row>
    <row r="944" spans="1:8" x14ac:dyDescent="0.25">
      <c r="A944" s="23" t="s">
        <v>34</v>
      </c>
      <c r="B944" s="1">
        <v>45047</v>
      </c>
      <c r="C944" s="3" t="s">
        <v>35</v>
      </c>
      <c r="D944" s="8">
        <v>171.21</v>
      </c>
      <c r="E944" s="12">
        <v>256.82</v>
      </c>
      <c r="F944" s="15">
        <f>IFERROR(PRD[[#This Row],[VALOR]]/PRD[[#This Row],[KGS]],"")</f>
        <v>1.5000292039016412</v>
      </c>
      <c r="H944" s="27"/>
    </row>
    <row r="945" spans="1:8" x14ac:dyDescent="0.25">
      <c r="A945" s="22" t="s">
        <v>36</v>
      </c>
      <c r="B945" s="1">
        <v>45047</v>
      </c>
      <c r="C945" s="2" t="s">
        <v>37</v>
      </c>
      <c r="D945" s="7">
        <v>31.3</v>
      </c>
      <c r="E945" s="13">
        <v>24.1</v>
      </c>
      <c r="F945" s="15">
        <f>IFERROR(PRD[[#This Row],[VALOR]]/PRD[[#This Row],[KGS]],"")</f>
        <v>0.76996805111821087</v>
      </c>
      <c r="H945" s="27"/>
    </row>
    <row r="946" spans="1:8" x14ac:dyDescent="0.25">
      <c r="A946" s="23" t="s">
        <v>301</v>
      </c>
      <c r="B946" s="1">
        <v>45047</v>
      </c>
      <c r="C946" s="3" t="s">
        <v>302</v>
      </c>
      <c r="D946" s="8">
        <v>583.70000000000005</v>
      </c>
      <c r="E946" s="12">
        <v>1634.36</v>
      </c>
      <c r="F946" s="15">
        <f>IFERROR(PRD[[#This Row],[VALOR]]/PRD[[#This Row],[KGS]],"")</f>
        <v>2.8</v>
      </c>
      <c r="H946" s="27"/>
    </row>
    <row r="947" spans="1:8" x14ac:dyDescent="0.25">
      <c r="A947" s="22" t="s">
        <v>38</v>
      </c>
      <c r="B947" s="1">
        <v>45047</v>
      </c>
      <c r="C947" s="2" t="s">
        <v>39</v>
      </c>
      <c r="D947" s="7">
        <v>456.8</v>
      </c>
      <c r="E947" s="13">
        <v>729.43</v>
      </c>
      <c r="F947" s="15">
        <f>IFERROR(PRD[[#This Row],[VALOR]]/PRD[[#This Row],[KGS]],"")</f>
        <v>1.596825744308231</v>
      </c>
      <c r="H947" s="27"/>
    </row>
    <row r="948" spans="1:8" x14ac:dyDescent="0.25">
      <c r="A948" s="23" t="s">
        <v>40</v>
      </c>
      <c r="B948" s="1">
        <v>45047</v>
      </c>
      <c r="C948" s="3" t="s">
        <v>41</v>
      </c>
      <c r="D948" s="8">
        <v>353</v>
      </c>
      <c r="E948" s="12">
        <v>735.65</v>
      </c>
      <c r="F948" s="15">
        <f>IFERROR(PRD[[#This Row],[VALOR]]/PRD[[#This Row],[KGS]],"")</f>
        <v>2.0839943342776204</v>
      </c>
      <c r="H948" s="27"/>
    </row>
    <row r="949" spans="1:8" x14ac:dyDescent="0.25">
      <c r="A949" s="22" t="s">
        <v>42</v>
      </c>
      <c r="B949" s="1">
        <v>45047</v>
      </c>
      <c r="C949" s="2" t="s">
        <v>43</v>
      </c>
      <c r="D949" s="7">
        <v>1913.5</v>
      </c>
      <c r="E949" s="13">
        <v>3284.71</v>
      </c>
      <c r="F949" s="15">
        <f>IFERROR(PRD[[#This Row],[VALOR]]/PRD[[#This Row],[KGS]],"")</f>
        <v>1.7165978573295009</v>
      </c>
      <c r="H949" s="27"/>
    </row>
    <row r="950" spans="1:8" x14ac:dyDescent="0.25">
      <c r="A950" s="23" t="s">
        <v>44</v>
      </c>
      <c r="B950" s="1">
        <v>45047</v>
      </c>
      <c r="C950" s="3" t="s">
        <v>45</v>
      </c>
      <c r="D950" s="8">
        <v>285</v>
      </c>
      <c r="E950" s="12">
        <v>409.19</v>
      </c>
      <c r="F950" s="15">
        <f>IFERROR(PRD[[#This Row],[VALOR]]/PRD[[#This Row],[KGS]],"")</f>
        <v>1.4357543859649122</v>
      </c>
      <c r="H950" s="27"/>
    </row>
    <row r="951" spans="1:8" x14ac:dyDescent="0.25">
      <c r="A951" s="22" t="s">
        <v>46</v>
      </c>
      <c r="B951" s="1">
        <v>45047</v>
      </c>
      <c r="C951" s="2" t="s">
        <v>47</v>
      </c>
      <c r="D951" s="7">
        <v>1180</v>
      </c>
      <c r="E951" s="13">
        <v>1587</v>
      </c>
      <c r="F951" s="15">
        <f>IFERROR(PRD[[#This Row],[VALOR]]/PRD[[#This Row],[KGS]],"")</f>
        <v>1.3449152542372882</v>
      </c>
      <c r="H951" s="27"/>
    </row>
    <row r="952" spans="1:8" x14ac:dyDescent="0.25">
      <c r="A952" s="23" t="s">
        <v>48</v>
      </c>
      <c r="B952" s="1">
        <v>45047</v>
      </c>
      <c r="C952" s="3" t="s">
        <v>49</v>
      </c>
      <c r="D952" s="8">
        <v>712.72</v>
      </c>
      <c r="E952" s="12">
        <v>1130.22</v>
      </c>
      <c r="F952" s="15">
        <f>IFERROR(PRD[[#This Row],[VALOR]]/PRD[[#This Row],[KGS]],"")</f>
        <v>1.5857840386126389</v>
      </c>
      <c r="H952" s="27"/>
    </row>
    <row r="953" spans="1:8" x14ac:dyDescent="0.25">
      <c r="A953" s="22" t="s">
        <v>50</v>
      </c>
      <c r="B953" s="1">
        <v>45047</v>
      </c>
      <c r="C953" s="2" t="s">
        <v>51</v>
      </c>
      <c r="D953" s="7">
        <v>240</v>
      </c>
      <c r="E953" s="13">
        <v>442.5</v>
      </c>
      <c r="F953" s="15">
        <f>IFERROR(PRD[[#This Row],[VALOR]]/PRD[[#This Row],[KGS]],"")</f>
        <v>1.84375</v>
      </c>
      <c r="H953" s="27"/>
    </row>
    <row r="954" spans="1:8" x14ac:dyDescent="0.25">
      <c r="A954" s="23" t="s">
        <v>52</v>
      </c>
      <c r="B954" s="1">
        <v>45047</v>
      </c>
      <c r="C954" s="3" t="s">
        <v>53</v>
      </c>
      <c r="D954" s="8">
        <v>1104</v>
      </c>
      <c r="E954" s="12">
        <v>441.6</v>
      </c>
      <c r="F954" s="15">
        <f>IFERROR(PRD[[#This Row],[VALOR]]/PRD[[#This Row],[KGS]],"")</f>
        <v>0.4</v>
      </c>
      <c r="H954" s="27"/>
    </row>
    <row r="955" spans="1:8" x14ac:dyDescent="0.25">
      <c r="A955" s="22" t="s">
        <v>54</v>
      </c>
      <c r="B955" s="1">
        <v>45047</v>
      </c>
      <c r="C955" s="2" t="s">
        <v>55</v>
      </c>
      <c r="D955" s="7">
        <v>116</v>
      </c>
      <c r="E955" s="13">
        <v>116</v>
      </c>
      <c r="F955" s="15">
        <f>IFERROR(PRD[[#This Row],[VALOR]]/PRD[[#This Row],[KGS]],"")</f>
        <v>1</v>
      </c>
      <c r="H955" s="27"/>
    </row>
    <row r="956" spans="1:8" x14ac:dyDescent="0.25">
      <c r="A956" s="23" t="s">
        <v>438</v>
      </c>
      <c r="B956" s="1">
        <v>45047</v>
      </c>
      <c r="C956" s="3" t="s">
        <v>389</v>
      </c>
      <c r="D956" s="8">
        <v>23.7</v>
      </c>
      <c r="E956" s="12">
        <v>18.96</v>
      </c>
      <c r="F956" s="15">
        <f>IFERROR(PRD[[#This Row],[VALOR]]/PRD[[#This Row],[KGS]],"")</f>
        <v>0.8</v>
      </c>
      <c r="H956" s="27"/>
    </row>
    <row r="957" spans="1:8" x14ac:dyDescent="0.25">
      <c r="A957" s="22" t="s">
        <v>56</v>
      </c>
      <c r="B957" s="1">
        <v>45047</v>
      </c>
      <c r="C957" s="2" t="s">
        <v>57</v>
      </c>
      <c r="D957" s="7">
        <v>97</v>
      </c>
      <c r="E957" s="13">
        <v>131.02000000000001</v>
      </c>
      <c r="F957" s="15">
        <f>IFERROR(PRD[[#This Row],[VALOR]]/PRD[[#This Row],[KGS]],"")</f>
        <v>1.3507216494845362</v>
      </c>
      <c r="H957" s="27"/>
    </row>
    <row r="958" spans="1:8" x14ac:dyDescent="0.25">
      <c r="A958" s="23" t="s">
        <v>440</v>
      </c>
      <c r="B958" s="1">
        <v>45047</v>
      </c>
      <c r="C958" s="3" t="s">
        <v>346</v>
      </c>
      <c r="D958" s="8">
        <v>4689</v>
      </c>
      <c r="E958" s="12">
        <v>10784.7</v>
      </c>
      <c r="F958" s="15">
        <f>IFERROR(PRD[[#This Row],[VALOR]]/PRD[[#This Row],[KGS]],"")</f>
        <v>2.3000000000000003</v>
      </c>
      <c r="H958" s="27"/>
    </row>
    <row r="959" spans="1:8" x14ac:dyDescent="0.25">
      <c r="A959" s="22" t="s">
        <v>58</v>
      </c>
      <c r="B959" s="1">
        <v>45047</v>
      </c>
      <c r="C959" s="2" t="s">
        <v>59</v>
      </c>
      <c r="D959" s="7">
        <v>1044.9000000000001</v>
      </c>
      <c r="E959" s="13">
        <v>1099.9000000000001</v>
      </c>
      <c r="F959" s="15">
        <f>IFERROR(PRD[[#This Row],[VALOR]]/PRD[[#This Row],[KGS]],"")</f>
        <v>1.0526366159441094</v>
      </c>
      <c r="H959" s="27"/>
    </row>
    <row r="960" spans="1:8" x14ac:dyDescent="0.25">
      <c r="A960" s="23" t="s">
        <v>442</v>
      </c>
      <c r="B960" s="1">
        <v>45047</v>
      </c>
      <c r="C960" s="3" t="s">
        <v>443</v>
      </c>
      <c r="D960" s="8">
        <v>98.5</v>
      </c>
      <c r="E960" s="12">
        <v>98.5</v>
      </c>
      <c r="F960" s="15">
        <f>IFERROR(PRD[[#This Row],[VALOR]]/PRD[[#This Row],[KGS]],"")</f>
        <v>1</v>
      </c>
      <c r="H960" s="27"/>
    </row>
    <row r="961" spans="1:8" x14ac:dyDescent="0.25">
      <c r="A961" s="22" t="s">
        <v>444</v>
      </c>
      <c r="B961" s="1">
        <v>45047</v>
      </c>
      <c r="C961" s="2" t="s">
        <v>348</v>
      </c>
      <c r="D961" s="7">
        <v>838.6</v>
      </c>
      <c r="E961" s="13">
        <v>251.58</v>
      </c>
      <c r="F961" s="15">
        <f>IFERROR(PRD[[#This Row],[VALOR]]/PRD[[#This Row],[KGS]],"")</f>
        <v>0.3</v>
      </c>
      <c r="H961" s="27"/>
    </row>
    <row r="962" spans="1:8" x14ac:dyDescent="0.25">
      <c r="A962" s="23" t="s">
        <v>60</v>
      </c>
      <c r="B962" s="1">
        <v>45047</v>
      </c>
      <c r="C962" s="3" t="s">
        <v>61</v>
      </c>
      <c r="D962" s="8">
        <v>19.3</v>
      </c>
      <c r="E962" s="12">
        <v>9.65</v>
      </c>
      <c r="F962" s="15">
        <f>IFERROR(PRD[[#This Row],[VALOR]]/PRD[[#This Row],[KGS]],"")</f>
        <v>0.5</v>
      </c>
      <c r="H962" s="27"/>
    </row>
    <row r="963" spans="1:8" x14ac:dyDescent="0.25">
      <c r="A963" s="22" t="s">
        <v>62</v>
      </c>
      <c r="B963" s="1">
        <v>45047</v>
      </c>
      <c r="C963" s="2" t="s">
        <v>63</v>
      </c>
      <c r="D963" s="7">
        <v>64472</v>
      </c>
      <c r="E963" s="13">
        <v>192682.46</v>
      </c>
      <c r="F963" s="15">
        <f>IFERROR(PRD[[#This Row],[VALOR]]/PRD[[#This Row],[KGS]],"")</f>
        <v>2.9886223476858169</v>
      </c>
      <c r="H963" s="27"/>
    </row>
    <row r="964" spans="1:8" x14ac:dyDescent="0.25">
      <c r="A964" s="23" t="s">
        <v>64</v>
      </c>
      <c r="B964" s="1">
        <v>45047</v>
      </c>
      <c r="C964" s="3" t="s">
        <v>65</v>
      </c>
      <c r="D964" s="8">
        <v>441.9</v>
      </c>
      <c r="E964" s="12">
        <v>1353.96</v>
      </c>
      <c r="F964" s="15">
        <f>IFERROR(PRD[[#This Row],[VALOR]]/PRD[[#This Row],[KGS]],"")</f>
        <v>3.0639511201629333</v>
      </c>
      <c r="H964" s="27"/>
    </row>
    <row r="965" spans="1:8" x14ac:dyDescent="0.25">
      <c r="A965" s="22" t="s">
        <v>66</v>
      </c>
      <c r="B965" s="1">
        <v>45047</v>
      </c>
      <c r="C965" s="2" t="s">
        <v>67</v>
      </c>
      <c r="D965" s="7">
        <v>39902.49</v>
      </c>
      <c r="E965" s="13">
        <v>131702.85999999999</v>
      </c>
      <c r="F965" s="15">
        <f>IFERROR(PRD[[#This Row],[VALOR]]/PRD[[#This Row],[KGS]],"")</f>
        <v>3.3006175805068803</v>
      </c>
      <c r="H965" s="27"/>
    </row>
    <row r="966" spans="1:8" x14ac:dyDescent="0.25">
      <c r="A966" s="23" t="s">
        <v>68</v>
      </c>
      <c r="B966" s="1">
        <v>45047</v>
      </c>
      <c r="C966" s="3" t="s">
        <v>69</v>
      </c>
      <c r="D966" s="8">
        <v>11941.02</v>
      </c>
      <c r="E966" s="12">
        <v>39127.839999999997</v>
      </c>
      <c r="F966" s="15">
        <f>IFERROR(PRD[[#This Row],[VALOR]]/PRD[[#This Row],[KGS]],"")</f>
        <v>3.276758601861482</v>
      </c>
      <c r="H966" s="27"/>
    </row>
    <row r="967" spans="1:8" x14ac:dyDescent="0.25">
      <c r="A967" s="22" t="s">
        <v>70</v>
      </c>
      <c r="B967" s="1">
        <v>45047</v>
      </c>
      <c r="C967" s="2" t="s">
        <v>71</v>
      </c>
      <c r="D967" s="7">
        <v>3557.5</v>
      </c>
      <c r="E967" s="13">
        <v>11999.27</v>
      </c>
      <c r="F967" s="15">
        <f>IFERROR(PRD[[#This Row],[VALOR]]/PRD[[#This Row],[KGS]],"")</f>
        <v>3.3729501054111033</v>
      </c>
      <c r="H967" s="27"/>
    </row>
    <row r="968" spans="1:8" x14ac:dyDescent="0.25">
      <c r="A968" s="23" t="s">
        <v>72</v>
      </c>
      <c r="B968" s="1">
        <v>45047</v>
      </c>
      <c r="C968" s="3" t="s">
        <v>73</v>
      </c>
      <c r="D968" s="8">
        <v>9297.9</v>
      </c>
      <c r="E968" s="12">
        <v>28652.21</v>
      </c>
      <c r="F968" s="15">
        <f>IFERROR(PRD[[#This Row],[VALOR]]/PRD[[#This Row],[KGS]],"")</f>
        <v>3.0815786360360944</v>
      </c>
      <c r="H968" s="27"/>
    </row>
    <row r="969" spans="1:8" x14ac:dyDescent="0.25">
      <c r="A969" s="22" t="s">
        <v>74</v>
      </c>
      <c r="B969" s="1">
        <v>45047</v>
      </c>
      <c r="C969" s="2" t="s">
        <v>75</v>
      </c>
      <c r="D969" s="7">
        <v>220.14</v>
      </c>
      <c r="E969" s="13">
        <v>710.99</v>
      </c>
      <c r="F969" s="15">
        <f>IFERROR(PRD[[#This Row],[VALOR]]/PRD[[#This Row],[KGS]],"")</f>
        <v>3.2297174525302084</v>
      </c>
      <c r="H969" s="27"/>
    </row>
    <row r="970" spans="1:8" x14ac:dyDescent="0.25">
      <c r="A970" s="23" t="s">
        <v>76</v>
      </c>
      <c r="B970" s="1">
        <v>45047</v>
      </c>
      <c r="C970" s="3" t="s">
        <v>77</v>
      </c>
      <c r="D970" s="8">
        <v>11757.37</v>
      </c>
      <c r="E970" s="12">
        <v>42470.63</v>
      </c>
      <c r="F970" s="15">
        <f>IFERROR(PRD[[#This Row],[VALOR]]/PRD[[#This Row],[KGS]],"")</f>
        <v>3.612255972211472</v>
      </c>
      <c r="H970" s="27"/>
    </row>
    <row r="971" spans="1:8" x14ac:dyDescent="0.25">
      <c r="A971" s="22" t="s">
        <v>78</v>
      </c>
      <c r="B971" s="1">
        <v>45047</v>
      </c>
      <c r="C971" s="2" t="s">
        <v>79</v>
      </c>
      <c r="D971" s="7">
        <v>303.56</v>
      </c>
      <c r="E971" s="13">
        <v>1730.71</v>
      </c>
      <c r="F971" s="15">
        <f>IFERROR(PRD[[#This Row],[VALOR]]/PRD[[#This Row],[KGS]],"")</f>
        <v>5.7013769930162077</v>
      </c>
      <c r="H971" s="27"/>
    </row>
    <row r="972" spans="1:8" x14ac:dyDescent="0.25">
      <c r="A972" s="23" t="s">
        <v>80</v>
      </c>
      <c r="B972" s="1">
        <v>45047</v>
      </c>
      <c r="C972" s="3" t="s">
        <v>81</v>
      </c>
      <c r="D972" s="8">
        <v>6613.83</v>
      </c>
      <c r="E972" s="12">
        <v>23660.44</v>
      </c>
      <c r="F972" s="15">
        <f>IFERROR(PRD[[#This Row],[VALOR]]/PRD[[#This Row],[KGS]],"")</f>
        <v>3.5774188329606291</v>
      </c>
      <c r="H972" s="27"/>
    </row>
    <row r="973" spans="1:8" x14ac:dyDescent="0.25">
      <c r="A973" s="22" t="s">
        <v>82</v>
      </c>
      <c r="B973" s="1">
        <v>45047</v>
      </c>
      <c r="C973" s="2" t="s">
        <v>83</v>
      </c>
      <c r="D973" s="7">
        <v>12759.74</v>
      </c>
      <c r="E973" s="13">
        <v>46154.85</v>
      </c>
      <c r="F973" s="15">
        <f>IFERROR(PRD[[#This Row],[VALOR]]/PRD[[#This Row],[KGS]],"")</f>
        <v>3.6172249591292611</v>
      </c>
      <c r="H973" s="27"/>
    </row>
    <row r="974" spans="1:8" x14ac:dyDescent="0.25">
      <c r="A974" s="23" t="s">
        <v>85</v>
      </c>
      <c r="B974" s="1">
        <v>45047</v>
      </c>
      <c r="C974" s="3" t="s">
        <v>86</v>
      </c>
      <c r="D974" s="8">
        <v>2786.2</v>
      </c>
      <c r="E974" s="12">
        <v>11794.87</v>
      </c>
      <c r="F974" s="15">
        <f>IFERROR(PRD[[#This Row],[VALOR]]/PRD[[#This Row],[KGS]],"")</f>
        <v>4.2333177804895561</v>
      </c>
      <c r="H974" s="27"/>
    </row>
    <row r="975" spans="1:8" x14ac:dyDescent="0.25">
      <c r="A975" s="22" t="s">
        <v>87</v>
      </c>
      <c r="B975" s="1">
        <v>45047</v>
      </c>
      <c r="C975" s="2" t="s">
        <v>88</v>
      </c>
      <c r="D975" s="7">
        <v>225.77</v>
      </c>
      <c r="E975" s="13">
        <v>360.1</v>
      </c>
      <c r="F975" s="15">
        <f>IFERROR(PRD[[#This Row],[VALOR]]/PRD[[#This Row],[KGS]],"")</f>
        <v>1.5949860477477078</v>
      </c>
      <c r="H975" s="27"/>
    </row>
    <row r="976" spans="1:8" x14ac:dyDescent="0.25">
      <c r="A976" s="23" t="s">
        <v>89</v>
      </c>
      <c r="B976" s="1">
        <v>45047</v>
      </c>
      <c r="C976" s="3" t="s">
        <v>90</v>
      </c>
      <c r="D976" s="8">
        <v>17897.400000000001</v>
      </c>
      <c r="E976" s="12">
        <v>60048.93</v>
      </c>
      <c r="F976" s="15">
        <f>IFERROR(PRD[[#This Row],[VALOR]]/PRD[[#This Row],[KGS]],"")</f>
        <v>3.3551761708404571</v>
      </c>
      <c r="H976" s="27"/>
    </row>
    <row r="977" spans="1:8" x14ac:dyDescent="0.25">
      <c r="A977" s="22" t="s">
        <v>91</v>
      </c>
      <c r="B977" s="1">
        <v>45047</v>
      </c>
      <c r="C977" s="2" t="s">
        <v>92</v>
      </c>
      <c r="D977" s="7">
        <v>1091</v>
      </c>
      <c r="E977" s="13">
        <v>3873.05</v>
      </c>
      <c r="F977" s="15">
        <f>IFERROR(PRD[[#This Row],[VALOR]]/PRD[[#This Row],[KGS]],"")</f>
        <v>3.5500000000000003</v>
      </c>
      <c r="H977" s="27"/>
    </row>
    <row r="978" spans="1:8" x14ac:dyDescent="0.25">
      <c r="A978" s="23" t="s">
        <v>93</v>
      </c>
      <c r="B978" s="1">
        <v>45047</v>
      </c>
      <c r="C978" s="3" t="s">
        <v>94</v>
      </c>
      <c r="D978" s="8">
        <v>788.38</v>
      </c>
      <c r="E978" s="12">
        <v>4952</v>
      </c>
      <c r="F978" s="15">
        <f>IFERROR(PRD[[#This Row],[VALOR]]/PRD[[#This Row],[KGS]],"")</f>
        <v>6.2812349374667038</v>
      </c>
      <c r="H978" s="27"/>
    </row>
    <row r="979" spans="1:8" x14ac:dyDescent="0.25">
      <c r="A979" s="22" t="s">
        <v>95</v>
      </c>
      <c r="B979" s="1">
        <v>45047</v>
      </c>
      <c r="C979" s="2" t="s">
        <v>96</v>
      </c>
      <c r="D979" s="7">
        <v>11598.21</v>
      </c>
      <c r="E979" s="13">
        <v>45378.06</v>
      </c>
      <c r="F979" s="15">
        <f>IFERROR(PRD[[#This Row],[VALOR]]/PRD[[#This Row],[KGS]],"")</f>
        <v>3.9125054642052524</v>
      </c>
      <c r="H979" s="27"/>
    </row>
    <row r="980" spans="1:8" x14ac:dyDescent="0.25">
      <c r="A980" s="23" t="s">
        <v>97</v>
      </c>
      <c r="B980" s="1">
        <v>45047</v>
      </c>
      <c r="C980" s="3" t="s">
        <v>98</v>
      </c>
      <c r="D980" s="8">
        <v>2.6</v>
      </c>
      <c r="E980" s="12">
        <v>12.9</v>
      </c>
      <c r="F980" s="15">
        <f>IFERROR(PRD[[#This Row],[VALOR]]/PRD[[#This Row],[KGS]],"")</f>
        <v>4.9615384615384617</v>
      </c>
      <c r="H980" s="27"/>
    </row>
    <row r="981" spans="1:8" x14ac:dyDescent="0.25">
      <c r="A981" s="22" t="s">
        <v>99</v>
      </c>
      <c r="B981" s="1">
        <v>45047</v>
      </c>
      <c r="C981" s="2" t="s">
        <v>100</v>
      </c>
      <c r="D981" s="7">
        <v>38166.050000000003</v>
      </c>
      <c r="E981" s="13">
        <v>145119.97</v>
      </c>
      <c r="F981" s="15">
        <f>IFERROR(PRD[[#This Row],[VALOR]]/PRD[[#This Row],[KGS]],"")</f>
        <v>3.8023313913805592</v>
      </c>
      <c r="H981" s="27"/>
    </row>
    <row r="982" spans="1:8" x14ac:dyDescent="0.25">
      <c r="A982" s="23" t="s">
        <v>541</v>
      </c>
      <c r="B982" s="1">
        <v>45047</v>
      </c>
      <c r="C982" s="3" t="s">
        <v>542</v>
      </c>
      <c r="D982" s="8">
        <v>203.4</v>
      </c>
      <c r="E982" s="12">
        <v>996.66</v>
      </c>
      <c r="F982" s="15">
        <f>IFERROR(PRD[[#This Row],[VALOR]]/PRD[[#This Row],[KGS]],"")</f>
        <v>4.8999999999999995</v>
      </c>
      <c r="H982" s="27"/>
    </row>
    <row r="983" spans="1:8" x14ac:dyDescent="0.25">
      <c r="A983" s="22" t="s">
        <v>101</v>
      </c>
      <c r="B983" s="1">
        <v>45047</v>
      </c>
      <c r="C983" s="2" t="s">
        <v>102</v>
      </c>
      <c r="D983" s="7">
        <v>257</v>
      </c>
      <c r="E983" s="13">
        <v>1029.82</v>
      </c>
      <c r="F983" s="15">
        <f>IFERROR(PRD[[#This Row],[VALOR]]/PRD[[#This Row],[KGS]],"")</f>
        <v>4.0070817120622566</v>
      </c>
      <c r="H983" s="27"/>
    </row>
    <row r="984" spans="1:8" x14ac:dyDescent="0.25">
      <c r="A984" s="23" t="s">
        <v>103</v>
      </c>
      <c r="B984" s="1">
        <v>45047</v>
      </c>
      <c r="C984" s="3" t="s">
        <v>104</v>
      </c>
      <c r="D984" s="8">
        <v>12738.89</v>
      </c>
      <c r="E984" s="12">
        <v>38574.019999999997</v>
      </c>
      <c r="F984" s="15">
        <f>IFERROR(PRD[[#This Row],[VALOR]]/PRD[[#This Row],[KGS]],"")</f>
        <v>3.028051894631322</v>
      </c>
      <c r="H984" s="27"/>
    </row>
    <row r="985" spans="1:8" x14ac:dyDescent="0.25">
      <c r="A985" s="22" t="s">
        <v>105</v>
      </c>
      <c r="B985" s="1">
        <v>45047</v>
      </c>
      <c r="C985" s="2" t="s">
        <v>106</v>
      </c>
      <c r="D985" s="7">
        <v>464.9</v>
      </c>
      <c r="E985" s="13">
        <v>1454.97</v>
      </c>
      <c r="F985" s="15">
        <f>IFERROR(PRD[[#This Row],[VALOR]]/PRD[[#This Row],[KGS]],"")</f>
        <v>3.1296407829640787</v>
      </c>
      <c r="H985" s="27"/>
    </row>
    <row r="986" spans="1:8" x14ac:dyDescent="0.25">
      <c r="A986" s="23" t="s">
        <v>107</v>
      </c>
      <c r="B986" s="1">
        <v>45047</v>
      </c>
      <c r="C986" s="3" t="s">
        <v>108</v>
      </c>
      <c r="D986" s="8">
        <v>6.3</v>
      </c>
      <c r="E986" s="12">
        <v>19.72</v>
      </c>
      <c r="F986" s="15">
        <f>IFERROR(PRD[[#This Row],[VALOR]]/PRD[[#This Row],[KGS]],"")</f>
        <v>3.1301587301587301</v>
      </c>
      <c r="H986" s="27"/>
    </row>
    <row r="987" spans="1:8" x14ac:dyDescent="0.25">
      <c r="A987" s="22" t="s">
        <v>109</v>
      </c>
      <c r="B987" s="1">
        <v>45047</v>
      </c>
      <c r="C987" s="2" t="s">
        <v>110</v>
      </c>
      <c r="D987" s="7">
        <v>7467.5</v>
      </c>
      <c r="E987" s="13">
        <v>22017.99</v>
      </c>
      <c r="F987" s="15">
        <f>IFERROR(PRD[[#This Row],[VALOR]]/PRD[[#This Row],[KGS]],"")</f>
        <v>2.9485088717777037</v>
      </c>
      <c r="H987" s="27"/>
    </row>
    <row r="988" spans="1:8" x14ac:dyDescent="0.25">
      <c r="A988" s="23" t="s">
        <v>111</v>
      </c>
      <c r="B988" s="1">
        <v>45047</v>
      </c>
      <c r="C988" s="3" t="s">
        <v>112</v>
      </c>
      <c r="D988" s="8">
        <v>1670.39</v>
      </c>
      <c r="E988" s="12">
        <v>4763.46</v>
      </c>
      <c r="F988" s="15">
        <f>IFERROR(PRD[[#This Row],[VALOR]]/PRD[[#This Row],[KGS]],"")</f>
        <v>2.8517052903812878</v>
      </c>
      <c r="H988" s="27"/>
    </row>
    <row r="989" spans="1:8" x14ac:dyDescent="0.25">
      <c r="A989" s="22" t="s">
        <v>113</v>
      </c>
      <c r="B989" s="1">
        <v>45047</v>
      </c>
      <c r="C989" s="2" t="s">
        <v>114</v>
      </c>
      <c r="D989" s="7">
        <v>2937.5</v>
      </c>
      <c r="E989" s="13">
        <v>10809.13</v>
      </c>
      <c r="F989" s="15">
        <f>IFERROR(PRD[[#This Row],[VALOR]]/PRD[[#This Row],[KGS]],"")</f>
        <v>3.679703829787234</v>
      </c>
      <c r="H989" s="27"/>
    </row>
    <row r="990" spans="1:8" x14ac:dyDescent="0.25">
      <c r="A990" s="23" t="s">
        <v>447</v>
      </c>
      <c r="B990" s="1">
        <v>45047</v>
      </c>
      <c r="C990" s="3" t="s">
        <v>448</v>
      </c>
      <c r="D990" s="8">
        <v>889.04</v>
      </c>
      <c r="E990" s="12">
        <v>3142.37</v>
      </c>
      <c r="F990" s="15">
        <f>IFERROR(PRD[[#This Row],[VALOR]]/PRD[[#This Row],[KGS]],"")</f>
        <v>3.5345653738864393</v>
      </c>
      <c r="H990" s="27"/>
    </row>
    <row r="991" spans="1:8" x14ac:dyDescent="0.25">
      <c r="A991" s="22" t="s">
        <v>449</v>
      </c>
      <c r="B991" s="1">
        <v>45047</v>
      </c>
      <c r="C991" s="2" t="s">
        <v>351</v>
      </c>
      <c r="D991" s="7">
        <v>2139.38</v>
      </c>
      <c r="E991" s="13">
        <v>8924.73</v>
      </c>
      <c r="F991" s="15">
        <f>IFERROR(PRD[[#This Row],[VALOR]]/PRD[[#This Row],[KGS]],"")</f>
        <v>4.1716431863437062</v>
      </c>
      <c r="H991" s="27"/>
    </row>
    <row r="992" spans="1:8" x14ac:dyDescent="0.25">
      <c r="A992" s="23" t="s">
        <v>116</v>
      </c>
      <c r="B992" s="1">
        <v>45047</v>
      </c>
      <c r="C992" s="3" t="s">
        <v>117</v>
      </c>
      <c r="D992" s="8">
        <v>240.7</v>
      </c>
      <c r="E992" s="12">
        <v>893.72</v>
      </c>
      <c r="F992" s="15">
        <f>IFERROR(PRD[[#This Row],[VALOR]]/PRD[[#This Row],[KGS]],"")</f>
        <v>3.7130037390943085</v>
      </c>
      <c r="H992" s="27"/>
    </row>
    <row r="993" spans="1:8" x14ac:dyDescent="0.25">
      <c r="A993" s="22" t="s">
        <v>118</v>
      </c>
      <c r="B993" s="1">
        <v>45047</v>
      </c>
      <c r="C993" s="2" t="s">
        <v>119</v>
      </c>
      <c r="D993" s="7">
        <v>7468.3</v>
      </c>
      <c r="E993" s="13">
        <v>24353.97</v>
      </c>
      <c r="F993" s="15">
        <f>IFERROR(PRD[[#This Row],[VALOR]]/PRD[[#This Row],[KGS]],"")</f>
        <v>3.2609790715423861</v>
      </c>
      <c r="H993" s="27"/>
    </row>
    <row r="994" spans="1:8" x14ac:dyDescent="0.25">
      <c r="A994" s="23" t="s">
        <v>120</v>
      </c>
      <c r="B994" s="1">
        <v>45047</v>
      </c>
      <c r="C994" s="3" t="s">
        <v>121</v>
      </c>
      <c r="D994" s="8">
        <v>542.57000000000005</v>
      </c>
      <c r="E994" s="12">
        <v>1101.8900000000001</v>
      </c>
      <c r="F994" s="15">
        <f>IFERROR(PRD[[#This Row],[VALOR]]/PRD[[#This Row],[KGS]],"")</f>
        <v>2.0308715926055623</v>
      </c>
      <c r="H994" s="27"/>
    </row>
    <row r="995" spans="1:8" x14ac:dyDescent="0.25">
      <c r="A995" s="22" t="s">
        <v>122</v>
      </c>
      <c r="B995" s="1">
        <v>45047</v>
      </c>
      <c r="C995" s="2" t="s">
        <v>123</v>
      </c>
      <c r="D995" s="7">
        <v>14.37</v>
      </c>
      <c r="E995" s="13">
        <v>27.3</v>
      </c>
      <c r="F995" s="15">
        <f>IFERROR(PRD[[#This Row],[VALOR]]/PRD[[#This Row],[KGS]],"")</f>
        <v>1.8997912317327768</v>
      </c>
      <c r="H995" s="27"/>
    </row>
    <row r="996" spans="1:8" x14ac:dyDescent="0.25">
      <c r="A996" s="23" t="s">
        <v>124</v>
      </c>
      <c r="B996" s="1">
        <v>45047</v>
      </c>
      <c r="C996" s="3" t="s">
        <v>125</v>
      </c>
      <c r="D996" s="8">
        <v>20</v>
      </c>
      <c r="E996" s="12">
        <v>30</v>
      </c>
      <c r="F996" s="15">
        <f>IFERROR(PRD[[#This Row],[VALOR]]/PRD[[#This Row],[KGS]],"")</f>
        <v>1.5</v>
      </c>
      <c r="H996" s="27"/>
    </row>
    <row r="997" spans="1:8" x14ac:dyDescent="0.25">
      <c r="A997" s="22" t="s">
        <v>126</v>
      </c>
      <c r="B997" s="1">
        <v>45047</v>
      </c>
      <c r="C997" s="2" t="s">
        <v>127</v>
      </c>
      <c r="D997" s="7">
        <v>355</v>
      </c>
      <c r="E997" s="13">
        <v>321.5</v>
      </c>
      <c r="F997" s="15">
        <f>IFERROR(PRD[[#This Row],[VALOR]]/PRD[[#This Row],[KGS]],"")</f>
        <v>0.90563380281690142</v>
      </c>
      <c r="H997" s="27"/>
    </row>
    <row r="998" spans="1:8" x14ac:dyDescent="0.25">
      <c r="A998" s="23" t="s">
        <v>543</v>
      </c>
      <c r="B998" s="1">
        <v>45047</v>
      </c>
      <c r="C998" s="3" t="s">
        <v>544</v>
      </c>
      <c r="D998" s="8">
        <v>1640</v>
      </c>
      <c r="E998" s="12">
        <v>1313.5</v>
      </c>
      <c r="F998" s="15">
        <f>IFERROR(PRD[[#This Row],[VALOR]]/PRD[[#This Row],[KGS]],"")</f>
        <v>0.80091463414634145</v>
      </c>
      <c r="H998" s="27"/>
    </row>
    <row r="999" spans="1:8" x14ac:dyDescent="0.25">
      <c r="A999" s="22" t="s">
        <v>128</v>
      </c>
      <c r="B999" s="1">
        <v>45047</v>
      </c>
      <c r="C999" s="2" t="s">
        <v>129</v>
      </c>
      <c r="D999" s="7">
        <v>46.36</v>
      </c>
      <c r="E999" s="13">
        <v>117.19</v>
      </c>
      <c r="F999" s="15">
        <f>IFERROR(PRD[[#This Row],[VALOR]]/PRD[[#This Row],[KGS]],"")</f>
        <v>2.5278257118205349</v>
      </c>
      <c r="H999" s="27"/>
    </row>
    <row r="1000" spans="1:8" x14ac:dyDescent="0.25">
      <c r="A1000" s="23" t="s">
        <v>450</v>
      </c>
      <c r="B1000" s="1">
        <v>45047</v>
      </c>
      <c r="C1000" s="3" t="s">
        <v>451</v>
      </c>
      <c r="D1000" s="8">
        <v>180.74</v>
      </c>
      <c r="E1000" s="12">
        <v>940.21</v>
      </c>
      <c r="F1000" s="15">
        <f>IFERROR(PRD[[#This Row],[VALOR]]/PRD[[#This Row],[KGS]],"")</f>
        <v>5.2020028770609716</v>
      </c>
      <c r="H1000" s="27"/>
    </row>
    <row r="1001" spans="1:8" x14ac:dyDescent="0.25">
      <c r="A1001" s="22" t="s">
        <v>452</v>
      </c>
      <c r="B1001" s="1">
        <v>45047</v>
      </c>
      <c r="C1001" s="2" t="s">
        <v>453</v>
      </c>
      <c r="D1001" s="7">
        <v>315</v>
      </c>
      <c r="E1001" s="13">
        <v>1417.5</v>
      </c>
      <c r="F1001" s="15">
        <f>IFERROR(PRD[[#This Row],[VALOR]]/PRD[[#This Row],[KGS]],"")</f>
        <v>4.5</v>
      </c>
      <c r="H1001" s="27"/>
    </row>
    <row r="1002" spans="1:8" x14ac:dyDescent="0.25">
      <c r="A1002" s="23" t="s">
        <v>130</v>
      </c>
      <c r="B1002" s="1">
        <v>45047</v>
      </c>
      <c r="C1002" s="3" t="s">
        <v>131</v>
      </c>
      <c r="D1002" s="8">
        <v>6771.5</v>
      </c>
      <c r="E1002" s="12">
        <v>22494.21</v>
      </c>
      <c r="F1002" s="15">
        <f>IFERROR(PRD[[#This Row],[VALOR]]/PRD[[#This Row],[KGS]],"")</f>
        <v>3.3218947057520487</v>
      </c>
      <c r="H1002" s="27"/>
    </row>
    <row r="1003" spans="1:8" x14ac:dyDescent="0.25">
      <c r="A1003" s="22" t="s">
        <v>132</v>
      </c>
      <c r="B1003" s="1">
        <v>45047</v>
      </c>
      <c r="C1003" s="2" t="s">
        <v>133</v>
      </c>
      <c r="D1003" s="7">
        <v>2158.7399999999998</v>
      </c>
      <c r="E1003" s="13">
        <v>8170.92</v>
      </c>
      <c r="F1003" s="15">
        <f>IFERROR(PRD[[#This Row],[VALOR]]/PRD[[#This Row],[KGS]],"")</f>
        <v>3.7850412740765451</v>
      </c>
      <c r="H1003" s="27"/>
    </row>
    <row r="1004" spans="1:8" x14ac:dyDescent="0.25">
      <c r="A1004" s="23" t="s">
        <v>134</v>
      </c>
      <c r="B1004" s="1">
        <v>45047</v>
      </c>
      <c r="C1004" t="s">
        <v>135</v>
      </c>
      <c r="D1004" s="8">
        <v>868.08</v>
      </c>
      <c r="E1004" s="12">
        <v>3205.15</v>
      </c>
      <c r="F1004" s="15">
        <f>IFERROR(PRD[[#This Row],[VALOR]]/PRD[[#This Row],[KGS]],"")</f>
        <v>3.6922288268362364</v>
      </c>
      <c r="H1004" s="27"/>
    </row>
    <row r="1005" spans="1:8" x14ac:dyDescent="0.25">
      <c r="A1005" s="22" t="s">
        <v>136</v>
      </c>
      <c r="B1005" s="1">
        <v>45047</v>
      </c>
      <c r="C1005" s="2" t="s">
        <v>137</v>
      </c>
      <c r="D1005" s="7">
        <v>3226.12</v>
      </c>
      <c r="E1005" s="13">
        <v>11819.84</v>
      </c>
      <c r="F1005" s="15">
        <f>IFERROR(PRD[[#This Row],[VALOR]]/PRD[[#This Row],[KGS]],"")</f>
        <v>3.6637942791960625</v>
      </c>
      <c r="H1005" s="27"/>
    </row>
    <row r="1006" spans="1:8" x14ac:dyDescent="0.25">
      <c r="A1006" s="23" t="s">
        <v>138</v>
      </c>
      <c r="B1006" s="1">
        <v>45047</v>
      </c>
      <c r="C1006" s="3" t="s">
        <v>139</v>
      </c>
      <c r="D1006" s="8">
        <v>177.98</v>
      </c>
      <c r="E1006" s="12">
        <v>565.98</v>
      </c>
      <c r="F1006" s="15">
        <f>IFERROR(PRD[[#This Row],[VALOR]]/PRD[[#This Row],[KGS]],"")</f>
        <v>3.1800202269917972</v>
      </c>
      <c r="H1006" s="27"/>
    </row>
    <row r="1007" spans="1:8" x14ac:dyDescent="0.25">
      <c r="A1007" s="22" t="s">
        <v>140</v>
      </c>
      <c r="B1007" s="1">
        <v>45047</v>
      </c>
      <c r="C1007" s="2" t="s">
        <v>141</v>
      </c>
      <c r="D1007" s="7">
        <v>2517.9</v>
      </c>
      <c r="E1007" s="13">
        <v>9270.41</v>
      </c>
      <c r="F1007" s="15">
        <f>IFERROR(PRD[[#This Row],[VALOR]]/PRD[[#This Row],[KGS]],"")</f>
        <v>3.6818022955637635</v>
      </c>
      <c r="H1007" s="27"/>
    </row>
    <row r="1008" spans="1:8" x14ac:dyDescent="0.25">
      <c r="A1008" s="23" t="s">
        <v>142</v>
      </c>
      <c r="B1008" s="1">
        <v>45047</v>
      </c>
      <c r="C1008" s="3" t="s">
        <v>143</v>
      </c>
      <c r="D1008" s="8">
        <v>703.13</v>
      </c>
      <c r="E1008" s="12">
        <v>2653.99</v>
      </c>
      <c r="F1008" s="15">
        <f>IFERROR(PRD[[#This Row],[VALOR]]/PRD[[#This Row],[KGS]],"")</f>
        <v>3.7745367144055861</v>
      </c>
      <c r="H1008" s="27"/>
    </row>
    <row r="1009" spans="1:8" x14ac:dyDescent="0.25">
      <c r="A1009" s="22" t="s">
        <v>144</v>
      </c>
      <c r="B1009" s="1">
        <v>45047</v>
      </c>
      <c r="C1009" s="2" t="s">
        <v>145</v>
      </c>
      <c r="D1009" s="7">
        <v>7738.13</v>
      </c>
      <c r="E1009" s="13">
        <v>28395.63</v>
      </c>
      <c r="F1009" s="15">
        <f>IFERROR(PRD[[#This Row],[VALOR]]/PRD[[#This Row],[KGS]],"")</f>
        <v>3.6695726228429866</v>
      </c>
      <c r="H1009" s="27"/>
    </row>
    <row r="1010" spans="1:8" x14ac:dyDescent="0.25">
      <c r="A1010" s="23" t="s">
        <v>146</v>
      </c>
      <c r="B1010" s="1">
        <v>45047</v>
      </c>
      <c r="C1010" s="3" t="s">
        <v>147</v>
      </c>
      <c r="D1010" s="8">
        <v>958.14</v>
      </c>
      <c r="E1010" s="12">
        <v>3715.68</v>
      </c>
      <c r="F1010" s="15">
        <f>IFERROR(PRD[[#This Row],[VALOR]]/PRD[[#This Row],[KGS]],"")</f>
        <v>3.8780136514496837</v>
      </c>
      <c r="H1010" s="27"/>
    </row>
    <row r="1011" spans="1:8" x14ac:dyDescent="0.25">
      <c r="A1011" s="22" t="s">
        <v>148</v>
      </c>
      <c r="B1011" s="1">
        <v>45047</v>
      </c>
      <c r="C1011" s="2" t="s">
        <v>149</v>
      </c>
      <c r="D1011" s="7">
        <v>454.16</v>
      </c>
      <c r="E1011" s="13">
        <v>1749.07</v>
      </c>
      <c r="F1011" s="15">
        <f>IFERROR(PRD[[#This Row],[VALOR]]/PRD[[#This Row],[KGS]],"")</f>
        <v>3.8512198344195876</v>
      </c>
      <c r="H1011" s="27"/>
    </row>
    <row r="1012" spans="1:8" x14ac:dyDescent="0.25">
      <c r="A1012" s="23" t="s">
        <v>150</v>
      </c>
      <c r="B1012" s="1">
        <v>45047</v>
      </c>
      <c r="C1012" s="3" t="s">
        <v>151</v>
      </c>
      <c r="D1012" s="8">
        <v>1550.92</v>
      </c>
      <c r="E1012" s="12">
        <v>5940.15</v>
      </c>
      <c r="F1012" s="15">
        <f>IFERROR(PRD[[#This Row],[VALOR]]/PRD[[#This Row],[KGS]],"")</f>
        <v>3.8300815000128954</v>
      </c>
      <c r="H1012" s="27"/>
    </row>
    <row r="1013" spans="1:8" x14ac:dyDescent="0.25">
      <c r="A1013" s="22" t="s">
        <v>152</v>
      </c>
      <c r="B1013" s="1">
        <v>45047</v>
      </c>
      <c r="C1013" s="2" t="s">
        <v>153</v>
      </c>
      <c r="D1013" s="7">
        <v>2274.61</v>
      </c>
      <c r="E1013" s="13">
        <v>8460.2000000000007</v>
      </c>
      <c r="F1013" s="15">
        <f>IFERROR(PRD[[#This Row],[VALOR]]/PRD[[#This Row],[KGS]],"")</f>
        <v>3.7194068433709515</v>
      </c>
      <c r="H1013" s="27"/>
    </row>
    <row r="1014" spans="1:8" x14ac:dyDescent="0.25">
      <c r="A1014" s="23" t="s">
        <v>454</v>
      </c>
      <c r="B1014" s="1">
        <v>45047</v>
      </c>
      <c r="C1014" s="3" t="s">
        <v>455</v>
      </c>
      <c r="D1014" s="8">
        <v>260.35000000000002</v>
      </c>
      <c r="E1014" s="12">
        <v>1041.42</v>
      </c>
      <c r="F1014" s="15">
        <f>IFERROR(PRD[[#This Row],[VALOR]]/PRD[[#This Row],[KGS]],"")</f>
        <v>4.0000768196658347</v>
      </c>
      <c r="H1014" s="27"/>
    </row>
    <row r="1015" spans="1:8" x14ac:dyDescent="0.25">
      <c r="A1015" s="22" t="s">
        <v>154</v>
      </c>
      <c r="B1015" s="1">
        <v>45047</v>
      </c>
      <c r="C1015" s="2" t="s">
        <v>155</v>
      </c>
      <c r="D1015" s="7">
        <v>1469.62</v>
      </c>
      <c r="E1015" s="13">
        <v>5644.74</v>
      </c>
      <c r="F1015" s="15">
        <f>IFERROR(PRD[[#This Row],[VALOR]]/PRD[[#This Row],[KGS]],"")</f>
        <v>3.8409520828513495</v>
      </c>
      <c r="H1015" s="27"/>
    </row>
    <row r="1016" spans="1:8" x14ac:dyDescent="0.25">
      <c r="A1016" s="23" t="s">
        <v>156</v>
      </c>
      <c r="B1016" s="1">
        <v>45047</v>
      </c>
      <c r="C1016" s="3" t="s">
        <v>157</v>
      </c>
      <c r="D1016" s="8">
        <v>2164</v>
      </c>
      <c r="E1016" s="12">
        <v>8210.23</v>
      </c>
      <c r="F1016" s="15">
        <f>IFERROR(PRD[[#This Row],[VALOR]]/PRD[[#This Row],[KGS]],"")</f>
        <v>3.7940064695009239</v>
      </c>
      <c r="H1016" s="27"/>
    </row>
    <row r="1017" spans="1:8" x14ac:dyDescent="0.25">
      <c r="A1017" s="22" t="s">
        <v>158</v>
      </c>
      <c r="B1017" s="1">
        <v>45047</v>
      </c>
      <c r="C1017" s="2" t="s">
        <v>159</v>
      </c>
      <c r="D1017" s="7">
        <v>730.05</v>
      </c>
      <c r="E1017" s="13">
        <v>2380.5500000000002</v>
      </c>
      <c r="F1017" s="15">
        <f>IFERROR(PRD[[#This Row],[VALOR]]/PRD[[#This Row],[KGS]],"")</f>
        <v>3.2608040545168144</v>
      </c>
      <c r="H1017" s="27"/>
    </row>
    <row r="1018" spans="1:8" x14ac:dyDescent="0.25">
      <c r="A1018" s="23" t="s">
        <v>545</v>
      </c>
      <c r="B1018" s="1">
        <v>45047</v>
      </c>
      <c r="C1018" s="3" t="s">
        <v>546</v>
      </c>
      <c r="D1018" s="8">
        <v>287.01</v>
      </c>
      <c r="E1018" s="12">
        <v>924.65</v>
      </c>
      <c r="F1018" s="15">
        <f>IFERROR(PRD[[#This Row],[VALOR]]/PRD[[#This Row],[KGS]],"")</f>
        <v>3.2216647503571303</v>
      </c>
      <c r="H1018" s="27"/>
    </row>
    <row r="1019" spans="1:8" x14ac:dyDescent="0.25">
      <c r="A1019" s="22" t="s">
        <v>160</v>
      </c>
      <c r="B1019" s="1">
        <v>45047</v>
      </c>
      <c r="C1019" s="2" t="s">
        <v>161</v>
      </c>
      <c r="D1019" s="7">
        <v>22.65</v>
      </c>
      <c r="E1019" s="13">
        <v>75.5</v>
      </c>
      <c r="F1019" s="15">
        <f>IFERROR(PRD[[#This Row],[VALOR]]/PRD[[#This Row],[KGS]],"")</f>
        <v>3.3333333333333335</v>
      </c>
      <c r="H1019" s="27"/>
    </row>
    <row r="1020" spans="1:8" x14ac:dyDescent="0.25">
      <c r="A1020" s="23" t="s">
        <v>547</v>
      </c>
      <c r="B1020" s="1">
        <v>45047</v>
      </c>
      <c r="C1020" s="3" t="s">
        <v>548</v>
      </c>
      <c r="D1020" s="8">
        <v>41.73</v>
      </c>
      <c r="E1020" s="12">
        <v>118.93</v>
      </c>
      <c r="F1020" s="15">
        <f>IFERROR(PRD[[#This Row],[VALOR]]/PRD[[#This Row],[KGS]],"")</f>
        <v>2.8499880182123176</v>
      </c>
      <c r="H1020" s="27"/>
    </row>
    <row r="1021" spans="1:8" x14ac:dyDescent="0.25">
      <c r="A1021" s="22" t="s">
        <v>162</v>
      </c>
      <c r="B1021" s="1">
        <v>45047</v>
      </c>
      <c r="C1021" s="2" t="s">
        <v>163</v>
      </c>
      <c r="D1021" s="7">
        <v>34.04</v>
      </c>
      <c r="E1021" s="13">
        <v>114.1</v>
      </c>
      <c r="F1021" s="15">
        <f>IFERROR(PRD[[#This Row],[VALOR]]/PRD[[#This Row],[KGS]],"")</f>
        <v>3.3519388954171561</v>
      </c>
      <c r="H1021" s="27"/>
    </row>
    <row r="1022" spans="1:8" x14ac:dyDescent="0.25">
      <c r="A1022" s="23" t="s">
        <v>456</v>
      </c>
      <c r="B1022" s="1">
        <v>45047</v>
      </c>
      <c r="C1022" s="3" t="s">
        <v>457</v>
      </c>
      <c r="D1022" s="8">
        <v>28.35</v>
      </c>
      <c r="E1022" s="12">
        <v>83.35</v>
      </c>
      <c r="F1022" s="15">
        <f>IFERROR(PRD[[#This Row],[VALOR]]/PRD[[#This Row],[KGS]],"")</f>
        <v>2.9400352733686064</v>
      </c>
      <c r="H1022" s="27"/>
    </row>
    <row r="1023" spans="1:8" x14ac:dyDescent="0.25">
      <c r="A1023" s="22" t="s">
        <v>164</v>
      </c>
      <c r="B1023" s="1">
        <v>45047</v>
      </c>
      <c r="C1023" s="2" t="s">
        <v>165</v>
      </c>
      <c r="D1023" s="7">
        <v>273.25</v>
      </c>
      <c r="E1023" s="13">
        <v>776.54</v>
      </c>
      <c r="F1023" s="15">
        <f>IFERROR(PRD[[#This Row],[VALOR]]/PRD[[#This Row],[KGS]],"")</f>
        <v>2.8418664226898445</v>
      </c>
      <c r="H1023" s="27"/>
    </row>
    <row r="1024" spans="1:8" x14ac:dyDescent="0.25">
      <c r="A1024" s="23" t="s">
        <v>458</v>
      </c>
      <c r="B1024" s="1">
        <v>45047</v>
      </c>
      <c r="C1024" s="3" t="s">
        <v>459</v>
      </c>
      <c r="D1024" s="8">
        <v>166.26</v>
      </c>
      <c r="E1024" s="12">
        <v>485.64</v>
      </c>
      <c r="F1024" s="15">
        <f>IFERROR(PRD[[#This Row],[VALOR]]/PRD[[#This Row],[KGS]],"")</f>
        <v>2.920967159870083</v>
      </c>
      <c r="H1024" s="27"/>
    </row>
    <row r="1025" spans="1:8" x14ac:dyDescent="0.25">
      <c r="A1025" s="22" t="s">
        <v>166</v>
      </c>
      <c r="B1025" s="1">
        <v>45047</v>
      </c>
      <c r="C1025" s="2" t="s">
        <v>167</v>
      </c>
      <c r="D1025" s="7">
        <v>1382.39</v>
      </c>
      <c r="E1025" s="13">
        <v>3479.41</v>
      </c>
      <c r="F1025" s="15">
        <f>IFERROR(PRD[[#This Row],[VALOR]]/PRD[[#This Row],[KGS]],"")</f>
        <v>2.5169525242514772</v>
      </c>
      <c r="H1025" s="27"/>
    </row>
    <row r="1026" spans="1:8" x14ac:dyDescent="0.25">
      <c r="A1026" s="23" t="s">
        <v>168</v>
      </c>
      <c r="B1026" s="1">
        <v>45047</v>
      </c>
      <c r="C1026" s="3" t="s">
        <v>169</v>
      </c>
      <c r="D1026" s="8">
        <v>719.65</v>
      </c>
      <c r="E1026" s="12">
        <v>1808.92</v>
      </c>
      <c r="F1026" s="15">
        <f>IFERROR(PRD[[#This Row],[VALOR]]/PRD[[#This Row],[KGS]],"")</f>
        <v>2.5136107830195233</v>
      </c>
      <c r="H1026" s="27"/>
    </row>
    <row r="1027" spans="1:8" x14ac:dyDescent="0.25">
      <c r="A1027" s="22" t="s">
        <v>170</v>
      </c>
      <c r="B1027" s="1">
        <v>45047</v>
      </c>
      <c r="C1027" s="2" t="s">
        <v>171</v>
      </c>
      <c r="D1027" s="7">
        <v>725.21</v>
      </c>
      <c r="E1027" s="13">
        <v>1703.54</v>
      </c>
      <c r="F1027" s="15">
        <f>IFERROR(PRD[[#This Row],[VALOR]]/PRD[[#This Row],[KGS]],"")</f>
        <v>2.3490299361564233</v>
      </c>
      <c r="H1027" s="27"/>
    </row>
    <row r="1028" spans="1:8" x14ac:dyDescent="0.25">
      <c r="A1028" s="23" t="s">
        <v>172</v>
      </c>
      <c r="B1028" s="1">
        <v>45047</v>
      </c>
      <c r="C1028" s="3" t="s">
        <v>173</v>
      </c>
      <c r="D1028" s="8">
        <v>220.5</v>
      </c>
      <c r="E1028" s="12">
        <v>842.84</v>
      </c>
      <c r="F1028" s="15">
        <f>IFERROR(PRD[[#This Row],[VALOR]]/PRD[[#This Row],[KGS]],"")</f>
        <v>3.8224036281179141</v>
      </c>
      <c r="H1028" s="27"/>
    </row>
    <row r="1029" spans="1:8" x14ac:dyDescent="0.25">
      <c r="A1029" s="22" t="s">
        <v>174</v>
      </c>
      <c r="B1029" s="1">
        <v>45047</v>
      </c>
      <c r="C1029" s="2" t="s">
        <v>173</v>
      </c>
      <c r="D1029" s="7">
        <v>392.59</v>
      </c>
      <c r="E1029" s="13">
        <v>1497.23</v>
      </c>
      <c r="F1029" s="15">
        <f>IFERROR(PRD[[#This Row],[VALOR]]/PRD[[#This Row],[KGS]],"")</f>
        <v>3.8137242415751804</v>
      </c>
      <c r="H1029" s="27"/>
    </row>
    <row r="1030" spans="1:8" x14ac:dyDescent="0.25">
      <c r="A1030" s="23" t="s">
        <v>175</v>
      </c>
      <c r="B1030" s="1">
        <v>45047</v>
      </c>
      <c r="C1030" s="3" t="s">
        <v>176</v>
      </c>
      <c r="D1030" s="8">
        <v>2568.9299999999998</v>
      </c>
      <c r="E1030" s="12">
        <v>6132.18</v>
      </c>
      <c r="F1030" s="15">
        <f>IFERROR(PRD[[#This Row],[VALOR]]/PRD[[#This Row],[KGS]],"")</f>
        <v>2.3870560895002981</v>
      </c>
      <c r="H1030" s="27"/>
    </row>
    <row r="1031" spans="1:8" x14ac:dyDescent="0.25">
      <c r="A1031" s="22" t="s">
        <v>177</v>
      </c>
      <c r="B1031" s="1">
        <v>45047</v>
      </c>
      <c r="C1031" s="2" t="s">
        <v>178</v>
      </c>
      <c r="D1031" s="7">
        <v>75.55</v>
      </c>
      <c r="E1031" s="13">
        <v>204.12</v>
      </c>
      <c r="F1031" s="15">
        <f>IFERROR(PRD[[#This Row],[VALOR]]/PRD[[#This Row],[KGS]],"")</f>
        <v>2.7017868960953013</v>
      </c>
      <c r="H1031" s="27"/>
    </row>
    <row r="1032" spans="1:8" x14ac:dyDescent="0.25">
      <c r="A1032" s="23" t="s">
        <v>179</v>
      </c>
      <c r="B1032" s="1">
        <v>45047</v>
      </c>
      <c r="C1032" s="3" t="s">
        <v>180</v>
      </c>
      <c r="D1032" s="8">
        <v>8.5299999999999994</v>
      </c>
      <c r="E1032" s="12">
        <v>22.14</v>
      </c>
      <c r="F1032" s="15">
        <f>IFERROR(PRD[[#This Row],[VALOR]]/PRD[[#This Row],[KGS]],"")</f>
        <v>2.5955451348182885</v>
      </c>
      <c r="H1032" s="27"/>
    </row>
    <row r="1033" spans="1:8" x14ac:dyDescent="0.25">
      <c r="A1033" s="22" t="s">
        <v>181</v>
      </c>
      <c r="B1033" s="1">
        <v>45047</v>
      </c>
      <c r="C1033" s="2" t="s">
        <v>182</v>
      </c>
      <c r="D1033" s="7">
        <v>276.25</v>
      </c>
      <c r="E1033" s="13">
        <v>1150.53</v>
      </c>
      <c r="F1033" s="15">
        <f>IFERROR(PRD[[#This Row],[VALOR]]/PRD[[#This Row],[KGS]],"")</f>
        <v>4.1648144796380091</v>
      </c>
      <c r="H1033" s="27"/>
    </row>
    <row r="1034" spans="1:8" x14ac:dyDescent="0.25">
      <c r="A1034" s="23" t="s">
        <v>183</v>
      </c>
      <c r="B1034" s="1">
        <v>45047</v>
      </c>
      <c r="C1034" t="s">
        <v>309</v>
      </c>
      <c r="D1034" s="8">
        <v>765</v>
      </c>
      <c r="E1034" s="12">
        <v>2018.6</v>
      </c>
      <c r="F1034" s="15">
        <f>IFERROR(PRD[[#This Row],[VALOR]]/PRD[[#This Row],[KGS]],"")</f>
        <v>2.638692810457516</v>
      </c>
      <c r="H1034" s="27"/>
    </row>
    <row r="1035" spans="1:8" x14ac:dyDescent="0.25">
      <c r="A1035" s="22" t="s">
        <v>185</v>
      </c>
      <c r="B1035" s="1">
        <v>45047</v>
      </c>
      <c r="C1035" s="2" t="s">
        <v>186</v>
      </c>
      <c r="D1035" s="7">
        <v>4865</v>
      </c>
      <c r="E1035" s="13">
        <v>10257.9</v>
      </c>
      <c r="F1035" s="15">
        <f>IFERROR(PRD[[#This Row],[VALOR]]/PRD[[#This Row],[KGS]],"")</f>
        <v>2.1085097636176773</v>
      </c>
      <c r="H1035" s="27"/>
    </row>
    <row r="1036" spans="1:8" x14ac:dyDescent="0.25">
      <c r="A1036" s="23" t="s">
        <v>187</v>
      </c>
      <c r="B1036" s="1">
        <v>45047</v>
      </c>
      <c r="C1036" s="3" t="s">
        <v>188</v>
      </c>
      <c r="D1036" s="8">
        <v>4340</v>
      </c>
      <c r="E1036" s="12">
        <v>8879.73</v>
      </c>
      <c r="F1036" s="15">
        <f>IFERROR(PRD[[#This Row],[VALOR]]/PRD[[#This Row],[KGS]],"")</f>
        <v>2.046020737327189</v>
      </c>
      <c r="H1036" s="27"/>
    </row>
    <row r="1037" spans="1:8" x14ac:dyDescent="0.25">
      <c r="A1037" s="22" t="s">
        <v>189</v>
      </c>
      <c r="B1037" s="1">
        <v>45047</v>
      </c>
      <c r="C1037" s="2" t="s">
        <v>190</v>
      </c>
      <c r="D1037" s="7">
        <v>2880</v>
      </c>
      <c r="E1037" s="13">
        <v>5880.6</v>
      </c>
      <c r="F1037" s="15">
        <f>IFERROR(PRD[[#This Row],[VALOR]]/PRD[[#This Row],[KGS]],"")</f>
        <v>2.0418750000000001</v>
      </c>
      <c r="H1037" s="27"/>
    </row>
    <row r="1038" spans="1:8" x14ac:dyDescent="0.25">
      <c r="A1038" s="23" t="s">
        <v>191</v>
      </c>
      <c r="B1038" s="1">
        <v>45047</v>
      </c>
      <c r="C1038" s="3" t="s">
        <v>192</v>
      </c>
      <c r="D1038" s="8">
        <v>1253.8599999999999</v>
      </c>
      <c r="E1038" s="12">
        <v>4767.2299999999996</v>
      </c>
      <c r="F1038" s="15">
        <f>IFERROR(PRD[[#This Row],[VALOR]]/PRD[[#This Row],[KGS]],"")</f>
        <v>3.8020432903194932</v>
      </c>
      <c r="H1038" s="27"/>
    </row>
    <row r="1039" spans="1:8" x14ac:dyDescent="0.25">
      <c r="A1039" s="22" t="s">
        <v>193</v>
      </c>
      <c r="B1039" s="1">
        <v>45047</v>
      </c>
      <c r="C1039" s="2" t="s">
        <v>194</v>
      </c>
      <c r="D1039" s="7">
        <v>1.2</v>
      </c>
      <c r="E1039" s="13">
        <v>4.8</v>
      </c>
      <c r="F1039" s="15">
        <f>IFERROR(PRD[[#This Row],[VALOR]]/PRD[[#This Row],[KGS]],"")</f>
        <v>4</v>
      </c>
      <c r="H1039" s="27"/>
    </row>
    <row r="1040" spans="1:8" x14ac:dyDescent="0.25">
      <c r="A1040" s="23" t="s">
        <v>195</v>
      </c>
      <c r="B1040" s="1">
        <v>45047</v>
      </c>
      <c r="C1040" s="3" t="s">
        <v>196</v>
      </c>
      <c r="D1040" s="8">
        <v>356.1</v>
      </c>
      <c r="E1040" s="12">
        <v>1009.69</v>
      </c>
      <c r="F1040" s="15">
        <f>IFERROR(PRD[[#This Row],[VALOR]]/PRD[[#This Row],[KGS]],"")</f>
        <v>2.8354114012917719</v>
      </c>
      <c r="H1040" s="27"/>
    </row>
    <row r="1041" spans="1:8" x14ac:dyDescent="0.25">
      <c r="A1041" s="22" t="s">
        <v>197</v>
      </c>
      <c r="B1041" s="1">
        <v>45047</v>
      </c>
      <c r="C1041" s="2" t="s">
        <v>198</v>
      </c>
      <c r="D1041" s="7">
        <v>1277.3399999999999</v>
      </c>
      <c r="E1041" s="13">
        <v>1267.21</v>
      </c>
      <c r="F1041" s="15">
        <f>IFERROR(PRD[[#This Row],[VALOR]]/PRD[[#This Row],[KGS]],"")</f>
        <v>0.9920694568399957</v>
      </c>
      <c r="H1041" s="27"/>
    </row>
    <row r="1042" spans="1:8" x14ac:dyDescent="0.25">
      <c r="A1042" s="23" t="s">
        <v>199</v>
      </c>
      <c r="B1042" s="1">
        <v>45047</v>
      </c>
      <c r="C1042" s="3" t="s">
        <v>200</v>
      </c>
      <c r="D1042" s="8">
        <v>425.37</v>
      </c>
      <c r="E1042" s="12">
        <v>2607.4899999999998</v>
      </c>
      <c r="F1042" s="15">
        <f>IFERROR(PRD[[#This Row],[VALOR]]/PRD[[#This Row],[KGS]],"")</f>
        <v>6.1299339398641175</v>
      </c>
      <c r="H1042" s="27"/>
    </row>
    <row r="1043" spans="1:8" x14ac:dyDescent="0.25">
      <c r="A1043" s="22" t="s">
        <v>201</v>
      </c>
      <c r="B1043" s="1">
        <v>45047</v>
      </c>
      <c r="C1043" s="2" t="s">
        <v>202</v>
      </c>
      <c r="D1043" s="7">
        <v>350.2</v>
      </c>
      <c r="E1043" s="13">
        <v>2180.5700000000002</v>
      </c>
      <c r="F1043" s="15">
        <f>IFERROR(PRD[[#This Row],[VALOR]]/PRD[[#This Row],[KGS]],"")</f>
        <v>6.2266419189034847</v>
      </c>
      <c r="H1043" s="27"/>
    </row>
    <row r="1044" spans="1:8" x14ac:dyDescent="0.25">
      <c r="A1044" s="23" t="s">
        <v>203</v>
      </c>
      <c r="B1044" s="1">
        <v>45047</v>
      </c>
      <c r="C1044" t="s">
        <v>311</v>
      </c>
      <c r="D1044" s="8">
        <v>310.35000000000002</v>
      </c>
      <c r="E1044" s="12">
        <v>2091.2800000000002</v>
      </c>
      <c r="F1044" s="15">
        <f>IFERROR(PRD[[#This Row],[VALOR]]/PRD[[#This Row],[KGS]],"")</f>
        <v>6.738456581279201</v>
      </c>
      <c r="H1044" s="27"/>
    </row>
    <row r="1045" spans="1:8" x14ac:dyDescent="0.25">
      <c r="A1045" s="22" t="s">
        <v>205</v>
      </c>
      <c r="B1045" s="1">
        <v>45047</v>
      </c>
      <c r="C1045" t="s">
        <v>461</v>
      </c>
      <c r="D1045" s="7">
        <v>822.69</v>
      </c>
      <c r="E1045" s="13">
        <v>4207.8</v>
      </c>
      <c r="F1045" s="15">
        <f>IFERROR(PRD[[#This Row],[VALOR]]/PRD[[#This Row],[KGS]],"")</f>
        <v>5.1146847536739228</v>
      </c>
      <c r="H1045" s="27"/>
    </row>
    <row r="1046" spans="1:8" x14ac:dyDescent="0.25">
      <c r="A1046" s="23" t="s">
        <v>207</v>
      </c>
      <c r="B1046" s="1">
        <v>45047</v>
      </c>
      <c r="C1046" s="3" t="s">
        <v>208</v>
      </c>
      <c r="D1046" s="8">
        <v>15.4</v>
      </c>
      <c r="E1046" s="12">
        <v>61.72</v>
      </c>
      <c r="F1046" s="15">
        <f>IFERROR(PRD[[#This Row],[VALOR]]/PRD[[#This Row],[KGS]],"")</f>
        <v>4.0077922077922077</v>
      </c>
      <c r="H1046" s="27"/>
    </row>
    <row r="1047" spans="1:8" x14ac:dyDescent="0.25">
      <c r="A1047" s="22" t="s">
        <v>209</v>
      </c>
      <c r="B1047" s="1">
        <v>45047</v>
      </c>
      <c r="C1047" s="2" t="s">
        <v>210</v>
      </c>
      <c r="D1047" s="7">
        <v>27.7</v>
      </c>
      <c r="E1047" s="13">
        <v>145.76</v>
      </c>
      <c r="F1047" s="15">
        <f>IFERROR(PRD[[#This Row],[VALOR]]/PRD[[#This Row],[KGS]],"")</f>
        <v>5.2620938628158846</v>
      </c>
      <c r="H1047" s="27"/>
    </row>
    <row r="1048" spans="1:8" x14ac:dyDescent="0.25">
      <c r="A1048" s="23" t="s">
        <v>211</v>
      </c>
      <c r="B1048" s="1">
        <v>45047</v>
      </c>
      <c r="C1048" s="3" t="s">
        <v>212</v>
      </c>
      <c r="D1048" s="8">
        <v>632</v>
      </c>
      <c r="E1048" s="12">
        <v>1998.65</v>
      </c>
      <c r="F1048" s="15">
        <f>IFERROR(PRD[[#This Row],[VALOR]]/PRD[[#This Row],[KGS]],"")</f>
        <v>3.1624208860759495</v>
      </c>
      <c r="H1048" s="27"/>
    </row>
    <row r="1049" spans="1:8" x14ac:dyDescent="0.25">
      <c r="A1049" s="22" t="s">
        <v>213</v>
      </c>
      <c r="B1049" s="1">
        <v>45047</v>
      </c>
      <c r="C1049" s="2" t="s">
        <v>214</v>
      </c>
      <c r="D1049" s="7">
        <v>1071.02</v>
      </c>
      <c r="E1049" s="13">
        <v>3554.68</v>
      </c>
      <c r="F1049" s="15">
        <f>IFERROR(PRD[[#This Row],[VALOR]]/PRD[[#This Row],[KGS]],"")</f>
        <v>3.3189669660697279</v>
      </c>
      <c r="H1049" s="27"/>
    </row>
    <row r="1050" spans="1:8" x14ac:dyDescent="0.25">
      <c r="A1050" s="23" t="s">
        <v>215</v>
      </c>
      <c r="B1050" s="1">
        <v>45047</v>
      </c>
      <c r="C1050" s="3" t="s">
        <v>216</v>
      </c>
      <c r="D1050" s="8">
        <v>2129.85</v>
      </c>
      <c r="E1050" s="12">
        <v>6693.4</v>
      </c>
      <c r="F1050" s="15">
        <f>IFERROR(PRD[[#This Row],[VALOR]]/PRD[[#This Row],[KGS]],"")</f>
        <v>3.1426626288236261</v>
      </c>
      <c r="H1050" s="27"/>
    </row>
    <row r="1051" spans="1:8" x14ac:dyDescent="0.25">
      <c r="A1051" s="22" t="s">
        <v>217</v>
      </c>
      <c r="B1051" s="1">
        <v>45047</v>
      </c>
      <c r="C1051" t="s">
        <v>218</v>
      </c>
      <c r="D1051" s="7">
        <v>1877.88</v>
      </c>
      <c r="E1051" s="13">
        <v>5614.58</v>
      </c>
      <c r="F1051" s="15">
        <f>IFERROR(PRD[[#This Row],[VALOR]]/PRD[[#This Row],[KGS]],"")</f>
        <v>2.9898502566724177</v>
      </c>
      <c r="H1051" s="27"/>
    </row>
    <row r="1052" spans="1:8" x14ac:dyDescent="0.25">
      <c r="A1052" s="23" t="s">
        <v>219</v>
      </c>
      <c r="B1052" s="1">
        <v>45047</v>
      </c>
      <c r="C1052" s="3" t="s">
        <v>220</v>
      </c>
      <c r="D1052" s="8">
        <v>5397.71</v>
      </c>
      <c r="E1052" s="12">
        <v>16420.66</v>
      </c>
      <c r="F1052" s="15">
        <f>IFERROR(PRD[[#This Row],[VALOR]]/PRD[[#This Row],[KGS]],"")</f>
        <v>3.0421530612055854</v>
      </c>
      <c r="H1052" s="27"/>
    </row>
    <row r="1053" spans="1:8" x14ac:dyDescent="0.25">
      <c r="A1053" s="22" t="s">
        <v>221</v>
      </c>
      <c r="B1053" s="1">
        <v>45047</v>
      </c>
      <c r="C1053" s="2" t="s">
        <v>222</v>
      </c>
      <c r="D1053" s="7">
        <v>420.42</v>
      </c>
      <c r="E1053" s="13">
        <v>1273.08</v>
      </c>
      <c r="F1053" s="15">
        <f>IFERROR(PRD[[#This Row],[VALOR]]/PRD[[#This Row],[KGS]],"")</f>
        <v>3.0281147424004562</v>
      </c>
      <c r="H1053" s="27"/>
    </row>
    <row r="1054" spans="1:8" x14ac:dyDescent="0.25">
      <c r="A1054" s="23" t="s">
        <v>223</v>
      </c>
      <c r="B1054" s="1">
        <v>45047</v>
      </c>
      <c r="C1054" s="3" t="s">
        <v>224</v>
      </c>
      <c r="D1054" s="8">
        <v>1229.3599999999999</v>
      </c>
      <c r="E1054" s="12">
        <v>3760</v>
      </c>
      <c r="F1054" s="15">
        <f>IFERROR(PRD[[#This Row],[VALOR]]/PRD[[#This Row],[KGS]],"")</f>
        <v>3.058501984772565</v>
      </c>
      <c r="H1054" s="27"/>
    </row>
    <row r="1055" spans="1:8" x14ac:dyDescent="0.25">
      <c r="A1055" s="22" t="s">
        <v>225</v>
      </c>
      <c r="B1055" s="1">
        <v>45047</v>
      </c>
      <c r="C1055" s="2" t="s">
        <v>226</v>
      </c>
      <c r="D1055" s="7">
        <v>4475</v>
      </c>
      <c r="E1055" s="13">
        <v>2974.75</v>
      </c>
      <c r="F1055" s="15">
        <f>IFERROR(PRD[[#This Row],[VALOR]]/PRD[[#This Row],[KGS]],"")</f>
        <v>0.66474860335195529</v>
      </c>
      <c r="H1055" s="27"/>
    </row>
    <row r="1056" spans="1:8" x14ac:dyDescent="0.25">
      <c r="A1056" s="23" t="s">
        <v>549</v>
      </c>
      <c r="B1056" s="1">
        <v>45047</v>
      </c>
      <c r="C1056" s="3" t="s">
        <v>550</v>
      </c>
      <c r="D1056" s="8">
        <v>350</v>
      </c>
      <c r="E1056" s="12">
        <v>234.5</v>
      </c>
      <c r="F1056" s="15">
        <f>IFERROR(PRD[[#This Row],[VALOR]]/PRD[[#This Row],[KGS]],"")</f>
        <v>0.67</v>
      </c>
      <c r="H1056" s="27"/>
    </row>
    <row r="1057" spans="1:8" x14ac:dyDescent="0.25">
      <c r="A1057" s="22" t="s">
        <v>227</v>
      </c>
      <c r="B1057" s="1">
        <v>45047</v>
      </c>
      <c r="C1057" s="2" t="s">
        <v>228</v>
      </c>
      <c r="D1057" s="7">
        <v>12085.77</v>
      </c>
      <c r="E1057" s="13">
        <v>35552.769999999997</v>
      </c>
      <c r="F1057" s="15">
        <f>IFERROR(PRD[[#This Row],[VALOR]]/PRD[[#This Row],[KGS]],"")</f>
        <v>2.9417049968682174</v>
      </c>
      <c r="H1057" s="27"/>
    </row>
    <row r="1058" spans="1:8" x14ac:dyDescent="0.25">
      <c r="A1058" s="23" t="s">
        <v>229</v>
      </c>
      <c r="B1058" s="1">
        <v>45047</v>
      </c>
      <c r="C1058" s="3" t="s">
        <v>230</v>
      </c>
      <c r="D1058" s="8">
        <v>1258.5</v>
      </c>
      <c r="E1058" s="12">
        <v>3763.26</v>
      </c>
      <c r="F1058" s="15">
        <f>IFERROR(PRD[[#This Row],[VALOR]]/PRD[[#This Row],[KGS]],"")</f>
        <v>2.9902741358760432</v>
      </c>
      <c r="H1058" s="27"/>
    </row>
    <row r="1059" spans="1:8" x14ac:dyDescent="0.25">
      <c r="A1059" s="22" t="s">
        <v>231</v>
      </c>
      <c r="B1059" s="1">
        <v>45047</v>
      </c>
      <c r="C1059" s="2" t="s">
        <v>232</v>
      </c>
      <c r="D1059" s="7">
        <v>1288.5999999999999</v>
      </c>
      <c r="E1059" s="13">
        <v>3753.58</v>
      </c>
      <c r="F1059" s="15">
        <f>IFERROR(PRD[[#This Row],[VALOR]]/PRD[[#This Row],[KGS]],"")</f>
        <v>2.9129132391742978</v>
      </c>
      <c r="H1059" s="27"/>
    </row>
    <row r="1060" spans="1:8" x14ac:dyDescent="0.25">
      <c r="A1060" s="23" t="s">
        <v>233</v>
      </c>
      <c r="B1060" s="1">
        <v>45047</v>
      </c>
      <c r="C1060" s="3" t="s">
        <v>234</v>
      </c>
      <c r="D1060" s="8">
        <v>98.74</v>
      </c>
      <c r="E1060" s="12">
        <v>302</v>
      </c>
      <c r="F1060" s="15">
        <f>IFERROR(PRD[[#This Row],[VALOR]]/PRD[[#This Row],[KGS]],"")</f>
        <v>3.058537573425157</v>
      </c>
      <c r="H1060" s="27"/>
    </row>
    <row r="1061" spans="1:8" x14ac:dyDescent="0.25">
      <c r="A1061" s="22" t="s">
        <v>235</v>
      </c>
      <c r="B1061" s="1">
        <v>45047</v>
      </c>
      <c r="C1061" s="2" t="s">
        <v>236</v>
      </c>
      <c r="D1061" s="7">
        <v>6544.86</v>
      </c>
      <c r="E1061" s="13">
        <v>18603.87</v>
      </c>
      <c r="F1061" s="15">
        <f>IFERROR(PRD[[#This Row],[VALOR]]/PRD[[#This Row],[KGS]],"")</f>
        <v>2.8425161118801623</v>
      </c>
      <c r="H1061" s="27"/>
    </row>
    <row r="1062" spans="1:8" x14ac:dyDescent="0.25">
      <c r="A1062" s="23" t="s">
        <v>237</v>
      </c>
      <c r="B1062" s="1">
        <v>45047</v>
      </c>
      <c r="C1062" s="3" t="s">
        <v>238</v>
      </c>
      <c r="D1062" s="8">
        <v>6939.55</v>
      </c>
      <c r="E1062" s="12">
        <v>18783.97</v>
      </c>
      <c r="F1062" s="15">
        <f>IFERROR(PRD[[#This Row],[VALOR]]/PRD[[#This Row],[KGS]],"")</f>
        <v>2.7067994322398428</v>
      </c>
      <c r="H1062" s="27"/>
    </row>
    <row r="1063" spans="1:8" x14ac:dyDescent="0.25">
      <c r="A1063" s="22" t="s">
        <v>239</v>
      </c>
      <c r="B1063" s="1">
        <v>45047</v>
      </c>
      <c r="C1063" s="2" t="s">
        <v>240</v>
      </c>
      <c r="D1063" s="7">
        <v>89.29</v>
      </c>
      <c r="E1063" s="13">
        <v>287.08</v>
      </c>
      <c r="F1063" s="15">
        <f>IFERROR(PRD[[#This Row],[VALOR]]/PRD[[#This Row],[KGS]],"")</f>
        <v>3.2151416731996858</v>
      </c>
      <c r="H1063" s="27"/>
    </row>
    <row r="1064" spans="1:8" x14ac:dyDescent="0.25">
      <c r="A1064" s="23" t="s">
        <v>241</v>
      </c>
      <c r="B1064" s="1">
        <v>45047</v>
      </c>
      <c r="C1064" s="3" t="s">
        <v>242</v>
      </c>
      <c r="D1064" s="8">
        <v>840.64</v>
      </c>
      <c r="E1064" s="12">
        <v>2491.9699999999998</v>
      </c>
      <c r="F1064" s="15">
        <f>IFERROR(PRD[[#This Row],[VALOR]]/PRD[[#This Row],[KGS]],"")</f>
        <v>2.9643723829463262</v>
      </c>
      <c r="H1064" s="27"/>
    </row>
    <row r="1065" spans="1:8" x14ac:dyDescent="0.25">
      <c r="A1065" s="22" t="s">
        <v>243</v>
      </c>
      <c r="B1065" s="1">
        <v>45047</v>
      </c>
      <c r="C1065" s="2" t="s">
        <v>244</v>
      </c>
      <c r="D1065" s="7">
        <v>514.76</v>
      </c>
      <c r="E1065" s="13">
        <v>1592.1</v>
      </c>
      <c r="F1065" s="15">
        <f>IFERROR(PRD[[#This Row],[VALOR]]/PRD[[#This Row],[KGS]],"")</f>
        <v>3.092897661045924</v>
      </c>
      <c r="H1065" s="27"/>
    </row>
    <row r="1066" spans="1:8" x14ac:dyDescent="0.25">
      <c r="A1066" s="23" t="s">
        <v>463</v>
      </c>
      <c r="B1066" s="1">
        <v>45047</v>
      </c>
      <c r="C1066" s="3" t="s">
        <v>551</v>
      </c>
      <c r="D1066" s="8">
        <v>350</v>
      </c>
      <c r="E1066" s="12">
        <v>234.5</v>
      </c>
      <c r="F1066" s="15">
        <f>IFERROR(PRD[[#This Row],[VALOR]]/PRD[[#This Row],[KGS]],"")</f>
        <v>0.67</v>
      </c>
      <c r="H1066" s="27"/>
    </row>
    <row r="1067" spans="1:8" x14ac:dyDescent="0.25">
      <c r="A1067" s="22" t="s">
        <v>245</v>
      </c>
      <c r="B1067" s="1">
        <v>45047</v>
      </c>
      <c r="C1067" s="2" t="s">
        <v>246</v>
      </c>
      <c r="D1067" s="7">
        <v>1063.1600000000001</v>
      </c>
      <c r="E1067" s="13">
        <v>3097.75</v>
      </c>
      <c r="F1067" s="15">
        <f>IFERROR(PRD[[#This Row],[VALOR]]/PRD[[#This Row],[KGS]],"")</f>
        <v>2.9137194777832121</v>
      </c>
      <c r="H1067" s="27"/>
    </row>
    <row r="1068" spans="1:8" x14ac:dyDescent="0.25">
      <c r="A1068" s="23" t="s">
        <v>247</v>
      </c>
      <c r="B1068" s="1">
        <v>45047</v>
      </c>
      <c r="C1068" s="3" t="s">
        <v>248</v>
      </c>
      <c r="D1068" s="8">
        <v>65.55</v>
      </c>
      <c r="E1068" s="12">
        <v>341.68</v>
      </c>
      <c r="F1068" s="15">
        <f>IFERROR(PRD[[#This Row],[VALOR]]/PRD[[#This Row],[KGS]],"")</f>
        <v>5.2125095347063315</v>
      </c>
      <c r="H1068" s="27"/>
    </row>
    <row r="1069" spans="1:8" x14ac:dyDescent="0.25">
      <c r="A1069" s="22" t="s">
        <v>249</v>
      </c>
      <c r="B1069" s="1">
        <v>45047</v>
      </c>
      <c r="C1069" s="2" t="s">
        <v>250</v>
      </c>
      <c r="D1069" s="7">
        <v>187.78</v>
      </c>
      <c r="E1069" s="13">
        <v>955.86</v>
      </c>
      <c r="F1069" s="15">
        <f>IFERROR(PRD[[#This Row],[VALOR]]/PRD[[#This Row],[KGS]],"")</f>
        <v>5.0903184577697305</v>
      </c>
      <c r="H1069" s="27"/>
    </row>
    <row r="1070" spans="1:8" x14ac:dyDescent="0.25">
      <c r="A1070" s="23" t="s">
        <v>552</v>
      </c>
      <c r="B1070" s="1">
        <v>45047</v>
      </c>
      <c r="C1070" s="3" t="s">
        <v>553</v>
      </c>
      <c r="D1070" s="8">
        <v>95.84</v>
      </c>
      <c r="E1070" s="12">
        <v>488.82</v>
      </c>
      <c r="F1070" s="15">
        <f>IFERROR(PRD[[#This Row],[VALOR]]/PRD[[#This Row],[KGS]],"")</f>
        <v>5.1003756260434052</v>
      </c>
      <c r="H1070" s="27"/>
    </row>
    <row r="1071" spans="1:8" x14ac:dyDescent="0.25">
      <c r="A1071" s="22" t="s">
        <v>554</v>
      </c>
      <c r="B1071" s="1">
        <v>45047</v>
      </c>
      <c r="C1071" s="2" t="s">
        <v>555</v>
      </c>
      <c r="D1071" s="7">
        <v>21.31</v>
      </c>
      <c r="E1071" s="13">
        <v>108.71</v>
      </c>
      <c r="F1071" s="15">
        <f>IFERROR(PRD[[#This Row],[VALOR]]/PRD[[#This Row],[KGS]],"")</f>
        <v>5.1013608634443921</v>
      </c>
      <c r="H1071" s="27"/>
    </row>
    <row r="1072" spans="1:8" x14ac:dyDescent="0.25">
      <c r="A1072" s="23" t="s">
        <v>251</v>
      </c>
      <c r="B1072" s="1">
        <v>45047</v>
      </c>
      <c r="C1072" s="3" t="s">
        <v>252</v>
      </c>
      <c r="D1072" s="8">
        <v>623.72</v>
      </c>
      <c r="E1072" s="12">
        <v>2626.29</v>
      </c>
      <c r="F1072" s="15">
        <f>IFERROR(PRD[[#This Row],[VALOR]]/PRD[[#This Row],[KGS]],"")</f>
        <v>4.2106874879753731</v>
      </c>
      <c r="H1072" s="27"/>
    </row>
    <row r="1073" spans="1:8" x14ac:dyDescent="0.25">
      <c r="A1073" s="22" t="s">
        <v>253</v>
      </c>
      <c r="B1073" s="1">
        <v>45047</v>
      </c>
      <c r="C1073" s="2" t="s">
        <v>254</v>
      </c>
      <c r="D1073" s="7">
        <v>86.98</v>
      </c>
      <c r="E1073" s="13">
        <v>385.84</v>
      </c>
      <c r="F1073" s="15">
        <f>IFERROR(PRD[[#This Row],[VALOR]]/PRD[[#This Row],[KGS]],"")</f>
        <v>4.4359622901816502</v>
      </c>
      <c r="H1073" s="27"/>
    </row>
    <row r="1074" spans="1:8" x14ac:dyDescent="0.25">
      <c r="A1074" s="23" t="s">
        <v>255</v>
      </c>
      <c r="B1074" s="1">
        <v>45047</v>
      </c>
      <c r="C1074" s="3" t="s">
        <v>256</v>
      </c>
      <c r="D1074" s="8">
        <v>730.81</v>
      </c>
      <c r="E1074" s="12">
        <v>1984.19</v>
      </c>
      <c r="F1074" s="15">
        <f>IFERROR(PRD[[#This Row],[VALOR]]/PRD[[#This Row],[KGS]],"")</f>
        <v>2.7150558968815428</v>
      </c>
      <c r="H1074" s="27"/>
    </row>
    <row r="1075" spans="1:8" x14ac:dyDescent="0.25">
      <c r="A1075" s="22" t="s">
        <v>257</v>
      </c>
      <c r="B1075" s="1">
        <v>45047</v>
      </c>
      <c r="C1075" s="2" t="s">
        <v>258</v>
      </c>
      <c r="D1075" s="7">
        <v>73.86</v>
      </c>
      <c r="E1075" s="13">
        <v>232.52</v>
      </c>
      <c r="F1075" s="15">
        <f>IFERROR(PRD[[#This Row],[VALOR]]/PRD[[#This Row],[KGS]],"")</f>
        <v>3.1481180611968589</v>
      </c>
      <c r="H1075" s="27"/>
    </row>
    <row r="1076" spans="1:8" x14ac:dyDescent="0.25">
      <c r="A1076" s="23" t="s">
        <v>259</v>
      </c>
      <c r="B1076" s="1">
        <v>45047</v>
      </c>
      <c r="C1076" s="3" t="s">
        <v>260</v>
      </c>
      <c r="D1076" s="8">
        <v>398</v>
      </c>
      <c r="E1076" s="12">
        <v>1189.1400000000001</v>
      </c>
      <c r="F1076" s="15">
        <f>IFERROR(PRD[[#This Row],[VALOR]]/PRD[[#This Row],[KGS]],"")</f>
        <v>2.9877889447236186</v>
      </c>
      <c r="H1076" s="27"/>
    </row>
    <row r="1077" spans="1:8" x14ac:dyDescent="0.25">
      <c r="A1077" s="22" t="s">
        <v>261</v>
      </c>
      <c r="B1077" s="1">
        <v>45047</v>
      </c>
      <c r="C1077" s="2" t="s">
        <v>262</v>
      </c>
      <c r="D1077" s="7">
        <v>158.66999999999999</v>
      </c>
      <c r="E1077" s="13">
        <v>862.36</v>
      </c>
      <c r="F1077" s="15">
        <f>IFERROR(PRD[[#This Row],[VALOR]]/PRD[[#This Row],[KGS]],"")</f>
        <v>5.4349278376504699</v>
      </c>
      <c r="H1077" s="27"/>
    </row>
    <row r="1078" spans="1:8" x14ac:dyDescent="0.25">
      <c r="A1078" s="23" t="s">
        <v>263</v>
      </c>
      <c r="B1078" s="1">
        <v>45047</v>
      </c>
      <c r="C1078" s="3" t="s">
        <v>264</v>
      </c>
      <c r="D1078" s="8">
        <v>156.22999999999999</v>
      </c>
      <c r="E1078" s="12">
        <v>812.07</v>
      </c>
      <c r="F1078" s="15">
        <f>IFERROR(PRD[[#This Row],[VALOR]]/PRD[[#This Row],[KGS]],"")</f>
        <v>5.1979133329066123</v>
      </c>
      <c r="H1078" s="27"/>
    </row>
    <row r="1079" spans="1:8" x14ac:dyDescent="0.25">
      <c r="A1079" s="22" t="s">
        <v>265</v>
      </c>
      <c r="B1079" s="1">
        <v>45047</v>
      </c>
      <c r="C1079" s="2" t="s">
        <v>266</v>
      </c>
      <c r="D1079" s="7">
        <v>168.66</v>
      </c>
      <c r="E1079" s="13">
        <v>868.67</v>
      </c>
      <c r="F1079" s="15">
        <f>IFERROR(PRD[[#This Row],[VALOR]]/PRD[[#This Row],[KGS]],"")</f>
        <v>5.1504209652555435</v>
      </c>
      <c r="H1079" s="27"/>
    </row>
    <row r="1080" spans="1:8" x14ac:dyDescent="0.25">
      <c r="A1080" s="23" t="s">
        <v>267</v>
      </c>
      <c r="B1080" s="1">
        <v>45047</v>
      </c>
      <c r="C1080" s="3" t="s">
        <v>268</v>
      </c>
      <c r="D1080" s="8">
        <v>571.54999999999995</v>
      </c>
      <c r="E1080" s="12">
        <v>2406.59</v>
      </c>
      <c r="F1080" s="15">
        <f>IFERROR(PRD[[#This Row],[VALOR]]/PRD[[#This Row],[KGS]],"")</f>
        <v>4.2106377394803607</v>
      </c>
      <c r="H1080" s="27"/>
    </row>
    <row r="1081" spans="1:8" x14ac:dyDescent="0.25">
      <c r="A1081" s="22" t="s">
        <v>269</v>
      </c>
      <c r="B1081" s="1">
        <v>45047</v>
      </c>
      <c r="C1081" s="2" t="s">
        <v>270</v>
      </c>
      <c r="D1081" s="7">
        <v>61.22</v>
      </c>
      <c r="E1081" s="13">
        <v>273.35000000000002</v>
      </c>
      <c r="F1081" s="15">
        <f>IFERROR(PRD[[#This Row],[VALOR]]/PRD[[#This Row],[KGS]],"")</f>
        <v>4.4650441032342378</v>
      </c>
      <c r="H1081" s="27"/>
    </row>
    <row r="1082" spans="1:8" x14ac:dyDescent="0.25">
      <c r="A1082" s="23" t="s">
        <v>271</v>
      </c>
      <c r="B1082" s="1">
        <v>45047</v>
      </c>
      <c r="C1082" s="3" t="s">
        <v>272</v>
      </c>
      <c r="D1082" s="8">
        <v>46.69</v>
      </c>
      <c r="E1082" s="13">
        <v>283</v>
      </c>
      <c r="F1082" s="15">
        <f>IFERROR(PRD[[#This Row],[VALOR]]/PRD[[#This Row],[KGS]],"")</f>
        <v>6.0612550867423431</v>
      </c>
      <c r="H1082" s="27"/>
    </row>
    <row r="1083" spans="1:8" x14ac:dyDescent="0.25">
      <c r="A1083" s="22" t="s">
        <v>273</v>
      </c>
      <c r="B1083" s="1">
        <v>45047</v>
      </c>
      <c r="C1083" s="2" t="s">
        <v>274</v>
      </c>
      <c r="D1083" s="7">
        <v>759.46</v>
      </c>
      <c r="E1083" s="13">
        <v>2257.7800000000002</v>
      </c>
      <c r="F1083" s="15">
        <f>IFERROR(PRD[[#This Row],[VALOR]]/PRD[[#This Row],[KGS]],"")</f>
        <v>2.9728754641455772</v>
      </c>
      <c r="H1083" s="27"/>
    </row>
    <row r="1084" spans="1:8" x14ac:dyDescent="0.25">
      <c r="A1084" s="23" t="s">
        <v>275</v>
      </c>
      <c r="B1084" s="1">
        <v>45047</v>
      </c>
      <c r="C1084" s="3" t="s">
        <v>276</v>
      </c>
      <c r="D1084" s="8">
        <v>1507.22</v>
      </c>
      <c r="E1084" s="12">
        <v>4831.34</v>
      </c>
      <c r="F1084" s="15">
        <f>IFERROR(PRD[[#This Row],[VALOR]]/PRD[[#This Row],[KGS]],"")</f>
        <v>3.2054643648571544</v>
      </c>
      <c r="H1084" s="27"/>
    </row>
    <row r="1085" spans="1:8" x14ac:dyDescent="0.25">
      <c r="A1085" s="22" t="s">
        <v>277</v>
      </c>
      <c r="B1085" s="1">
        <v>45047</v>
      </c>
      <c r="C1085" s="2" t="s">
        <v>278</v>
      </c>
      <c r="D1085" s="7">
        <v>65.31</v>
      </c>
      <c r="E1085" s="13">
        <v>334.53</v>
      </c>
      <c r="F1085" s="15">
        <f>IFERROR(PRD[[#This Row],[VALOR]]/PRD[[#This Row],[KGS]],"")</f>
        <v>5.1221864951768481</v>
      </c>
      <c r="H1085" s="27"/>
    </row>
    <row r="1086" spans="1:8" x14ac:dyDescent="0.25">
      <c r="A1086" s="23" t="s">
        <v>279</v>
      </c>
      <c r="B1086" s="1">
        <v>45047</v>
      </c>
      <c r="C1086" s="3" t="s">
        <v>280</v>
      </c>
      <c r="D1086" s="8">
        <v>830.38</v>
      </c>
      <c r="E1086" s="12">
        <v>4308</v>
      </c>
      <c r="F1086" s="15">
        <f>IFERROR(PRD[[#This Row],[VALOR]]/PRD[[#This Row],[KGS]],"")</f>
        <v>5.1879862231749323</v>
      </c>
      <c r="H1086" s="27"/>
    </row>
    <row r="1087" spans="1:8" x14ac:dyDescent="0.25">
      <c r="A1087" s="22" t="s">
        <v>281</v>
      </c>
      <c r="B1087" s="1">
        <v>45047</v>
      </c>
      <c r="C1087" s="2" t="s">
        <v>282</v>
      </c>
      <c r="D1087" s="7">
        <v>134</v>
      </c>
      <c r="E1087" s="12">
        <v>580</v>
      </c>
      <c r="F1087" s="15">
        <f>IFERROR(PRD[[#This Row],[VALOR]]/PRD[[#This Row],[KGS]],"")</f>
        <v>4.3283582089552235</v>
      </c>
      <c r="H1087" s="27"/>
    </row>
    <row r="1088" spans="1:8" x14ac:dyDescent="0.25">
      <c r="A1088" s="23" t="s">
        <v>283</v>
      </c>
      <c r="B1088" s="1">
        <v>45047</v>
      </c>
      <c r="C1088" s="3" t="s">
        <v>284</v>
      </c>
      <c r="D1088" s="8">
        <v>137</v>
      </c>
      <c r="E1088" s="12">
        <v>364</v>
      </c>
      <c r="F1088" s="15">
        <f>IFERROR(PRD[[#This Row],[VALOR]]/PRD[[#This Row],[KGS]],"")</f>
        <v>2.6569343065693429</v>
      </c>
      <c r="H1088" s="27"/>
    </row>
    <row r="1089" spans="1:8" x14ac:dyDescent="0.25">
      <c r="A1089" s="22" t="s">
        <v>285</v>
      </c>
      <c r="B1089" s="1">
        <v>45047</v>
      </c>
      <c r="C1089" s="2" t="s">
        <v>286</v>
      </c>
      <c r="D1089" s="7">
        <v>20</v>
      </c>
      <c r="E1089" s="13">
        <v>58</v>
      </c>
      <c r="F1089" s="15">
        <f>IFERROR(PRD[[#This Row],[VALOR]]/PRD[[#This Row],[KGS]],"")</f>
        <v>2.9</v>
      </c>
      <c r="H1089" s="27"/>
    </row>
    <row r="1090" spans="1:8" x14ac:dyDescent="0.25">
      <c r="A1090" s="22" t="s">
        <v>556</v>
      </c>
      <c r="B1090" s="1">
        <v>45047</v>
      </c>
      <c r="C1090" s="2" t="s">
        <v>557</v>
      </c>
      <c r="D1090" s="7">
        <v>162</v>
      </c>
      <c r="E1090" s="13">
        <v>835</v>
      </c>
      <c r="F1090" s="15">
        <f>IFERROR(PRD[[#This Row],[VALOR]]/PRD[[#This Row],[KGS]],"")</f>
        <v>5.1543209876543212</v>
      </c>
      <c r="H1090" s="27"/>
    </row>
    <row r="1091" spans="1:8" x14ac:dyDescent="0.25">
      <c r="A1091" s="23" t="s">
        <v>558</v>
      </c>
      <c r="B1091" s="1">
        <v>45047</v>
      </c>
      <c r="C1091" s="3" t="s">
        <v>318</v>
      </c>
      <c r="D1091" s="8">
        <v>1</v>
      </c>
      <c r="E1091" s="12">
        <v>19</v>
      </c>
      <c r="F1091" s="15">
        <f>IFERROR(PRD[[#This Row],[VALOR]]/PRD[[#This Row],[KGS]],"")</f>
        <v>19</v>
      </c>
      <c r="H1091" s="27"/>
    </row>
    <row r="1092" spans="1:8" x14ac:dyDescent="0.25">
      <c r="A1092" s="22" t="s">
        <v>559</v>
      </c>
      <c r="B1092" s="1">
        <v>45047</v>
      </c>
      <c r="C1092" s="2" t="s">
        <v>560</v>
      </c>
      <c r="D1092" s="7">
        <v>11</v>
      </c>
      <c r="E1092" s="13">
        <v>39.94</v>
      </c>
      <c r="F1092" s="15">
        <f>IFERROR(PRD[[#This Row],[VALOR]]/PRD[[#This Row],[KGS]],"")</f>
        <v>3.6309090909090909</v>
      </c>
      <c r="H1092" s="27"/>
    </row>
    <row r="1093" spans="1:8" x14ac:dyDescent="0.25">
      <c r="A1093" s="23" t="s">
        <v>465</v>
      </c>
      <c r="B1093" s="1">
        <v>45047</v>
      </c>
      <c r="C1093" s="3" t="s">
        <v>561</v>
      </c>
      <c r="D1093" s="8">
        <v>141</v>
      </c>
      <c r="E1093" s="12">
        <v>408</v>
      </c>
      <c r="F1093" s="15">
        <f>IFERROR(PRD[[#This Row],[VALOR]]/PRD[[#This Row],[KGS]],"")</f>
        <v>2.8936170212765959</v>
      </c>
      <c r="H1093" s="27"/>
    </row>
    <row r="1094" spans="1:8" x14ac:dyDescent="0.25">
      <c r="A1094" s="22" t="s">
        <v>471</v>
      </c>
      <c r="B1094" s="1">
        <v>45047</v>
      </c>
      <c r="C1094" s="2" t="s">
        <v>562</v>
      </c>
      <c r="D1094" s="7">
        <v>36.799999999999997</v>
      </c>
      <c r="E1094" s="13">
        <v>425.4</v>
      </c>
      <c r="F1094" s="15">
        <f>IFERROR(PRD[[#This Row],[VALOR]]/PRD[[#This Row],[KGS]],"")</f>
        <v>11.559782608695652</v>
      </c>
      <c r="H1094" s="27"/>
    </row>
    <row r="1095" spans="1:8" x14ac:dyDescent="0.25">
      <c r="A1095" s="23" t="s">
        <v>563</v>
      </c>
      <c r="B1095" s="1">
        <v>45047</v>
      </c>
      <c r="C1095" s="3" t="s">
        <v>564</v>
      </c>
      <c r="D1095" s="8">
        <v>455.85</v>
      </c>
      <c r="E1095" s="12">
        <v>4779.1000000000004</v>
      </c>
      <c r="F1095" s="15">
        <f>IFERROR(PRD[[#This Row],[VALOR]]/PRD[[#This Row],[KGS]],"")</f>
        <v>10.483931117692224</v>
      </c>
      <c r="H1095" s="27"/>
    </row>
    <row r="1096" spans="1:8" x14ac:dyDescent="0.25">
      <c r="A1096" s="22" t="s">
        <v>565</v>
      </c>
      <c r="B1096" s="1">
        <v>45047</v>
      </c>
      <c r="C1096" s="2" t="s">
        <v>566</v>
      </c>
      <c r="D1096" s="7">
        <v>1008</v>
      </c>
      <c r="E1096" s="13">
        <v>5080.32</v>
      </c>
      <c r="F1096" s="15">
        <f>IFERROR(PRD[[#This Row],[VALOR]]/PRD[[#This Row],[KGS]],"")</f>
        <v>5.04</v>
      </c>
      <c r="H1096" s="27"/>
    </row>
    <row r="1097" spans="1:8" x14ac:dyDescent="0.25">
      <c r="A1097" s="23" t="s">
        <v>567</v>
      </c>
      <c r="B1097" s="1">
        <v>45047</v>
      </c>
      <c r="C1097" s="3" t="s">
        <v>568</v>
      </c>
      <c r="D1097" s="8">
        <v>432</v>
      </c>
      <c r="E1097" s="12">
        <v>1209.5999999999999</v>
      </c>
      <c r="F1097" s="15">
        <f>IFERROR(PRD[[#This Row],[VALOR]]/PRD[[#This Row],[KGS]],"")</f>
        <v>2.8</v>
      </c>
      <c r="H1097" s="27"/>
    </row>
    <row r="1098" spans="1:8" x14ac:dyDescent="0.25">
      <c r="A1098" s="22" t="s">
        <v>569</v>
      </c>
      <c r="B1098" s="1">
        <v>45047</v>
      </c>
      <c r="C1098" s="2" t="s">
        <v>570</v>
      </c>
      <c r="D1098" s="7">
        <v>504</v>
      </c>
      <c r="E1098" s="13">
        <v>2671.2</v>
      </c>
      <c r="F1098" s="15">
        <f>IFERROR(PRD[[#This Row],[VALOR]]/PRD[[#This Row],[KGS]],"")</f>
        <v>5.3</v>
      </c>
      <c r="H1098" s="27"/>
    </row>
    <row r="1099" spans="1:8" x14ac:dyDescent="0.25">
      <c r="A1099" s="23" t="s">
        <v>571</v>
      </c>
      <c r="B1099" s="1">
        <v>45047</v>
      </c>
      <c r="C1099" s="3" t="s">
        <v>572</v>
      </c>
      <c r="D1099" s="8">
        <v>1248</v>
      </c>
      <c r="E1099" s="12">
        <v>5491.2</v>
      </c>
      <c r="F1099" s="15">
        <f>IFERROR(PRD[[#This Row],[VALOR]]/PRD[[#This Row],[KGS]],"")</f>
        <v>4.3999999999999995</v>
      </c>
      <c r="H1099" s="27"/>
    </row>
    <row r="1100" spans="1:8" x14ac:dyDescent="0.25">
      <c r="A1100" s="22" t="s">
        <v>573</v>
      </c>
      <c r="B1100" s="1">
        <v>45047</v>
      </c>
      <c r="C1100" s="2" t="s">
        <v>574</v>
      </c>
      <c r="D1100" s="7">
        <v>1036.8</v>
      </c>
      <c r="E1100" s="13">
        <v>14256</v>
      </c>
      <c r="F1100" s="15">
        <f>IFERROR(PRD[[#This Row],[VALOR]]/PRD[[#This Row],[KGS]],"")</f>
        <v>13.75</v>
      </c>
      <c r="H1100" s="27"/>
    </row>
    <row r="1101" spans="1:8" x14ac:dyDescent="0.25">
      <c r="A1101" s="23" t="s">
        <v>575</v>
      </c>
      <c r="B1101" s="1">
        <v>45047</v>
      </c>
      <c r="C1101" s="3" t="s">
        <v>576</v>
      </c>
      <c r="D1101" s="8">
        <v>24</v>
      </c>
      <c r="E1101" s="12">
        <v>297.60000000000002</v>
      </c>
      <c r="F1101" s="15">
        <f>IFERROR(PRD[[#This Row],[VALOR]]/PRD[[#This Row],[KGS]],"")</f>
        <v>12.4</v>
      </c>
      <c r="H1101" s="27"/>
    </row>
    <row r="1102" spans="1:8" x14ac:dyDescent="0.25">
      <c r="A1102" s="22" t="s">
        <v>577</v>
      </c>
      <c r="B1102" s="1">
        <v>45047</v>
      </c>
      <c r="C1102" s="2" t="s">
        <v>578</v>
      </c>
      <c r="D1102" s="7">
        <v>8</v>
      </c>
      <c r="E1102" s="13">
        <v>92</v>
      </c>
      <c r="F1102" s="15">
        <f>IFERROR(PRD[[#This Row],[VALOR]]/PRD[[#This Row],[KGS]],"")</f>
        <v>11.5</v>
      </c>
      <c r="H1102" s="27"/>
    </row>
    <row r="1103" spans="1:8" x14ac:dyDescent="0.25">
      <c r="A1103" s="23" t="s">
        <v>473</v>
      </c>
      <c r="B1103" s="1">
        <v>45047</v>
      </c>
      <c r="C1103" s="3" t="s">
        <v>322</v>
      </c>
      <c r="D1103" s="8">
        <v>3</v>
      </c>
      <c r="E1103" s="12">
        <v>19.38</v>
      </c>
      <c r="F1103" s="15">
        <f>IFERROR(PRD[[#This Row],[VALOR]]/PRD[[#This Row],[KGS]],"")</f>
        <v>6.46</v>
      </c>
      <c r="H1103" s="27"/>
    </row>
    <row r="1104" spans="1:8" x14ac:dyDescent="0.25">
      <c r="A1104" s="22" t="s">
        <v>475</v>
      </c>
      <c r="B1104" s="1">
        <v>45047</v>
      </c>
      <c r="C1104" s="2" t="s">
        <v>323</v>
      </c>
      <c r="D1104" s="7">
        <v>4</v>
      </c>
      <c r="E1104" s="13">
        <v>20.16</v>
      </c>
      <c r="F1104" s="15">
        <f>IFERROR(PRD[[#This Row],[VALOR]]/PRD[[#This Row],[KGS]],"")</f>
        <v>5.04</v>
      </c>
      <c r="H1104" s="27"/>
    </row>
    <row r="1105" spans="1:8" x14ac:dyDescent="0.25">
      <c r="A1105" s="23" t="s">
        <v>476</v>
      </c>
      <c r="B1105" s="1">
        <v>45047</v>
      </c>
      <c r="C1105" s="3" t="s">
        <v>579</v>
      </c>
      <c r="D1105" s="8">
        <v>1</v>
      </c>
      <c r="E1105" s="12">
        <v>5.5</v>
      </c>
      <c r="F1105" s="15">
        <f>IFERROR(PRD[[#This Row],[VALOR]]/PRD[[#This Row],[KGS]],"")</f>
        <v>5.5</v>
      </c>
      <c r="H1105" s="27"/>
    </row>
    <row r="1106" spans="1:8" x14ac:dyDescent="0.25">
      <c r="A1106" s="23" t="s">
        <v>480</v>
      </c>
      <c r="B1106" s="1">
        <v>45047</v>
      </c>
      <c r="C1106" s="3" t="s">
        <v>328</v>
      </c>
      <c r="D1106" s="8">
        <v>4810</v>
      </c>
      <c r="E1106" s="12">
        <v>30069</v>
      </c>
      <c r="F1106" s="15">
        <f>IFERROR(PRD[[#This Row],[VALOR]]/PRD[[#This Row],[KGS]],"")</f>
        <v>6.2513513513513512</v>
      </c>
      <c r="H1106" s="27"/>
    </row>
    <row r="1107" spans="1:8" x14ac:dyDescent="0.25">
      <c r="A1107" s="22" t="s">
        <v>580</v>
      </c>
      <c r="B1107" s="1">
        <v>45047</v>
      </c>
      <c r="C1107" s="2" t="s">
        <v>581</v>
      </c>
      <c r="D1107" s="7">
        <v>1071</v>
      </c>
      <c r="E1107" s="13">
        <v>3534.3</v>
      </c>
      <c r="F1107" s="15">
        <f>IFERROR(PRD[[#This Row],[VALOR]]/PRD[[#This Row],[KGS]],"")</f>
        <v>3.3000000000000003</v>
      </c>
      <c r="H1107" s="27"/>
    </row>
    <row r="1108" spans="1:8" x14ac:dyDescent="0.25">
      <c r="A1108" s="23" t="s">
        <v>582</v>
      </c>
      <c r="B1108" s="1">
        <v>45047</v>
      </c>
      <c r="C1108" s="3" t="s">
        <v>583</v>
      </c>
      <c r="D1108" s="8">
        <v>1806</v>
      </c>
      <c r="E1108" s="12">
        <v>4696.74</v>
      </c>
      <c r="F1108" s="15">
        <f>IFERROR(PRD[[#This Row],[VALOR]]/PRD[[#This Row],[KGS]],"")</f>
        <v>2.6006312292358804</v>
      </c>
      <c r="H1108" s="27"/>
    </row>
    <row r="1109" spans="1:8" x14ac:dyDescent="0.25">
      <c r="A1109" s="22" t="s">
        <v>484</v>
      </c>
      <c r="B1109" s="1">
        <v>45047</v>
      </c>
      <c r="C1109" s="2" t="s">
        <v>584</v>
      </c>
      <c r="D1109" s="7">
        <v>2000</v>
      </c>
      <c r="E1109" s="13">
        <v>6417.5</v>
      </c>
      <c r="F1109" s="15">
        <f>IFERROR(PRD[[#This Row],[VALOR]]/PRD[[#This Row],[KGS]],"")</f>
        <v>3.2087500000000002</v>
      </c>
      <c r="H1109" s="27"/>
    </row>
    <row r="1110" spans="1:8" x14ac:dyDescent="0.25">
      <c r="A1110" s="22" t="s">
        <v>585</v>
      </c>
      <c r="B1110" s="1">
        <v>45047</v>
      </c>
      <c r="C1110" s="2" t="s">
        <v>586</v>
      </c>
      <c r="D1110" s="7">
        <v>56</v>
      </c>
      <c r="E1110" s="13">
        <v>448</v>
      </c>
      <c r="F1110" s="15">
        <f>IFERROR(PRD[[#This Row],[VALOR]]/PRD[[#This Row],[KGS]],"")</f>
        <v>8</v>
      </c>
      <c r="H1110" s="27"/>
    </row>
    <row r="1111" spans="1:8" x14ac:dyDescent="0.25">
      <c r="A1111" s="23" t="s">
        <v>587</v>
      </c>
      <c r="B1111" s="1">
        <v>45047</v>
      </c>
      <c r="C1111" s="3" t="s">
        <v>588</v>
      </c>
      <c r="D1111" s="8">
        <v>4000</v>
      </c>
      <c r="E1111" s="12">
        <v>6320</v>
      </c>
      <c r="F1111" s="15">
        <f>IFERROR(PRD[[#This Row],[VALOR]]/PRD[[#This Row],[KGS]],"")</f>
        <v>1.58</v>
      </c>
      <c r="H1111" s="27"/>
    </row>
    <row r="1112" spans="1:8" x14ac:dyDescent="0.25">
      <c r="A1112" s="22" t="s">
        <v>589</v>
      </c>
      <c r="B1112" s="1">
        <v>45047</v>
      </c>
      <c r="C1112" s="2" t="s">
        <v>590</v>
      </c>
      <c r="D1112" s="7">
        <v>1900</v>
      </c>
      <c r="E1112" s="13">
        <v>14250</v>
      </c>
      <c r="F1112" s="15">
        <f>IFERROR(PRD[[#This Row],[VALOR]]/PRD[[#This Row],[KGS]],"")</f>
        <v>7.5</v>
      </c>
      <c r="H1112" s="27"/>
    </row>
    <row r="1113" spans="1:8" x14ac:dyDescent="0.25">
      <c r="A1113" s="23" t="s">
        <v>591</v>
      </c>
      <c r="B1113" s="1">
        <v>45047</v>
      </c>
      <c r="C1113" s="3" t="s">
        <v>592</v>
      </c>
      <c r="D1113" s="8">
        <v>511</v>
      </c>
      <c r="E1113" s="12">
        <v>1458.5</v>
      </c>
      <c r="F1113" s="15">
        <f>IFERROR(PRD[[#This Row],[VALOR]]/PRD[[#This Row],[KGS]],"")</f>
        <v>2.8542074363992174</v>
      </c>
      <c r="H1113" s="27"/>
    </row>
    <row r="1114" spans="1:8" x14ac:dyDescent="0.25">
      <c r="A1114" s="22" t="s">
        <v>505</v>
      </c>
      <c r="B1114" s="1">
        <v>45047</v>
      </c>
      <c r="C1114" s="2" t="s">
        <v>506</v>
      </c>
      <c r="D1114" s="7">
        <v>188.83</v>
      </c>
      <c r="E1114" s="13">
        <v>2260.25</v>
      </c>
      <c r="F1114" s="15">
        <f>IFERROR(PRD[[#This Row],[VALOR]]/PRD[[#This Row],[KGS]],"")</f>
        <v>11.969761160832494</v>
      </c>
      <c r="H1114" s="27"/>
    </row>
    <row r="1115" spans="1:8" x14ac:dyDescent="0.25">
      <c r="A1115" s="23" t="s">
        <v>593</v>
      </c>
      <c r="B1115" s="1">
        <v>45047</v>
      </c>
      <c r="C1115" s="3" t="s">
        <v>594</v>
      </c>
      <c r="D1115" s="8">
        <v>13.19</v>
      </c>
      <c r="E1115" s="12">
        <v>168.83</v>
      </c>
      <c r="F1115" s="15">
        <f>IFERROR(PRD[[#This Row],[VALOR]]/PRD[[#This Row],[KGS]],"")</f>
        <v>12.799848369977257</v>
      </c>
      <c r="H1115" s="27"/>
    </row>
    <row r="1116" spans="1:8" x14ac:dyDescent="0.25">
      <c r="A1116" s="22" t="s">
        <v>595</v>
      </c>
      <c r="B1116" s="1">
        <v>45047</v>
      </c>
      <c r="C1116" s="2" t="s">
        <v>410</v>
      </c>
      <c r="D1116" s="7">
        <v>768</v>
      </c>
      <c r="E1116" s="13">
        <v>6912</v>
      </c>
      <c r="F1116" s="15">
        <f>IFERROR(PRD[[#This Row],[VALOR]]/PRD[[#This Row],[KGS]],"")</f>
        <v>9</v>
      </c>
      <c r="H1116" s="27"/>
    </row>
    <row r="1117" spans="1:8" x14ac:dyDescent="0.25">
      <c r="A1117" s="23" t="s">
        <v>507</v>
      </c>
      <c r="B1117" s="1">
        <v>45047</v>
      </c>
      <c r="C1117" s="3" t="s">
        <v>412</v>
      </c>
      <c r="D1117" s="8">
        <v>2</v>
      </c>
      <c r="E1117" s="12">
        <v>8.1999999999999993</v>
      </c>
      <c r="F1117" s="15">
        <f>IFERROR(PRD[[#This Row],[VALOR]]/PRD[[#This Row],[KGS]],"")</f>
        <v>4.0999999999999996</v>
      </c>
      <c r="H1117" s="27"/>
    </row>
    <row r="1118" spans="1:8" x14ac:dyDescent="0.25">
      <c r="A1118" s="22" t="s">
        <v>509</v>
      </c>
      <c r="B1118" s="1">
        <v>45047</v>
      </c>
      <c r="C1118" s="2" t="s">
        <v>510</v>
      </c>
      <c r="D1118" s="7">
        <v>1395.49</v>
      </c>
      <c r="E1118" s="13">
        <v>9349.7800000000007</v>
      </c>
      <c r="F1118" s="15">
        <f>IFERROR(PRD[[#This Row],[VALOR]]/PRD[[#This Row],[KGS]],"")</f>
        <v>6.6999978502174864</v>
      </c>
      <c r="H1118" s="27"/>
    </row>
    <row r="1119" spans="1:8" x14ac:dyDescent="0.25">
      <c r="A1119" s="23" t="s">
        <v>596</v>
      </c>
      <c r="B1119" s="1">
        <v>45047</v>
      </c>
      <c r="C1119" s="3" t="s">
        <v>597</v>
      </c>
      <c r="D1119" s="8">
        <v>805.16</v>
      </c>
      <c r="E1119" s="12">
        <v>7654.7</v>
      </c>
      <c r="F1119" s="15">
        <f>IFERROR(PRD[[#This Row],[VALOR]]/PRD[[#This Row],[KGS]],"")</f>
        <v>9.5070544984847736</v>
      </c>
      <c r="H1119" s="27"/>
    </row>
    <row r="1120" spans="1:8" x14ac:dyDescent="0.25">
      <c r="A1120" s="22" t="s">
        <v>513</v>
      </c>
      <c r="B1120" s="1">
        <v>45047</v>
      </c>
      <c r="C1120" s="2" t="s">
        <v>598</v>
      </c>
      <c r="D1120" s="7">
        <v>6.07</v>
      </c>
      <c r="E1120" s="13">
        <v>56.45</v>
      </c>
      <c r="F1120" s="15">
        <f>IFERROR(PRD[[#This Row],[VALOR]]/PRD[[#This Row],[KGS]],"")</f>
        <v>9.2998352553542016</v>
      </c>
      <c r="H1120" s="27"/>
    </row>
    <row r="1121" spans="1:8" x14ac:dyDescent="0.25">
      <c r="A1121" s="23" t="s">
        <v>599</v>
      </c>
      <c r="B1121" s="1">
        <v>45047</v>
      </c>
      <c r="C1121" s="3" t="s">
        <v>600</v>
      </c>
      <c r="D1121" s="8">
        <v>480</v>
      </c>
      <c r="E1121" s="12">
        <v>3840</v>
      </c>
      <c r="F1121" s="15">
        <f>IFERROR(PRD[[#This Row],[VALOR]]/PRD[[#This Row],[KGS]],"")</f>
        <v>8</v>
      </c>
      <c r="H1121" s="27"/>
    </row>
    <row r="1122" spans="1:8" x14ac:dyDescent="0.25">
      <c r="A1122" s="22" t="s">
        <v>601</v>
      </c>
      <c r="B1122" s="1">
        <v>45047</v>
      </c>
      <c r="C1122" s="2" t="s">
        <v>602</v>
      </c>
      <c r="D1122" s="7">
        <v>920</v>
      </c>
      <c r="E1122" s="13">
        <v>5096.8</v>
      </c>
      <c r="F1122" s="15">
        <f>IFERROR(PRD[[#This Row],[VALOR]]/PRD[[#This Row],[KGS]],"")</f>
        <v>5.54</v>
      </c>
      <c r="H1122" s="27"/>
    </row>
    <row r="1123" spans="1:8" x14ac:dyDescent="0.25">
      <c r="A1123" s="23" t="s">
        <v>603</v>
      </c>
      <c r="B1123" s="1">
        <v>45047</v>
      </c>
      <c r="C1123" s="3" t="s">
        <v>604</v>
      </c>
      <c r="D1123" s="8">
        <v>2200</v>
      </c>
      <c r="E1123" s="12">
        <v>11330</v>
      </c>
      <c r="F1123" s="15">
        <f>IFERROR(PRD[[#This Row],[VALOR]]/PRD[[#This Row],[KGS]],"")</f>
        <v>5.15</v>
      </c>
      <c r="H1123" s="27"/>
    </row>
    <row r="1124" spans="1:8" x14ac:dyDescent="0.25">
      <c r="A1124" s="22" t="s">
        <v>605</v>
      </c>
      <c r="B1124" s="1">
        <v>45047</v>
      </c>
      <c r="C1124" s="2" t="s">
        <v>606</v>
      </c>
      <c r="D1124" s="7">
        <v>3630</v>
      </c>
      <c r="E1124" s="13">
        <v>18004.8</v>
      </c>
      <c r="F1124" s="15">
        <f>IFERROR(PRD[[#This Row],[VALOR]]/PRD[[#This Row],[KGS]],"")</f>
        <v>4.96</v>
      </c>
      <c r="H1124" s="27"/>
    </row>
    <row r="1125" spans="1:8" x14ac:dyDescent="0.25">
      <c r="A1125" s="23" t="s">
        <v>607</v>
      </c>
      <c r="B1125" s="1">
        <v>45047</v>
      </c>
      <c r="C1125" s="3" t="s">
        <v>608</v>
      </c>
      <c r="D1125" s="8">
        <v>2680</v>
      </c>
      <c r="E1125" s="12">
        <v>13024.8</v>
      </c>
      <c r="F1125" s="15">
        <f>IFERROR(PRD[[#This Row],[VALOR]]/PRD[[#This Row],[KGS]],"")</f>
        <v>4.8599999999999994</v>
      </c>
      <c r="H1125" s="27"/>
    </row>
    <row r="1126" spans="1:8" x14ac:dyDescent="0.25">
      <c r="A1126" s="22" t="s">
        <v>609</v>
      </c>
      <c r="B1126" s="1">
        <v>45047</v>
      </c>
      <c r="C1126" s="2" t="s">
        <v>610</v>
      </c>
      <c r="D1126" s="7">
        <v>90</v>
      </c>
      <c r="E1126" s="13">
        <v>551.70000000000005</v>
      </c>
      <c r="F1126" s="15">
        <f>IFERROR(PRD[[#This Row],[VALOR]]/PRD[[#This Row],[KGS]],"")</f>
        <v>6.1300000000000008</v>
      </c>
      <c r="H1126" s="27"/>
    </row>
    <row r="1127" spans="1:8" x14ac:dyDescent="0.25">
      <c r="A1127" s="23" t="s">
        <v>611</v>
      </c>
      <c r="B1127" s="1">
        <v>45047</v>
      </c>
      <c r="C1127" s="3" t="s">
        <v>612</v>
      </c>
      <c r="D1127" s="8">
        <v>900</v>
      </c>
      <c r="E1127" s="12">
        <v>4635</v>
      </c>
      <c r="F1127" s="15">
        <f>IFERROR(PRD[[#This Row],[VALOR]]/PRD[[#This Row],[KGS]],"")</f>
        <v>5.15</v>
      </c>
      <c r="H1127" s="27"/>
    </row>
    <row r="1128" spans="1:8" x14ac:dyDescent="0.25">
      <c r="A1128" s="22" t="s">
        <v>613</v>
      </c>
      <c r="B1128" s="1">
        <v>45047</v>
      </c>
      <c r="C1128" s="2" t="s">
        <v>614</v>
      </c>
      <c r="D1128" s="7">
        <v>4550</v>
      </c>
      <c r="E1128" s="13">
        <v>19019</v>
      </c>
      <c r="F1128" s="15">
        <f>IFERROR(PRD[[#This Row],[VALOR]]/PRD[[#This Row],[KGS]],"")</f>
        <v>4.18</v>
      </c>
      <c r="H1128" s="27"/>
    </row>
    <row r="1129" spans="1:8" x14ac:dyDescent="0.25">
      <c r="A1129" s="23" t="s">
        <v>615</v>
      </c>
      <c r="B1129" s="1">
        <v>45047</v>
      </c>
      <c r="C1129" s="3" t="s">
        <v>616</v>
      </c>
      <c r="D1129" s="8">
        <v>3380</v>
      </c>
      <c r="E1129" s="12">
        <v>11154</v>
      </c>
      <c r="F1129" s="15">
        <f>IFERROR(PRD[[#This Row],[VALOR]]/PRD[[#This Row],[KGS]],"")</f>
        <v>3.3</v>
      </c>
      <c r="H1129" s="27"/>
    </row>
    <row r="1130" spans="1:8" x14ac:dyDescent="0.25">
      <c r="A1130" s="22" t="s">
        <v>617</v>
      </c>
      <c r="B1130" s="1">
        <v>45047</v>
      </c>
      <c r="C1130" s="2" t="s">
        <v>380</v>
      </c>
      <c r="D1130" s="7">
        <v>3380</v>
      </c>
      <c r="E1130" s="13">
        <v>7427</v>
      </c>
      <c r="F1130" s="15">
        <f>IFERROR(PRD[[#This Row],[VALOR]]/PRD[[#This Row],[KGS]],"")</f>
        <v>2.197337278106509</v>
      </c>
      <c r="H1130" s="27"/>
    </row>
    <row r="1131" spans="1:8" x14ac:dyDescent="0.25">
      <c r="A1131" s="23" t="s">
        <v>618</v>
      </c>
      <c r="B1131" s="1">
        <v>45047</v>
      </c>
      <c r="C1131" s="3" t="s">
        <v>619</v>
      </c>
      <c r="D1131" s="8">
        <v>970</v>
      </c>
      <c r="E1131" s="12">
        <v>1437.6</v>
      </c>
      <c r="F1131" s="15">
        <f>IFERROR(PRD[[#This Row],[VALOR]]/PRD[[#This Row],[KGS]],"")</f>
        <v>1.4820618556701031</v>
      </c>
      <c r="H1131" s="27"/>
    </row>
    <row r="1132" spans="1:8" x14ac:dyDescent="0.25">
      <c r="A1132" s="22" t="s">
        <v>620</v>
      </c>
      <c r="B1132" s="1">
        <v>45047</v>
      </c>
      <c r="C1132" s="2" t="s">
        <v>416</v>
      </c>
      <c r="D1132" s="7">
        <v>3200</v>
      </c>
      <c r="E1132" s="13">
        <v>8000</v>
      </c>
      <c r="F1132" s="15">
        <f>IFERROR(PRD[[#This Row],[VALOR]]/PRD[[#This Row],[KGS]],"")</f>
        <v>2.5</v>
      </c>
      <c r="H1132" s="27"/>
    </row>
    <row r="1133" spans="1:8" x14ac:dyDescent="0.25">
      <c r="A1133" s="23" t="s">
        <v>621</v>
      </c>
      <c r="B1133" s="1">
        <v>45047</v>
      </c>
      <c r="C1133" s="3" t="s">
        <v>622</v>
      </c>
      <c r="D1133" s="8">
        <v>19.2</v>
      </c>
      <c r="E1133" s="12">
        <v>67.2</v>
      </c>
      <c r="F1133" s="15">
        <f>IFERROR(PRD[[#This Row],[VALOR]]/PRD[[#This Row],[KGS]],"")</f>
        <v>3.5000000000000004</v>
      </c>
      <c r="H1133" s="27"/>
    </row>
    <row r="1134" spans="1:8" x14ac:dyDescent="0.25">
      <c r="A1134" s="22" t="s">
        <v>522</v>
      </c>
      <c r="B1134" s="1">
        <v>45047</v>
      </c>
      <c r="C1134" s="2" t="s">
        <v>381</v>
      </c>
      <c r="D1134" s="7">
        <v>2860</v>
      </c>
      <c r="E1134" s="13">
        <v>12441</v>
      </c>
      <c r="F1134" s="15">
        <f>IFERROR(PRD[[#This Row],[VALOR]]/PRD[[#This Row],[KGS]],"")</f>
        <v>4.3499999999999996</v>
      </c>
      <c r="H1134" s="27"/>
    </row>
    <row r="1135" spans="1:8" x14ac:dyDescent="0.25">
      <c r="A1135" s="23" t="s">
        <v>523</v>
      </c>
      <c r="B1135" s="1">
        <v>45047</v>
      </c>
      <c r="C1135" s="3" t="s">
        <v>423</v>
      </c>
      <c r="D1135" s="8">
        <v>3</v>
      </c>
      <c r="E1135" s="12">
        <v>11.41</v>
      </c>
      <c r="F1135" s="15">
        <f>IFERROR(PRD[[#This Row],[VALOR]]/PRD[[#This Row],[KGS]],"")</f>
        <v>3.8033333333333332</v>
      </c>
      <c r="H1135" s="27"/>
    </row>
    <row r="1136" spans="1:8" x14ac:dyDescent="0.25">
      <c r="A1136" s="22" t="s">
        <v>623</v>
      </c>
      <c r="B1136" s="1">
        <v>45047</v>
      </c>
      <c r="C1136" s="2" t="s">
        <v>424</v>
      </c>
      <c r="D1136" s="7">
        <v>800</v>
      </c>
      <c r="E1136" s="13">
        <v>2224</v>
      </c>
      <c r="F1136" s="15">
        <f>IFERROR(PRD[[#This Row],[VALOR]]/PRD[[#This Row],[KGS]],"")</f>
        <v>2.78</v>
      </c>
      <c r="H1136" s="27"/>
    </row>
    <row r="1137" spans="1:8" x14ac:dyDescent="0.25">
      <c r="A1137" s="23" t="s">
        <v>624</v>
      </c>
      <c r="B1137" s="1">
        <v>45047</v>
      </c>
      <c r="C1137" s="3" t="s">
        <v>382</v>
      </c>
      <c r="D1137" s="8">
        <v>500</v>
      </c>
      <c r="E1137" s="12">
        <v>6125</v>
      </c>
      <c r="F1137" s="15">
        <f>IFERROR(PRD[[#This Row],[VALOR]]/PRD[[#This Row],[KGS]],"")</f>
        <v>12.25</v>
      </c>
      <c r="H1137" s="27"/>
    </row>
    <row r="1138" spans="1:8" x14ac:dyDescent="0.25">
      <c r="A1138" s="22" t="s">
        <v>524</v>
      </c>
      <c r="B1138" s="1">
        <v>45047</v>
      </c>
      <c r="C1138" s="2" t="s">
        <v>383</v>
      </c>
      <c r="D1138" s="7">
        <v>17</v>
      </c>
      <c r="E1138" s="13">
        <v>137.69999999999999</v>
      </c>
      <c r="F1138" s="15">
        <f>IFERROR(PRD[[#This Row],[VALOR]]/PRD[[#This Row],[KGS]],"")</f>
        <v>8.1</v>
      </c>
      <c r="H1138" s="27"/>
    </row>
    <row r="1139" spans="1:8" x14ac:dyDescent="0.25">
      <c r="A1139" s="23" t="s">
        <v>526</v>
      </c>
      <c r="B1139" s="1">
        <v>45047</v>
      </c>
      <c r="C1139" s="3" t="s">
        <v>384</v>
      </c>
      <c r="D1139" s="8">
        <v>1260</v>
      </c>
      <c r="E1139" s="12">
        <v>10458</v>
      </c>
      <c r="F1139" s="15">
        <f>IFERROR(PRD[[#This Row],[VALOR]]/PRD[[#This Row],[KGS]],"")</f>
        <v>8.3000000000000007</v>
      </c>
      <c r="H1139" s="27"/>
    </row>
    <row r="1140" spans="1:8" x14ac:dyDescent="0.25">
      <c r="A1140" s="22" t="s">
        <v>527</v>
      </c>
      <c r="B1140" s="1">
        <v>45047</v>
      </c>
      <c r="C1140" s="2" t="s">
        <v>625</v>
      </c>
      <c r="D1140" s="7">
        <v>3155</v>
      </c>
      <c r="E1140" s="13">
        <v>20827.5</v>
      </c>
      <c r="F1140" s="15">
        <f>IFERROR(PRD[[#This Row],[VALOR]]/PRD[[#This Row],[KGS]],"")</f>
        <v>6.6014263074484942</v>
      </c>
      <c r="H1140" s="27"/>
    </row>
    <row r="1141" spans="1:8" x14ac:dyDescent="0.25">
      <c r="A1141" s="23" t="s">
        <v>529</v>
      </c>
      <c r="B1141" s="1">
        <v>45047</v>
      </c>
      <c r="C1141" s="3" t="s">
        <v>386</v>
      </c>
      <c r="D1141" s="8">
        <v>1270</v>
      </c>
      <c r="E1141" s="12">
        <v>7050</v>
      </c>
      <c r="F1141" s="15">
        <f>IFERROR(PRD[[#This Row],[VALOR]]/PRD[[#This Row],[KGS]],"")</f>
        <v>5.5511811023622046</v>
      </c>
      <c r="H1141" s="27"/>
    </row>
    <row r="1142" spans="1:8" x14ac:dyDescent="0.25">
      <c r="A1142" s="22" t="s">
        <v>531</v>
      </c>
      <c r="B1142" s="1">
        <v>45047</v>
      </c>
      <c r="C1142" s="2" t="s">
        <v>532</v>
      </c>
      <c r="D1142" s="7">
        <v>50</v>
      </c>
      <c r="E1142" s="13">
        <v>300</v>
      </c>
      <c r="F1142" s="15">
        <f>IFERROR(PRD[[#This Row],[VALOR]]/PRD[[#This Row],[KGS]],"")</f>
        <v>6</v>
      </c>
      <c r="H1142" s="27"/>
    </row>
    <row r="1143" spans="1:8" x14ac:dyDescent="0.25">
      <c r="A1143" s="23" t="s">
        <v>533</v>
      </c>
      <c r="B1143" s="1">
        <v>45047</v>
      </c>
      <c r="C1143" s="3" t="s">
        <v>626</v>
      </c>
      <c r="D1143" s="8">
        <v>500</v>
      </c>
      <c r="E1143" s="12">
        <v>2600</v>
      </c>
      <c r="F1143" s="15">
        <f>IFERROR(PRD[[#This Row],[VALOR]]/PRD[[#This Row],[KGS]],"")</f>
        <v>5.2</v>
      </c>
      <c r="H1143" s="27"/>
    </row>
    <row r="1144" spans="1:8" x14ac:dyDescent="0.25">
      <c r="A1144" s="22" t="s">
        <v>627</v>
      </c>
      <c r="B1144" s="1">
        <v>45047</v>
      </c>
      <c r="C1144" s="2" t="s">
        <v>628</v>
      </c>
      <c r="D1144" s="8">
        <v>130</v>
      </c>
      <c r="E1144" s="12">
        <v>546.5</v>
      </c>
      <c r="F1144" s="15">
        <f>IFERROR(PRD[[#This Row],[VALOR]]/PRD[[#This Row],[KGS]],"")</f>
        <v>4.203846153846154</v>
      </c>
      <c r="H1144" s="27"/>
    </row>
    <row r="1145" spans="1:8" x14ac:dyDescent="0.25">
      <c r="A1145" s="21">
        <v>1010200</v>
      </c>
      <c r="B1145" s="1">
        <v>45078</v>
      </c>
      <c r="C1145" t="s">
        <v>331</v>
      </c>
      <c r="D1145">
        <v>753.7</v>
      </c>
      <c r="E1145" s="14">
        <v>226.11</v>
      </c>
      <c r="F1145" s="15">
        <f>IFERROR(PRD[[#This Row],[VALOR]]/PRD[[#This Row],[KGS]],"")</f>
        <v>0.3</v>
      </c>
      <c r="H1145" s="27"/>
    </row>
    <row r="1146" spans="1:8" x14ac:dyDescent="0.25">
      <c r="A1146" s="21">
        <v>1010300</v>
      </c>
      <c r="B1146" s="1">
        <v>45078</v>
      </c>
      <c r="C1146" t="s">
        <v>333</v>
      </c>
      <c r="D1146">
        <v>468.5</v>
      </c>
      <c r="E1146" s="14">
        <v>140.55000000000001</v>
      </c>
      <c r="F1146" s="15">
        <f>IFERROR(PRD[[#This Row],[VALOR]]/PRD[[#This Row],[KGS]],"")</f>
        <v>0.30000000000000004</v>
      </c>
      <c r="H1146" s="27"/>
    </row>
    <row r="1147" spans="1:8" x14ac:dyDescent="0.25">
      <c r="A1147" s="21">
        <v>1010500</v>
      </c>
      <c r="B1147" s="1">
        <v>45078</v>
      </c>
      <c r="C1147" t="s">
        <v>6</v>
      </c>
      <c r="D1147">
        <v>1363</v>
      </c>
      <c r="E1147" s="14">
        <v>806.97</v>
      </c>
      <c r="F1147" s="15">
        <f>IFERROR(PRD[[#This Row],[VALOR]]/PRD[[#This Row],[KGS]],"")</f>
        <v>0.59205429200293469</v>
      </c>
      <c r="H1147" s="27"/>
    </row>
    <row r="1148" spans="1:8" x14ac:dyDescent="0.25">
      <c r="A1148" s="21">
        <v>1010600</v>
      </c>
      <c r="B1148" s="1">
        <v>45078</v>
      </c>
      <c r="C1148" t="s">
        <v>334</v>
      </c>
      <c r="D1148">
        <v>3498.53</v>
      </c>
      <c r="E1148" s="14">
        <v>2933.54</v>
      </c>
      <c r="F1148" s="15">
        <f>IFERROR(PRD[[#This Row],[VALOR]]/PRD[[#This Row],[KGS]],"")</f>
        <v>0.83850645842682492</v>
      </c>
      <c r="H1148" s="27"/>
    </row>
    <row r="1149" spans="1:8" x14ac:dyDescent="0.25">
      <c r="A1149" s="21">
        <v>1010700</v>
      </c>
      <c r="B1149" s="1">
        <v>45078</v>
      </c>
      <c r="C1149" t="s">
        <v>10</v>
      </c>
      <c r="D1149">
        <v>307.36</v>
      </c>
      <c r="E1149" s="14">
        <v>649.87</v>
      </c>
      <c r="F1149" s="15">
        <f>IFERROR(PRD[[#This Row],[VALOR]]/PRD[[#This Row],[KGS]],"")</f>
        <v>2.1143610098906818</v>
      </c>
      <c r="H1149" s="27"/>
    </row>
    <row r="1150" spans="1:8" x14ac:dyDescent="0.25">
      <c r="A1150" s="21">
        <v>1010701</v>
      </c>
      <c r="B1150" s="1">
        <v>45078</v>
      </c>
      <c r="C1150" t="s">
        <v>12</v>
      </c>
      <c r="D1150">
        <v>85.96</v>
      </c>
      <c r="E1150" s="14">
        <v>648.72</v>
      </c>
      <c r="F1150" s="15">
        <f>IFERROR(PRD[[#This Row],[VALOR]]/PRD[[#This Row],[KGS]],"")</f>
        <v>7.546765937645417</v>
      </c>
      <c r="H1150" s="27"/>
    </row>
    <row r="1151" spans="1:8" x14ac:dyDescent="0.25">
      <c r="A1151" s="21">
        <v>1010732</v>
      </c>
      <c r="B1151" s="1">
        <v>45078</v>
      </c>
      <c r="C1151" t="s">
        <v>14</v>
      </c>
      <c r="D1151">
        <v>210</v>
      </c>
      <c r="E1151" s="14">
        <v>1670</v>
      </c>
      <c r="F1151" s="15">
        <f>IFERROR(PRD[[#This Row],[VALOR]]/PRD[[#This Row],[KGS]],"")</f>
        <v>7.9523809523809526</v>
      </c>
      <c r="H1151" s="27"/>
    </row>
    <row r="1152" spans="1:8" x14ac:dyDescent="0.25">
      <c r="A1152" s="21">
        <v>1010800</v>
      </c>
      <c r="B1152" s="1">
        <v>45078</v>
      </c>
      <c r="C1152" t="s">
        <v>429</v>
      </c>
      <c r="D1152">
        <v>304</v>
      </c>
      <c r="E1152" s="14">
        <v>820.8</v>
      </c>
      <c r="F1152" s="15">
        <f>IFERROR(PRD[[#This Row],[VALOR]]/PRD[[#This Row],[KGS]],"")</f>
        <v>2.6999999999999997</v>
      </c>
      <c r="H1152" s="27"/>
    </row>
    <row r="1153" spans="1:8" x14ac:dyDescent="0.25">
      <c r="A1153" s="21">
        <v>1010900</v>
      </c>
      <c r="B1153" s="1">
        <v>45078</v>
      </c>
      <c r="C1153" t="s">
        <v>336</v>
      </c>
      <c r="D1153">
        <v>149.38</v>
      </c>
      <c r="E1153" s="14">
        <v>220</v>
      </c>
      <c r="F1153" s="15">
        <f>IFERROR(PRD[[#This Row],[VALOR]]/PRD[[#This Row],[KGS]],"")</f>
        <v>1.4727540500736378</v>
      </c>
      <c r="H1153" s="27"/>
    </row>
    <row r="1154" spans="1:8" x14ac:dyDescent="0.25">
      <c r="A1154" s="21">
        <v>1010901</v>
      </c>
      <c r="B1154" s="1">
        <v>45078</v>
      </c>
      <c r="C1154" t="s">
        <v>337</v>
      </c>
      <c r="D1154">
        <v>58.1</v>
      </c>
      <c r="E1154" s="14">
        <v>60.27</v>
      </c>
      <c r="F1154" s="15">
        <f>IFERROR(PRD[[#This Row],[VALOR]]/PRD[[#This Row],[KGS]],"")</f>
        <v>1.0373493975903614</v>
      </c>
      <c r="H1154" s="27"/>
    </row>
    <row r="1155" spans="1:8" x14ac:dyDescent="0.25">
      <c r="A1155" s="21">
        <v>1010902</v>
      </c>
      <c r="B1155" s="1">
        <v>45078</v>
      </c>
      <c r="C1155" t="s">
        <v>431</v>
      </c>
      <c r="D1155">
        <v>161.18</v>
      </c>
      <c r="E1155" s="14">
        <v>220.92</v>
      </c>
      <c r="F1155" s="15">
        <f>IFERROR(PRD[[#This Row],[VALOR]]/PRD[[#This Row],[KGS]],"")</f>
        <v>1.3706415187988583</v>
      </c>
      <c r="H1155" s="27"/>
    </row>
    <row r="1156" spans="1:8" x14ac:dyDescent="0.25">
      <c r="A1156" s="21">
        <v>1010903</v>
      </c>
      <c r="B1156" s="1">
        <v>45078</v>
      </c>
      <c r="C1156" t="s">
        <v>629</v>
      </c>
      <c r="D1156">
        <v>20.5</v>
      </c>
      <c r="E1156" s="14">
        <v>20.07</v>
      </c>
      <c r="F1156" s="15">
        <f>IFERROR(PRD[[#This Row],[VALOR]]/PRD[[#This Row],[KGS]],"")</f>
        <v>0.97902439024390242</v>
      </c>
      <c r="H1156" s="27"/>
    </row>
    <row r="1157" spans="1:8" x14ac:dyDescent="0.25">
      <c r="A1157" s="21">
        <v>1011000</v>
      </c>
      <c r="B1157" s="1">
        <v>45078</v>
      </c>
      <c r="C1157" t="s">
        <v>20</v>
      </c>
      <c r="D1157">
        <v>1059.9000000000001</v>
      </c>
      <c r="E1157" s="14">
        <v>760.65</v>
      </c>
      <c r="F1157" s="15">
        <f>IFERROR(PRD[[#This Row],[VALOR]]/PRD[[#This Row],[KGS]],"")</f>
        <v>0.71766204358901775</v>
      </c>
      <c r="H1157" s="27"/>
    </row>
    <row r="1158" spans="1:8" x14ac:dyDescent="0.25">
      <c r="A1158" s="21">
        <v>1011100</v>
      </c>
      <c r="B1158" s="1">
        <v>45078</v>
      </c>
      <c r="C1158" t="s">
        <v>22</v>
      </c>
      <c r="D1158">
        <v>64</v>
      </c>
      <c r="E1158" s="14">
        <v>32.409999999999997</v>
      </c>
      <c r="F1158" s="15">
        <f>IFERROR(PRD[[#This Row],[VALOR]]/PRD[[#This Row],[KGS]],"")</f>
        <v>0.50640624999999995</v>
      </c>
      <c r="H1158" s="27"/>
    </row>
    <row r="1159" spans="1:8" x14ac:dyDescent="0.25">
      <c r="A1159" s="21">
        <v>1011200</v>
      </c>
      <c r="B1159" s="1">
        <v>45078</v>
      </c>
      <c r="C1159" t="s">
        <v>24</v>
      </c>
      <c r="D1159">
        <v>49.8</v>
      </c>
      <c r="E1159" s="14">
        <v>67.680000000000007</v>
      </c>
      <c r="F1159" s="15">
        <f>IFERROR(PRD[[#This Row],[VALOR]]/PRD[[#This Row],[KGS]],"")</f>
        <v>1.3590361445783135</v>
      </c>
      <c r="H1159" s="27"/>
    </row>
    <row r="1160" spans="1:8" x14ac:dyDescent="0.25">
      <c r="A1160" s="21">
        <v>1011201</v>
      </c>
      <c r="B1160" s="1">
        <v>45078</v>
      </c>
      <c r="C1160" t="s">
        <v>338</v>
      </c>
      <c r="D1160">
        <v>106.7</v>
      </c>
      <c r="E1160" s="14">
        <v>288.08999999999997</v>
      </c>
      <c r="F1160" s="15">
        <f>IFERROR(PRD[[#This Row],[VALOR]]/PRD[[#This Row],[KGS]],"")</f>
        <v>2.6999999999999997</v>
      </c>
      <c r="H1160" s="27"/>
    </row>
    <row r="1161" spans="1:8" x14ac:dyDescent="0.25">
      <c r="A1161" s="21">
        <v>1011202</v>
      </c>
      <c r="B1161" s="1">
        <v>45078</v>
      </c>
      <c r="C1161" t="s">
        <v>340</v>
      </c>
      <c r="D1161">
        <v>115.5</v>
      </c>
      <c r="E1161" s="14">
        <v>46.2</v>
      </c>
      <c r="F1161" s="15">
        <f>IFERROR(PRD[[#This Row],[VALOR]]/PRD[[#This Row],[KGS]],"")</f>
        <v>0.4</v>
      </c>
      <c r="H1161" s="27"/>
    </row>
    <row r="1162" spans="1:8" x14ac:dyDescent="0.25">
      <c r="A1162" s="21">
        <v>1011203</v>
      </c>
      <c r="B1162" s="1">
        <v>45078</v>
      </c>
      <c r="C1162" t="s">
        <v>342</v>
      </c>
      <c r="D1162">
        <v>423.1</v>
      </c>
      <c r="E1162" s="14">
        <v>253.86</v>
      </c>
      <c r="F1162" s="15">
        <f>IFERROR(PRD[[#This Row],[VALOR]]/PRD[[#This Row],[KGS]],"")</f>
        <v>0.6</v>
      </c>
      <c r="H1162" s="27"/>
    </row>
    <row r="1163" spans="1:8" x14ac:dyDescent="0.25">
      <c r="A1163" s="21">
        <v>1011204</v>
      </c>
      <c r="B1163" s="1">
        <v>45078</v>
      </c>
      <c r="C1163" t="s">
        <v>344</v>
      </c>
      <c r="D1163">
        <v>137.80000000000001</v>
      </c>
      <c r="E1163" s="14">
        <v>234.26</v>
      </c>
      <c r="F1163" s="15">
        <f>IFERROR(PRD[[#This Row],[VALOR]]/PRD[[#This Row],[KGS]],"")</f>
        <v>1.6999999999999997</v>
      </c>
      <c r="H1163" s="27"/>
    </row>
    <row r="1164" spans="1:8" x14ac:dyDescent="0.25">
      <c r="A1164" s="21">
        <v>1011300</v>
      </c>
      <c r="B1164" s="1">
        <v>45078</v>
      </c>
      <c r="C1164" t="s">
        <v>295</v>
      </c>
      <c r="D1164">
        <v>6197.6</v>
      </c>
      <c r="E1164" s="14">
        <v>6242.23</v>
      </c>
      <c r="F1164" s="15">
        <f>IFERROR(PRD[[#This Row],[VALOR]]/PRD[[#This Row],[KGS]],"")</f>
        <v>1.0072011746482508</v>
      </c>
      <c r="H1164" s="27"/>
    </row>
    <row r="1165" spans="1:8" x14ac:dyDescent="0.25">
      <c r="A1165" s="21">
        <v>1011500</v>
      </c>
      <c r="B1165" s="1">
        <v>45078</v>
      </c>
      <c r="C1165" t="s">
        <v>27</v>
      </c>
      <c r="D1165">
        <v>2819.61</v>
      </c>
      <c r="E1165" s="14">
        <v>2245.29</v>
      </c>
      <c r="F1165" s="15">
        <f>IFERROR(PRD[[#This Row],[VALOR]]/PRD[[#This Row],[KGS]],"")</f>
        <v>0.79631225595029098</v>
      </c>
      <c r="H1165" s="27"/>
    </row>
    <row r="1166" spans="1:8" x14ac:dyDescent="0.25">
      <c r="A1166" s="21">
        <v>1011501</v>
      </c>
      <c r="B1166" s="1">
        <v>45078</v>
      </c>
      <c r="C1166" t="s">
        <v>297</v>
      </c>
      <c r="D1166">
        <v>525</v>
      </c>
      <c r="E1166" s="14">
        <v>262.5</v>
      </c>
      <c r="F1166" s="15">
        <f>IFERROR(PRD[[#This Row],[VALOR]]/PRD[[#This Row],[KGS]],"")</f>
        <v>0.5</v>
      </c>
      <c r="H1166" s="27"/>
    </row>
    <row r="1167" spans="1:8" x14ac:dyDescent="0.25">
      <c r="A1167" s="21">
        <v>1011604</v>
      </c>
      <c r="B1167" s="1">
        <v>45078</v>
      </c>
      <c r="C1167" t="s">
        <v>29</v>
      </c>
      <c r="D1167">
        <v>20831</v>
      </c>
      <c r="E1167" s="14">
        <v>1666.48</v>
      </c>
      <c r="F1167" s="15">
        <f>IFERROR(PRD[[#This Row],[VALOR]]/PRD[[#This Row],[KGS]],"")</f>
        <v>0.08</v>
      </c>
      <c r="H1167" s="27"/>
    </row>
    <row r="1168" spans="1:8" x14ac:dyDescent="0.25">
      <c r="A1168" s="21">
        <v>1011700</v>
      </c>
      <c r="B1168" s="1">
        <v>45078</v>
      </c>
      <c r="C1168" t="s">
        <v>31</v>
      </c>
      <c r="D1168">
        <v>223.94</v>
      </c>
      <c r="E1168" s="14">
        <v>372.39</v>
      </c>
      <c r="F1168" s="15">
        <f>IFERROR(PRD[[#This Row],[VALOR]]/PRD[[#This Row],[KGS]],"")</f>
        <v>1.6629007769938375</v>
      </c>
      <c r="H1168" s="27"/>
    </row>
    <row r="1169" spans="1:8" x14ac:dyDescent="0.25">
      <c r="A1169" s="21">
        <v>1011800</v>
      </c>
      <c r="B1169" s="1">
        <v>45078</v>
      </c>
      <c r="C1169" t="s">
        <v>33</v>
      </c>
      <c r="D1169">
        <v>2151.34</v>
      </c>
      <c r="E1169" s="14">
        <v>4477.6000000000004</v>
      </c>
      <c r="F1169" s="15">
        <f>IFERROR(PRD[[#This Row],[VALOR]]/PRD[[#This Row],[KGS]],"")</f>
        <v>2.0813074641851124</v>
      </c>
      <c r="H1169" s="27"/>
    </row>
    <row r="1170" spans="1:8" x14ac:dyDescent="0.25">
      <c r="A1170" s="21">
        <v>1011801</v>
      </c>
      <c r="B1170" s="1">
        <v>45078</v>
      </c>
      <c r="C1170" t="s">
        <v>35</v>
      </c>
      <c r="D1170">
        <v>49.96</v>
      </c>
      <c r="E1170" s="14">
        <v>74.94</v>
      </c>
      <c r="F1170" s="15">
        <f>IFERROR(PRD[[#This Row],[VALOR]]/PRD[[#This Row],[KGS]],"")</f>
        <v>1.5</v>
      </c>
      <c r="H1170" s="27"/>
    </row>
    <row r="1171" spans="1:8" x14ac:dyDescent="0.25">
      <c r="A1171" s="21">
        <v>1011901</v>
      </c>
      <c r="B1171" s="1">
        <v>45078</v>
      </c>
      <c r="C1171" t="s">
        <v>37</v>
      </c>
      <c r="D1171">
        <v>34.1</v>
      </c>
      <c r="E1171" s="14">
        <v>34.1</v>
      </c>
      <c r="F1171" s="15">
        <f>IFERROR(PRD[[#This Row],[VALOR]]/PRD[[#This Row],[KGS]],"")</f>
        <v>1</v>
      </c>
      <c r="H1171" s="27"/>
    </row>
    <row r="1172" spans="1:8" x14ac:dyDescent="0.25">
      <c r="A1172" s="21">
        <v>1012100</v>
      </c>
      <c r="B1172" s="1">
        <v>45078</v>
      </c>
      <c r="C1172" t="s">
        <v>302</v>
      </c>
      <c r="D1172">
        <v>629</v>
      </c>
      <c r="E1172" s="14">
        <v>1761.2</v>
      </c>
      <c r="F1172" s="15">
        <f>IFERROR(PRD[[#This Row],[VALOR]]/PRD[[#This Row],[KGS]],"")</f>
        <v>2.8000000000000003</v>
      </c>
      <c r="H1172" s="27"/>
    </row>
    <row r="1173" spans="1:8" x14ac:dyDescent="0.25">
      <c r="A1173" s="21">
        <v>1012200</v>
      </c>
      <c r="B1173" s="1">
        <v>45078</v>
      </c>
      <c r="C1173" t="s">
        <v>39</v>
      </c>
      <c r="D1173">
        <v>335</v>
      </c>
      <c r="E1173" s="14">
        <v>557.47</v>
      </c>
      <c r="F1173" s="15">
        <f>IFERROR(PRD[[#This Row],[VALOR]]/PRD[[#This Row],[KGS]],"")</f>
        <v>1.6640895522388059</v>
      </c>
      <c r="H1173" s="27"/>
    </row>
    <row r="1174" spans="1:8" x14ac:dyDescent="0.25">
      <c r="A1174" s="21">
        <v>1012201</v>
      </c>
      <c r="B1174" s="1">
        <v>45078</v>
      </c>
      <c r="C1174" t="s">
        <v>41</v>
      </c>
      <c r="D1174">
        <v>280.60000000000002</v>
      </c>
      <c r="E1174" s="14">
        <v>521.70000000000005</v>
      </c>
      <c r="F1174" s="15">
        <f>IFERROR(PRD[[#This Row],[VALOR]]/PRD[[#This Row],[KGS]],"")</f>
        <v>1.8592302209550962</v>
      </c>
      <c r="H1174" s="27"/>
    </row>
    <row r="1175" spans="1:8" x14ac:dyDescent="0.25">
      <c r="A1175" s="21">
        <v>1012203</v>
      </c>
      <c r="B1175" s="1">
        <v>45078</v>
      </c>
      <c r="C1175" t="s">
        <v>43</v>
      </c>
      <c r="D1175">
        <v>1585.08</v>
      </c>
      <c r="E1175" s="14">
        <v>2742.94</v>
      </c>
      <c r="F1175" s="15">
        <f>IFERROR(PRD[[#This Row],[VALOR]]/PRD[[#This Row],[KGS]],"")</f>
        <v>1.7304741716506424</v>
      </c>
      <c r="H1175" s="27"/>
    </row>
    <row r="1176" spans="1:8" x14ac:dyDescent="0.25">
      <c r="A1176" s="21">
        <v>1012300</v>
      </c>
      <c r="B1176" s="1">
        <v>45078</v>
      </c>
      <c r="C1176" t="s">
        <v>45</v>
      </c>
      <c r="D1176">
        <v>224.36</v>
      </c>
      <c r="E1176" s="14">
        <v>332.97</v>
      </c>
      <c r="F1176" s="15">
        <f>IFERROR(PRD[[#This Row],[VALOR]]/PRD[[#This Row],[KGS]],"")</f>
        <v>1.484088072740239</v>
      </c>
      <c r="H1176" s="27"/>
    </row>
    <row r="1177" spans="1:8" x14ac:dyDescent="0.25">
      <c r="A1177" s="21">
        <v>1012301</v>
      </c>
      <c r="B1177" s="1">
        <v>45078</v>
      </c>
      <c r="C1177" t="s">
        <v>47</v>
      </c>
      <c r="D1177">
        <v>100</v>
      </c>
      <c r="E1177" s="14">
        <v>125</v>
      </c>
      <c r="F1177" s="15">
        <f>IFERROR(PRD[[#This Row],[VALOR]]/PRD[[#This Row],[KGS]],"")</f>
        <v>1.25</v>
      </c>
      <c r="H1177" s="27"/>
    </row>
    <row r="1178" spans="1:8" x14ac:dyDescent="0.25">
      <c r="A1178" s="21">
        <v>1012400</v>
      </c>
      <c r="B1178" s="1">
        <v>45078</v>
      </c>
      <c r="C1178" t="s">
        <v>49</v>
      </c>
      <c r="D1178">
        <v>664.66</v>
      </c>
      <c r="E1178" s="14">
        <v>1057.24</v>
      </c>
      <c r="F1178" s="15">
        <f>IFERROR(PRD[[#This Row],[VALOR]]/PRD[[#This Row],[KGS]],"")</f>
        <v>1.5906478500285861</v>
      </c>
      <c r="H1178" s="27"/>
    </row>
    <row r="1179" spans="1:8" x14ac:dyDescent="0.25">
      <c r="A1179" s="21">
        <v>1012500</v>
      </c>
      <c r="B1179" s="1">
        <v>45078</v>
      </c>
      <c r="C1179" t="s">
        <v>53</v>
      </c>
      <c r="D1179">
        <v>1172.8</v>
      </c>
      <c r="E1179" s="14">
        <v>471.47</v>
      </c>
      <c r="F1179" s="15">
        <f>IFERROR(PRD[[#This Row],[VALOR]]/PRD[[#This Row],[KGS]],"")</f>
        <v>0.40200375170532066</v>
      </c>
      <c r="H1179" s="27"/>
    </row>
    <row r="1180" spans="1:8" x14ac:dyDescent="0.25">
      <c r="A1180" s="21">
        <v>1012601</v>
      </c>
      <c r="B1180" s="1">
        <v>45078</v>
      </c>
      <c r="C1180" t="s">
        <v>55</v>
      </c>
      <c r="D1180">
        <v>133</v>
      </c>
      <c r="E1180" s="14">
        <v>133</v>
      </c>
      <c r="F1180" s="15">
        <f>IFERROR(PRD[[#This Row],[VALOR]]/PRD[[#This Row],[KGS]],"")</f>
        <v>1</v>
      </c>
      <c r="H1180" s="27"/>
    </row>
    <row r="1181" spans="1:8" x14ac:dyDescent="0.25">
      <c r="A1181" s="21">
        <v>1012700</v>
      </c>
      <c r="B1181" s="1">
        <v>45078</v>
      </c>
      <c r="C1181" t="s">
        <v>630</v>
      </c>
      <c r="D1181">
        <v>29.8</v>
      </c>
      <c r="E1181" s="14">
        <v>38.74</v>
      </c>
      <c r="F1181" s="15">
        <f>IFERROR(PRD[[#This Row],[VALOR]]/PRD[[#This Row],[KGS]],"")</f>
        <v>1.3</v>
      </c>
      <c r="H1181" s="27"/>
    </row>
    <row r="1182" spans="1:8" x14ac:dyDescent="0.25">
      <c r="A1182" s="21">
        <v>1013100</v>
      </c>
      <c r="B1182" s="1">
        <v>45078</v>
      </c>
      <c r="C1182" t="s">
        <v>57</v>
      </c>
      <c r="D1182">
        <v>100.7</v>
      </c>
      <c r="E1182" s="14">
        <v>130.91</v>
      </c>
      <c r="F1182" s="15">
        <f>IFERROR(PRD[[#This Row],[VALOR]]/PRD[[#This Row],[KGS]],"")</f>
        <v>1.2999999999999998</v>
      </c>
      <c r="H1182" s="27"/>
    </row>
    <row r="1183" spans="1:8" x14ac:dyDescent="0.25">
      <c r="A1183" s="21">
        <v>1013101</v>
      </c>
      <c r="B1183" s="1">
        <v>45078</v>
      </c>
      <c r="C1183" t="s">
        <v>346</v>
      </c>
      <c r="D1183">
        <v>4248</v>
      </c>
      <c r="E1183" s="14">
        <v>9770.4</v>
      </c>
      <c r="F1183" s="15">
        <f>IFERROR(PRD[[#This Row],[VALOR]]/PRD[[#This Row],[KGS]],"")</f>
        <v>2.2999999999999998</v>
      </c>
      <c r="H1183" s="27"/>
    </row>
    <row r="1184" spans="1:8" x14ac:dyDescent="0.25">
      <c r="A1184" s="21">
        <v>1013200</v>
      </c>
      <c r="B1184" s="1">
        <v>45078</v>
      </c>
      <c r="C1184" t="s">
        <v>59</v>
      </c>
      <c r="D1184">
        <v>1034.5999999999999</v>
      </c>
      <c r="E1184" s="14">
        <v>1063.25</v>
      </c>
      <c r="F1184" s="15">
        <f>IFERROR(PRD[[#This Row],[VALOR]]/PRD[[#This Row],[KGS]],"")</f>
        <v>1.02769186158902</v>
      </c>
      <c r="H1184" s="27"/>
    </row>
    <row r="1185" spans="1:8" x14ac:dyDescent="0.25">
      <c r="A1185" s="21">
        <v>1013201</v>
      </c>
      <c r="B1185" s="1">
        <v>45078</v>
      </c>
      <c r="C1185" t="s">
        <v>347</v>
      </c>
      <c r="D1185">
        <v>500</v>
      </c>
      <c r="E1185" s="14">
        <v>650</v>
      </c>
      <c r="F1185" s="15">
        <f>IFERROR(PRD[[#This Row],[VALOR]]/PRD[[#This Row],[KGS]],"")</f>
        <v>1.3</v>
      </c>
      <c r="H1185" s="27"/>
    </row>
    <row r="1186" spans="1:8" x14ac:dyDescent="0.25">
      <c r="A1186" s="21">
        <v>1013202</v>
      </c>
      <c r="B1186" s="1">
        <v>45078</v>
      </c>
      <c r="C1186" t="s">
        <v>443</v>
      </c>
      <c r="D1186">
        <v>87.9</v>
      </c>
      <c r="E1186" s="14">
        <v>87.9</v>
      </c>
      <c r="F1186" s="15">
        <f>IFERROR(PRD[[#This Row],[VALOR]]/PRD[[#This Row],[KGS]],"")</f>
        <v>1</v>
      </c>
      <c r="H1186" s="27"/>
    </row>
    <row r="1187" spans="1:8" x14ac:dyDescent="0.25">
      <c r="A1187" s="21">
        <v>1013300</v>
      </c>
      <c r="B1187" s="1">
        <v>45078</v>
      </c>
      <c r="C1187" t="s">
        <v>348</v>
      </c>
      <c r="D1187">
        <v>862.4</v>
      </c>
      <c r="E1187" s="14">
        <v>258.72000000000003</v>
      </c>
      <c r="F1187" s="15">
        <f>IFERROR(PRD[[#This Row],[VALOR]]/PRD[[#This Row],[KGS]],"")</f>
        <v>0.30000000000000004</v>
      </c>
      <c r="H1187" s="27"/>
    </row>
    <row r="1188" spans="1:8" x14ac:dyDescent="0.25">
      <c r="A1188" s="21">
        <v>1013500</v>
      </c>
      <c r="B1188" s="1">
        <v>45078</v>
      </c>
      <c r="C1188" t="s">
        <v>61</v>
      </c>
      <c r="D1188">
        <v>49.7</v>
      </c>
      <c r="E1188" s="14">
        <v>24.85</v>
      </c>
      <c r="F1188" s="15">
        <f>IFERROR(PRD[[#This Row],[VALOR]]/PRD[[#This Row],[KGS]],"")</f>
        <v>0.5</v>
      </c>
      <c r="H1188" s="27"/>
    </row>
    <row r="1189" spans="1:8" x14ac:dyDescent="0.25">
      <c r="A1189" s="21">
        <v>1100100</v>
      </c>
      <c r="B1189" s="1">
        <v>45078</v>
      </c>
      <c r="C1189" t="s">
        <v>63</v>
      </c>
      <c r="D1189">
        <v>64446.17</v>
      </c>
      <c r="E1189" s="14">
        <v>191798.31</v>
      </c>
      <c r="F1189" s="15">
        <f>IFERROR(PRD[[#This Row],[VALOR]]/PRD[[#This Row],[KGS]],"")</f>
        <v>2.9761009847443223</v>
      </c>
      <c r="H1189" s="27"/>
    </row>
    <row r="1190" spans="1:8" x14ac:dyDescent="0.25">
      <c r="A1190" s="21">
        <v>1100101</v>
      </c>
      <c r="B1190" s="1">
        <v>45078</v>
      </c>
      <c r="C1190" t="s">
        <v>65</v>
      </c>
      <c r="D1190">
        <v>361.4</v>
      </c>
      <c r="E1190" s="14">
        <v>1109.5</v>
      </c>
      <c r="F1190" s="15">
        <f>IFERROR(PRD[[#This Row],[VALOR]]/PRD[[#This Row],[KGS]],"")</f>
        <v>3.0700055340343111</v>
      </c>
      <c r="H1190" s="27"/>
    </row>
    <row r="1191" spans="1:8" x14ac:dyDescent="0.25">
      <c r="A1191" s="21">
        <v>1100200</v>
      </c>
      <c r="B1191" s="1">
        <v>45078</v>
      </c>
      <c r="C1191" t="s">
        <v>67</v>
      </c>
      <c r="D1191">
        <v>53201.49</v>
      </c>
      <c r="E1191" s="14">
        <v>175061.2</v>
      </c>
      <c r="F1191" s="15">
        <f>IFERROR(PRD[[#This Row],[VALOR]]/PRD[[#This Row],[KGS]],"")</f>
        <v>3.2905319005163203</v>
      </c>
      <c r="H1191" s="27"/>
    </row>
    <row r="1192" spans="1:8" x14ac:dyDescent="0.25">
      <c r="A1192" s="21">
        <v>1100300</v>
      </c>
      <c r="B1192" s="1">
        <v>45078</v>
      </c>
      <c r="C1192" t="s">
        <v>69</v>
      </c>
      <c r="D1192">
        <v>16257.16</v>
      </c>
      <c r="E1192" s="14">
        <v>53281.17</v>
      </c>
      <c r="F1192" s="15">
        <f>IFERROR(PRD[[#This Row],[VALOR]]/PRD[[#This Row],[KGS]],"")</f>
        <v>3.2773971591594102</v>
      </c>
      <c r="H1192" s="27"/>
    </row>
    <row r="1193" spans="1:8" x14ac:dyDescent="0.25">
      <c r="A1193" s="21">
        <v>1100301</v>
      </c>
      <c r="B1193" s="1">
        <v>45078</v>
      </c>
      <c r="C1193" t="s">
        <v>71</v>
      </c>
      <c r="D1193">
        <v>3758.5</v>
      </c>
      <c r="E1193" s="14">
        <v>12726.53</v>
      </c>
      <c r="F1193" s="15">
        <f>IFERROR(PRD[[#This Row],[VALOR]]/PRD[[#This Row],[KGS]],"")</f>
        <v>3.3860662498337106</v>
      </c>
      <c r="H1193" s="27"/>
    </row>
    <row r="1194" spans="1:8" x14ac:dyDescent="0.25">
      <c r="A1194" s="21">
        <v>1100400</v>
      </c>
      <c r="B1194" s="1">
        <v>45078</v>
      </c>
      <c r="C1194" t="s">
        <v>73</v>
      </c>
      <c r="D1194">
        <v>11947.11</v>
      </c>
      <c r="E1194" s="14">
        <v>36180.480000000003</v>
      </c>
      <c r="F1194" s="15">
        <f>IFERROR(PRD[[#This Row],[VALOR]]/PRD[[#This Row],[KGS]],"")</f>
        <v>3.0283876184282223</v>
      </c>
      <c r="H1194" s="27"/>
    </row>
    <row r="1195" spans="1:8" x14ac:dyDescent="0.25">
      <c r="A1195" s="21">
        <v>1100500</v>
      </c>
      <c r="B1195" s="1">
        <v>45078</v>
      </c>
      <c r="C1195" t="s">
        <v>75</v>
      </c>
      <c r="D1195">
        <v>159.82</v>
      </c>
      <c r="E1195" s="14">
        <v>516.04999999999995</v>
      </c>
      <c r="F1195" s="15">
        <f>IFERROR(PRD[[#This Row],[VALOR]]/PRD[[#This Row],[KGS]],"")</f>
        <v>3.2289450631960954</v>
      </c>
      <c r="H1195" s="27"/>
    </row>
    <row r="1196" spans="1:8" x14ac:dyDescent="0.25">
      <c r="A1196" s="21">
        <v>1100600</v>
      </c>
      <c r="B1196" s="1">
        <v>45078</v>
      </c>
      <c r="C1196" t="s">
        <v>77</v>
      </c>
      <c r="D1196">
        <v>8254.9</v>
      </c>
      <c r="E1196" s="14">
        <v>30134.560000000001</v>
      </c>
      <c r="F1196" s="15">
        <f>IFERROR(PRD[[#This Row],[VALOR]]/PRD[[#This Row],[KGS]],"")</f>
        <v>3.6505057602151454</v>
      </c>
      <c r="H1196" s="27"/>
    </row>
    <row r="1197" spans="1:8" x14ac:dyDescent="0.25">
      <c r="A1197" s="21">
        <v>1100602</v>
      </c>
      <c r="B1197" s="1">
        <v>45078</v>
      </c>
      <c r="C1197" t="s">
        <v>79</v>
      </c>
      <c r="D1197">
        <v>209.34</v>
      </c>
      <c r="E1197" s="14">
        <v>1207.3599999999999</v>
      </c>
      <c r="F1197" s="15">
        <f>IFERROR(PRD[[#This Row],[VALOR]]/PRD[[#This Row],[KGS]],"")</f>
        <v>5.767459635043469</v>
      </c>
      <c r="H1197" s="27"/>
    </row>
    <row r="1198" spans="1:8" x14ac:dyDescent="0.25">
      <c r="A1198" s="21">
        <v>1100603</v>
      </c>
      <c r="B1198" s="1">
        <v>45078</v>
      </c>
      <c r="C1198" t="s">
        <v>304</v>
      </c>
      <c r="D1198">
        <v>350</v>
      </c>
      <c r="E1198" s="14">
        <v>2049</v>
      </c>
      <c r="F1198" s="15">
        <f>IFERROR(PRD[[#This Row],[VALOR]]/PRD[[#This Row],[KGS]],"")</f>
        <v>5.8542857142857141</v>
      </c>
      <c r="H1198" s="27"/>
    </row>
    <row r="1199" spans="1:8" x14ac:dyDescent="0.25">
      <c r="A1199" s="21">
        <v>1100605</v>
      </c>
      <c r="B1199" s="1">
        <v>45078</v>
      </c>
      <c r="C1199" t="s">
        <v>631</v>
      </c>
      <c r="D1199">
        <v>917.64</v>
      </c>
      <c r="E1199" s="14">
        <v>3367.41</v>
      </c>
      <c r="F1199" s="15">
        <f>IFERROR(PRD[[#This Row],[VALOR]]/PRD[[#This Row],[KGS]],"")</f>
        <v>3.6696416895514581</v>
      </c>
      <c r="H1199" s="27"/>
    </row>
    <row r="1200" spans="1:8" x14ac:dyDescent="0.25">
      <c r="A1200" s="21">
        <v>1100608</v>
      </c>
      <c r="B1200" s="1">
        <v>45078</v>
      </c>
      <c r="C1200" t="s">
        <v>349</v>
      </c>
      <c r="D1200">
        <v>14894.46</v>
      </c>
      <c r="E1200" s="14">
        <v>53427.8</v>
      </c>
      <c r="F1200" s="15">
        <f>IFERROR(PRD[[#This Row],[VALOR]]/PRD[[#This Row],[KGS]],"")</f>
        <v>3.5870921134435223</v>
      </c>
      <c r="H1200" s="27"/>
    </row>
    <row r="1201" spans="1:8" x14ac:dyDescent="0.25">
      <c r="A1201" s="21">
        <v>1100700</v>
      </c>
      <c r="B1201" s="1">
        <v>45078</v>
      </c>
      <c r="C1201" t="s">
        <v>83</v>
      </c>
      <c r="D1201">
        <v>16281.93</v>
      </c>
      <c r="E1201" s="14">
        <v>58571.47</v>
      </c>
      <c r="F1201" s="15">
        <f>IFERROR(PRD[[#This Row],[VALOR]]/PRD[[#This Row],[KGS]],"")</f>
        <v>3.5973296777470485</v>
      </c>
      <c r="H1201" s="27"/>
    </row>
    <row r="1202" spans="1:8" x14ac:dyDescent="0.25">
      <c r="A1202" s="21">
        <v>1100703</v>
      </c>
      <c r="B1202" s="1">
        <v>45078</v>
      </c>
      <c r="C1202" t="s">
        <v>86</v>
      </c>
      <c r="D1202">
        <v>2474.2800000000002</v>
      </c>
      <c r="E1202" s="14">
        <v>10455.81</v>
      </c>
      <c r="F1202" s="15">
        <f>IFERROR(PRD[[#This Row],[VALOR]]/PRD[[#This Row],[KGS]],"")</f>
        <v>4.2257990203210625</v>
      </c>
      <c r="H1202" s="27"/>
    </row>
    <row r="1203" spans="1:8" x14ac:dyDescent="0.25">
      <c r="A1203" s="21">
        <v>1100705</v>
      </c>
      <c r="B1203" s="1">
        <v>45078</v>
      </c>
      <c r="C1203" t="s">
        <v>88</v>
      </c>
      <c r="D1203">
        <v>161.34</v>
      </c>
      <c r="E1203" s="14">
        <v>254.92</v>
      </c>
      <c r="F1203" s="15">
        <f>IFERROR(PRD[[#This Row],[VALOR]]/PRD[[#This Row],[KGS]],"")</f>
        <v>1.5800173546547662</v>
      </c>
      <c r="H1203" s="27"/>
    </row>
    <row r="1204" spans="1:8" x14ac:dyDescent="0.25">
      <c r="A1204" s="21">
        <v>1100800</v>
      </c>
      <c r="B1204" s="1">
        <v>45078</v>
      </c>
      <c r="C1204" t="s">
        <v>90</v>
      </c>
      <c r="D1204">
        <v>12289.47</v>
      </c>
      <c r="E1204" s="14">
        <v>41514.22</v>
      </c>
      <c r="F1204" s="15">
        <f>IFERROR(PRD[[#This Row],[VALOR]]/PRD[[#This Row],[KGS]],"")</f>
        <v>3.3780317621508495</v>
      </c>
      <c r="H1204" s="27"/>
    </row>
    <row r="1205" spans="1:8" x14ac:dyDescent="0.25">
      <c r="A1205" s="21">
        <v>1100802</v>
      </c>
      <c r="B1205" s="1">
        <v>45078</v>
      </c>
      <c r="C1205" t="s">
        <v>306</v>
      </c>
      <c r="D1205">
        <v>391.2</v>
      </c>
      <c r="E1205" s="14">
        <v>1339.75</v>
      </c>
      <c r="F1205" s="15">
        <f>IFERROR(PRD[[#This Row],[VALOR]]/PRD[[#This Row],[KGS]],"")</f>
        <v>3.4247188139059306</v>
      </c>
      <c r="H1205" s="27"/>
    </row>
    <row r="1206" spans="1:8" x14ac:dyDescent="0.25">
      <c r="A1206" s="21">
        <v>1100900</v>
      </c>
      <c r="B1206" s="1">
        <v>45078</v>
      </c>
      <c r="C1206" t="s">
        <v>94</v>
      </c>
      <c r="D1206">
        <v>652.17999999999995</v>
      </c>
      <c r="E1206" s="14">
        <v>4100.29</v>
      </c>
      <c r="F1206" s="15">
        <f>IFERROR(PRD[[#This Row],[VALOR]]/PRD[[#This Row],[KGS]],"")</f>
        <v>6.2870526541752279</v>
      </c>
      <c r="H1206" s="27"/>
    </row>
    <row r="1207" spans="1:8" x14ac:dyDescent="0.25">
      <c r="A1207" s="21">
        <v>1101000</v>
      </c>
      <c r="B1207" s="1">
        <v>45078</v>
      </c>
      <c r="C1207" t="s">
        <v>96</v>
      </c>
      <c r="D1207">
        <v>11221.26</v>
      </c>
      <c r="E1207" s="14">
        <v>43685.5</v>
      </c>
      <c r="F1207" s="15">
        <f>IFERROR(PRD[[#This Row],[VALOR]]/PRD[[#This Row],[KGS]],"")</f>
        <v>3.8931011312455106</v>
      </c>
      <c r="H1207" s="27"/>
    </row>
    <row r="1208" spans="1:8" x14ac:dyDescent="0.25">
      <c r="A1208" s="21">
        <v>1101001</v>
      </c>
      <c r="B1208" s="1">
        <v>45078</v>
      </c>
      <c r="C1208" t="s">
        <v>98</v>
      </c>
      <c r="D1208">
        <v>101.6</v>
      </c>
      <c r="E1208" s="14">
        <v>457.2</v>
      </c>
      <c r="F1208" s="15">
        <f>IFERROR(PRD[[#This Row],[VALOR]]/PRD[[#This Row],[KGS]],"")</f>
        <v>4.5</v>
      </c>
      <c r="H1208" s="27"/>
    </row>
    <row r="1209" spans="1:8" x14ac:dyDescent="0.25">
      <c r="A1209" s="21">
        <v>1101100</v>
      </c>
      <c r="B1209" s="1">
        <v>45078</v>
      </c>
      <c r="C1209" t="s">
        <v>100</v>
      </c>
      <c r="D1209">
        <v>47629.73</v>
      </c>
      <c r="E1209" s="14">
        <v>181472.22</v>
      </c>
      <c r="F1209" s="15">
        <f>IFERROR(PRD[[#This Row],[VALOR]]/PRD[[#This Row],[KGS]],"")</f>
        <v>3.810061908811996</v>
      </c>
      <c r="H1209" s="27"/>
    </row>
    <row r="1210" spans="1:8" x14ac:dyDescent="0.25">
      <c r="A1210" s="21">
        <v>1101105</v>
      </c>
      <c r="B1210" s="1">
        <v>45078</v>
      </c>
      <c r="C1210" t="s">
        <v>542</v>
      </c>
      <c r="D1210">
        <v>381.44</v>
      </c>
      <c r="E1210" s="14">
        <v>1869.06</v>
      </c>
      <c r="F1210" s="15">
        <f>IFERROR(PRD[[#This Row],[VALOR]]/PRD[[#This Row],[KGS]],"")</f>
        <v>4.9000104865771812</v>
      </c>
      <c r="H1210" s="27"/>
    </row>
    <row r="1211" spans="1:8" x14ac:dyDescent="0.25">
      <c r="A1211" s="21">
        <v>1101300</v>
      </c>
      <c r="B1211" s="1">
        <v>45078</v>
      </c>
      <c r="C1211" t="s">
        <v>102</v>
      </c>
      <c r="D1211">
        <v>181.5</v>
      </c>
      <c r="E1211" s="14">
        <v>792.8</v>
      </c>
      <c r="F1211" s="15">
        <f>IFERROR(PRD[[#This Row],[VALOR]]/PRD[[#This Row],[KGS]],"")</f>
        <v>4.3680440771349858</v>
      </c>
      <c r="H1211" s="27"/>
    </row>
    <row r="1212" spans="1:8" x14ac:dyDescent="0.25">
      <c r="A1212" s="21">
        <v>1101400</v>
      </c>
      <c r="B1212" s="1">
        <v>45078</v>
      </c>
      <c r="C1212" t="s">
        <v>104</v>
      </c>
      <c r="D1212">
        <v>9036.68</v>
      </c>
      <c r="E1212" s="14">
        <v>27316.880000000001</v>
      </c>
      <c r="F1212" s="15">
        <f>IFERROR(PRD[[#This Row],[VALOR]]/PRD[[#This Row],[KGS]],"")</f>
        <v>3.0228889370875143</v>
      </c>
      <c r="H1212" s="27"/>
    </row>
    <row r="1213" spans="1:8" x14ac:dyDescent="0.25">
      <c r="A1213" s="21">
        <v>1101500</v>
      </c>
      <c r="B1213" s="1">
        <v>45078</v>
      </c>
      <c r="C1213" t="s">
        <v>106</v>
      </c>
      <c r="D1213">
        <v>942.2</v>
      </c>
      <c r="E1213" s="14">
        <v>2809.34</v>
      </c>
      <c r="F1213" s="15">
        <f>IFERROR(PRD[[#This Row],[VALOR]]/PRD[[#This Row],[KGS]],"")</f>
        <v>2.9816811717257483</v>
      </c>
      <c r="H1213" s="27"/>
    </row>
    <row r="1214" spans="1:8" x14ac:dyDescent="0.25">
      <c r="A1214" s="21">
        <v>1101600</v>
      </c>
      <c r="B1214" s="1">
        <v>45078</v>
      </c>
      <c r="C1214" t="s">
        <v>108</v>
      </c>
      <c r="D1214">
        <v>43.7</v>
      </c>
      <c r="E1214" s="14">
        <v>135.13</v>
      </c>
      <c r="F1214" s="15">
        <f>IFERROR(PRD[[#This Row],[VALOR]]/PRD[[#This Row],[KGS]],"")</f>
        <v>3.092219679633867</v>
      </c>
      <c r="H1214" s="27"/>
    </row>
    <row r="1215" spans="1:8" x14ac:dyDescent="0.25">
      <c r="A1215" s="21">
        <v>1101700</v>
      </c>
      <c r="B1215" s="1">
        <v>45078</v>
      </c>
      <c r="C1215" t="s">
        <v>110</v>
      </c>
      <c r="D1215">
        <v>5790</v>
      </c>
      <c r="E1215" s="14">
        <v>17063.509999999998</v>
      </c>
      <c r="F1215" s="15">
        <f>IFERROR(PRD[[#This Row],[VALOR]]/PRD[[#This Row],[KGS]],"")</f>
        <v>2.9470656303972365</v>
      </c>
      <c r="H1215" s="27"/>
    </row>
    <row r="1216" spans="1:8" x14ac:dyDescent="0.25">
      <c r="A1216" s="21">
        <v>1101801</v>
      </c>
      <c r="B1216" s="1">
        <v>45078</v>
      </c>
      <c r="C1216" t="s">
        <v>112</v>
      </c>
      <c r="D1216">
        <v>1632.58</v>
      </c>
      <c r="E1216" s="14">
        <v>4680.17</v>
      </c>
      <c r="F1216" s="15">
        <f>IFERROR(PRD[[#This Row],[VALOR]]/PRD[[#This Row],[KGS]],"")</f>
        <v>2.8667324112754047</v>
      </c>
      <c r="H1216" s="27"/>
    </row>
    <row r="1217" spans="1:8" x14ac:dyDescent="0.25">
      <c r="A1217" s="21">
        <v>1101900</v>
      </c>
      <c r="B1217" s="1">
        <v>45078</v>
      </c>
      <c r="C1217" t="s">
        <v>114</v>
      </c>
      <c r="D1217">
        <v>10209.34</v>
      </c>
      <c r="E1217" s="14">
        <v>35691.49</v>
      </c>
      <c r="F1217" s="15">
        <f>IFERROR(PRD[[#This Row],[VALOR]]/PRD[[#This Row],[KGS]],"")</f>
        <v>3.4959644795843805</v>
      </c>
      <c r="H1217" s="27"/>
    </row>
    <row r="1218" spans="1:8" x14ac:dyDescent="0.25">
      <c r="A1218" s="21">
        <v>1101901</v>
      </c>
      <c r="B1218" s="1">
        <v>45078</v>
      </c>
      <c r="C1218" t="s">
        <v>448</v>
      </c>
      <c r="D1218">
        <v>1562.7</v>
      </c>
      <c r="E1218" s="14">
        <v>5349.62</v>
      </c>
      <c r="F1218" s="15">
        <f>IFERROR(PRD[[#This Row],[VALOR]]/PRD[[#This Row],[KGS]],"")</f>
        <v>3.4233186152172519</v>
      </c>
      <c r="H1218" s="27"/>
    </row>
    <row r="1219" spans="1:8" x14ac:dyDescent="0.25">
      <c r="A1219" s="21">
        <v>1101906</v>
      </c>
      <c r="B1219" s="1">
        <v>45078</v>
      </c>
      <c r="C1219" t="s">
        <v>632</v>
      </c>
      <c r="D1219">
        <v>321.87</v>
      </c>
      <c r="E1219" s="14">
        <v>1094.3599999999999</v>
      </c>
      <c r="F1219" s="15">
        <f>IFERROR(PRD[[#This Row],[VALOR]]/PRD[[#This Row],[KGS]],"")</f>
        <v>3.4000062136887559</v>
      </c>
      <c r="H1219" s="27"/>
    </row>
    <row r="1220" spans="1:8" x14ac:dyDescent="0.25">
      <c r="A1220" s="21">
        <v>1102000</v>
      </c>
      <c r="B1220" s="1">
        <v>45078</v>
      </c>
      <c r="C1220" t="s">
        <v>115</v>
      </c>
      <c r="D1220">
        <v>9.6999999999999993</v>
      </c>
      <c r="E1220" s="14">
        <v>41.71</v>
      </c>
      <c r="F1220" s="15">
        <f>IFERROR(PRD[[#This Row],[VALOR]]/PRD[[#This Row],[KGS]],"")</f>
        <v>4.3000000000000007</v>
      </c>
      <c r="H1220" s="27"/>
    </row>
    <row r="1221" spans="1:8" x14ac:dyDescent="0.25">
      <c r="A1221" s="21">
        <v>1102200</v>
      </c>
      <c r="B1221" s="1">
        <v>45078</v>
      </c>
      <c r="C1221" t="s">
        <v>117</v>
      </c>
      <c r="D1221">
        <v>36.4</v>
      </c>
      <c r="E1221" s="14">
        <v>135.41</v>
      </c>
      <c r="F1221" s="15">
        <f>IFERROR(PRD[[#This Row],[VALOR]]/PRD[[#This Row],[KGS]],"")</f>
        <v>3.7200549450549452</v>
      </c>
      <c r="H1221" s="27"/>
    </row>
    <row r="1222" spans="1:8" x14ac:dyDescent="0.25">
      <c r="A1222" s="21">
        <v>1102300</v>
      </c>
      <c r="B1222" s="1">
        <v>45078</v>
      </c>
      <c r="C1222" t="s">
        <v>119</v>
      </c>
      <c r="D1222">
        <v>7583</v>
      </c>
      <c r="E1222" s="14">
        <v>24515.54</v>
      </c>
      <c r="F1222" s="15">
        <f>IFERROR(PRD[[#This Row],[VALOR]]/PRD[[#This Row],[KGS]],"")</f>
        <v>3.2329605696953712</v>
      </c>
      <c r="H1222" s="27"/>
    </row>
    <row r="1223" spans="1:8" x14ac:dyDescent="0.25">
      <c r="A1223" s="21">
        <v>1103000</v>
      </c>
      <c r="B1223" s="1">
        <v>45078</v>
      </c>
      <c r="C1223" t="s">
        <v>121</v>
      </c>
      <c r="D1223">
        <v>179</v>
      </c>
      <c r="E1223" s="14">
        <v>363.48</v>
      </c>
      <c r="F1223" s="15">
        <f>IFERROR(PRD[[#This Row],[VALOR]]/PRD[[#This Row],[KGS]],"")</f>
        <v>2.030614525139665</v>
      </c>
      <c r="H1223" s="27"/>
    </row>
    <row r="1224" spans="1:8" x14ac:dyDescent="0.25">
      <c r="A1224" s="21">
        <v>1103001</v>
      </c>
      <c r="B1224" s="1">
        <v>45078</v>
      </c>
      <c r="C1224" t="s">
        <v>123</v>
      </c>
      <c r="D1224">
        <v>24.49</v>
      </c>
      <c r="E1224" s="14">
        <v>46.53</v>
      </c>
      <c r="F1224" s="15">
        <f>IFERROR(PRD[[#This Row],[VALOR]]/PRD[[#This Row],[KGS]],"")</f>
        <v>1.8999591670069418</v>
      </c>
      <c r="H1224" s="27"/>
    </row>
    <row r="1225" spans="1:8" x14ac:dyDescent="0.25">
      <c r="A1225" s="21">
        <v>2010900</v>
      </c>
      <c r="B1225" s="1">
        <v>45078</v>
      </c>
      <c r="C1225" t="s">
        <v>125</v>
      </c>
      <c r="D1225">
        <v>20</v>
      </c>
      <c r="E1225" s="14">
        <v>30</v>
      </c>
      <c r="F1225" s="15">
        <f>IFERROR(PRD[[#This Row],[VALOR]]/PRD[[#This Row],[KGS]],"")</f>
        <v>1.5</v>
      </c>
      <c r="H1225" s="27"/>
    </row>
    <row r="1226" spans="1:8" x14ac:dyDescent="0.25">
      <c r="A1226" s="21">
        <v>2010902</v>
      </c>
      <c r="B1226" s="1">
        <v>45078</v>
      </c>
      <c r="C1226" t="s">
        <v>127</v>
      </c>
      <c r="D1226">
        <v>22.5</v>
      </c>
      <c r="E1226" s="14">
        <v>21</v>
      </c>
      <c r="F1226" s="15">
        <f>IFERROR(PRD[[#This Row],[VALOR]]/PRD[[#This Row],[KGS]],"")</f>
        <v>0.93333333333333335</v>
      </c>
      <c r="H1226" s="27"/>
    </row>
    <row r="1227" spans="1:8" x14ac:dyDescent="0.25">
      <c r="A1227" s="21">
        <v>2010904</v>
      </c>
      <c r="B1227" s="1">
        <v>45078</v>
      </c>
      <c r="C1227" t="s">
        <v>633</v>
      </c>
      <c r="D1227">
        <v>340</v>
      </c>
      <c r="E1227" s="14">
        <v>356</v>
      </c>
      <c r="F1227" s="15">
        <f>IFERROR(PRD[[#This Row],[VALOR]]/PRD[[#This Row],[KGS]],"")</f>
        <v>1.0470588235294118</v>
      </c>
      <c r="H1227" s="27"/>
    </row>
    <row r="1228" spans="1:8" x14ac:dyDescent="0.25">
      <c r="A1228" s="21">
        <v>2010905</v>
      </c>
      <c r="B1228" s="1">
        <v>45078</v>
      </c>
      <c r="C1228" t="s">
        <v>544</v>
      </c>
      <c r="D1228">
        <v>70</v>
      </c>
      <c r="E1228" s="14">
        <v>60.75</v>
      </c>
      <c r="F1228" s="15">
        <f>IFERROR(PRD[[#This Row],[VALOR]]/PRD[[#This Row],[KGS]],"")</f>
        <v>0.86785714285714288</v>
      </c>
      <c r="H1228" s="27"/>
    </row>
    <row r="1229" spans="1:8" x14ac:dyDescent="0.25">
      <c r="A1229" s="21">
        <v>2011700</v>
      </c>
      <c r="B1229" s="1">
        <v>45078</v>
      </c>
      <c r="C1229" t="s">
        <v>129</v>
      </c>
      <c r="D1229">
        <v>24.7</v>
      </c>
      <c r="E1229" s="14">
        <v>71.290000000000006</v>
      </c>
      <c r="F1229" s="15">
        <f>IFERROR(PRD[[#This Row],[VALOR]]/PRD[[#This Row],[KGS]],"")</f>
        <v>2.8862348178137656</v>
      </c>
      <c r="H1229" s="27"/>
    </row>
    <row r="1230" spans="1:8" x14ac:dyDescent="0.25">
      <c r="A1230" s="21">
        <v>2090002</v>
      </c>
      <c r="B1230" s="1">
        <v>45078</v>
      </c>
      <c r="C1230" t="s">
        <v>451</v>
      </c>
      <c r="D1230">
        <v>178.71</v>
      </c>
      <c r="E1230" s="14">
        <v>761.52</v>
      </c>
      <c r="F1230" s="15">
        <f>IFERROR(PRD[[#This Row],[VALOR]]/PRD[[#This Row],[KGS]],"")</f>
        <v>4.261205304683565</v>
      </c>
      <c r="H1230" s="27"/>
    </row>
    <row r="1231" spans="1:8" x14ac:dyDescent="0.25">
      <c r="A1231" s="21">
        <v>2101100</v>
      </c>
      <c r="B1231" s="1">
        <v>45078</v>
      </c>
      <c r="C1231" t="s">
        <v>453</v>
      </c>
      <c r="D1231">
        <v>100</v>
      </c>
      <c r="E1231" s="14">
        <v>450</v>
      </c>
      <c r="F1231" s="15">
        <f>IFERROR(PRD[[#This Row],[VALOR]]/PRD[[#This Row],[KGS]],"")</f>
        <v>4.5</v>
      </c>
      <c r="H1231" s="27"/>
    </row>
    <row r="1232" spans="1:8" x14ac:dyDescent="0.25">
      <c r="A1232" s="21">
        <v>3020103</v>
      </c>
      <c r="B1232" s="1">
        <v>45078</v>
      </c>
      <c r="C1232" t="s">
        <v>131</v>
      </c>
      <c r="D1232">
        <v>8281.69</v>
      </c>
      <c r="E1232" s="14">
        <v>27021.040000000001</v>
      </c>
      <c r="F1232" s="15">
        <f>IFERROR(PRD[[#This Row],[VALOR]]/PRD[[#This Row],[KGS]],"")</f>
        <v>3.2627446813391954</v>
      </c>
      <c r="H1232" s="27"/>
    </row>
    <row r="1233" spans="1:8" x14ac:dyDescent="0.25">
      <c r="A1233" s="21">
        <v>3020212</v>
      </c>
      <c r="B1233" s="1">
        <v>45078</v>
      </c>
      <c r="C1233" t="s">
        <v>133</v>
      </c>
      <c r="D1233">
        <v>2647.84</v>
      </c>
      <c r="E1233" s="14">
        <v>9866.57</v>
      </c>
      <c r="F1233" s="15">
        <f>IFERROR(PRD[[#This Row],[VALOR]]/PRD[[#This Row],[KGS]],"")</f>
        <v>3.7262712248474226</v>
      </c>
      <c r="H1233" s="27"/>
    </row>
    <row r="1234" spans="1:8" x14ac:dyDescent="0.25">
      <c r="A1234" s="21">
        <v>3020214</v>
      </c>
      <c r="B1234" s="1">
        <v>45078</v>
      </c>
      <c r="C1234" t="s">
        <v>135</v>
      </c>
      <c r="D1234">
        <v>1328.66</v>
      </c>
      <c r="E1234" s="14">
        <v>4743.53</v>
      </c>
      <c r="F1234" s="15">
        <f>IFERROR(PRD[[#This Row],[VALOR]]/PRD[[#This Row],[KGS]],"")</f>
        <v>3.5701609140035822</v>
      </c>
      <c r="H1234" s="27"/>
    </row>
    <row r="1235" spans="1:8" x14ac:dyDescent="0.25">
      <c r="A1235" s="21">
        <v>3020315</v>
      </c>
      <c r="B1235" s="1">
        <v>45078</v>
      </c>
      <c r="C1235" t="s">
        <v>137</v>
      </c>
      <c r="D1235">
        <v>4114.6099999999997</v>
      </c>
      <c r="E1235" s="14">
        <v>14985.47</v>
      </c>
      <c r="F1235" s="15">
        <f>IFERROR(PRD[[#This Row],[VALOR]]/PRD[[#This Row],[KGS]],"")</f>
        <v>3.6420146745378057</v>
      </c>
      <c r="H1235" s="27"/>
    </row>
    <row r="1236" spans="1:8" x14ac:dyDescent="0.25">
      <c r="A1236" s="21">
        <v>3020316</v>
      </c>
      <c r="B1236" s="1">
        <v>45078</v>
      </c>
      <c r="C1236" t="s">
        <v>139</v>
      </c>
      <c r="D1236">
        <v>95.96</v>
      </c>
      <c r="E1236" s="14">
        <v>305.16000000000003</v>
      </c>
      <c r="F1236" s="15">
        <f>IFERROR(PRD[[#This Row],[VALOR]]/PRD[[#This Row],[KGS]],"")</f>
        <v>3.1800750312630268</v>
      </c>
      <c r="H1236" s="27"/>
    </row>
    <row r="1237" spans="1:8" x14ac:dyDescent="0.25">
      <c r="A1237" s="21">
        <v>3020402</v>
      </c>
      <c r="B1237" s="1">
        <v>45078</v>
      </c>
      <c r="C1237" t="s">
        <v>141</v>
      </c>
      <c r="D1237">
        <v>2167.62</v>
      </c>
      <c r="E1237" s="14">
        <v>7682.54</v>
      </c>
      <c r="F1237" s="15">
        <f>IFERROR(PRD[[#This Row],[VALOR]]/PRD[[#This Row],[KGS]],"")</f>
        <v>3.5442282318856626</v>
      </c>
      <c r="H1237" s="27"/>
    </row>
    <row r="1238" spans="1:8" x14ac:dyDescent="0.25">
      <c r="A1238" s="21">
        <v>3020504</v>
      </c>
      <c r="B1238" s="1">
        <v>45078</v>
      </c>
      <c r="C1238" t="s">
        <v>143</v>
      </c>
      <c r="D1238">
        <v>564.16</v>
      </c>
      <c r="E1238" s="14">
        <v>2135.06</v>
      </c>
      <c r="F1238" s="15">
        <f>IFERROR(PRD[[#This Row],[VALOR]]/PRD[[#This Row],[KGS]],"")</f>
        <v>3.7844937606352809</v>
      </c>
      <c r="H1238" s="27"/>
    </row>
    <row r="1239" spans="1:8" x14ac:dyDescent="0.25">
      <c r="A1239" s="21">
        <v>3020622</v>
      </c>
      <c r="B1239" s="1">
        <v>45078</v>
      </c>
      <c r="C1239" t="s">
        <v>145</v>
      </c>
      <c r="D1239">
        <v>5660.88</v>
      </c>
      <c r="E1239" s="14">
        <v>20902.91</v>
      </c>
      <c r="F1239" s="15">
        <f>IFERROR(PRD[[#This Row],[VALOR]]/PRD[[#This Row],[KGS]],"")</f>
        <v>3.6925195375983946</v>
      </c>
      <c r="H1239" s="27"/>
    </row>
    <row r="1240" spans="1:8" x14ac:dyDescent="0.25">
      <c r="A1240" s="21">
        <v>3020623</v>
      </c>
      <c r="B1240" s="1">
        <v>45078</v>
      </c>
      <c r="C1240" t="s">
        <v>147</v>
      </c>
      <c r="D1240">
        <v>876.12</v>
      </c>
      <c r="E1240" s="14">
        <v>3410.33</v>
      </c>
      <c r="F1240" s="15">
        <f>IFERROR(PRD[[#This Row],[VALOR]]/PRD[[#This Row],[KGS]],"")</f>
        <v>3.892537551933525</v>
      </c>
      <c r="H1240" s="27"/>
    </row>
    <row r="1241" spans="1:8" x14ac:dyDescent="0.25">
      <c r="A1241" s="21">
        <v>3020725</v>
      </c>
      <c r="B1241" s="1">
        <v>45078</v>
      </c>
      <c r="C1241" t="s">
        <v>149</v>
      </c>
      <c r="D1241">
        <v>335.71</v>
      </c>
      <c r="E1241" s="14">
        <v>1287.1600000000001</v>
      </c>
      <c r="F1241" s="15">
        <f>IFERROR(PRD[[#This Row],[VALOR]]/PRD[[#This Row],[KGS]],"")</f>
        <v>3.834142563522088</v>
      </c>
      <c r="H1241" s="27"/>
    </row>
    <row r="1242" spans="1:8" x14ac:dyDescent="0.25">
      <c r="A1242" s="21">
        <v>3020823</v>
      </c>
      <c r="B1242" s="1">
        <v>45078</v>
      </c>
      <c r="C1242" t="s">
        <v>151</v>
      </c>
      <c r="D1242">
        <v>1259.3900000000001</v>
      </c>
      <c r="E1242" s="14">
        <v>4805.47</v>
      </c>
      <c r="F1242" s="15">
        <f>IFERROR(PRD[[#This Row],[VALOR]]/PRD[[#This Row],[KGS]],"")</f>
        <v>3.8157123686864276</v>
      </c>
      <c r="H1242" s="27"/>
    </row>
    <row r="1243" spans="1:8" x14ac:dyDescent="0.25">
      <c r="A1243" s="21">
        <v>3020824</v>
      </c>
      <c r="B1243" s="1">
        <v>45078</v>
      </c>
      <c r="C1243" t="s">
        <v>153</v>
      </c>
      <c r="D1243">
        <v>2300.6999999999998</v>
      </c>
      <c r="E1243" s="14">
        <v>8550.35</v>
      </c>
      <c r="F1243" s="15">
        <f>IFERROR(PRD[[#This Row],[VALOR]]/PRD[[#This Row],[KGS]],"")</f>
        <v>3.7164123962272355</v>
      </c>
      <c r="H1243" s="27"/>
    </row>
    <row r="1244" spans="1:8" x14ac:dyDescent="0.25">
      <c r="A1244" s="21">
        <v>3020825</v>
      </c>
      <c r="B1244" s="1">
        <v>45078</v>
      </c>
      <c r="C1244" t="s">
        <v>455</v>
      </c>
      <c r="D1244">
        <v>294.42</v>
      </c>
      <c r="E1244" s="14">
        <v>1207.1500000000001</v>
      </c>
      <c r="F1244" s="15">
        <f>IFERROR(PRD[[#This Row],[VALOR]]/PRD[[#This Row],[KGS]],"")</f>
        <v>4.1000951022349028</v>
      </c>
      <c r="H1244" s="27"/>
    </row>
    <row r="1245" spans="1:8" x14ac:dyDescent="0.25">
      <c r="A1245" s="21">
        <v>3020924</v>
      </c>
      <c r="B1245" s="1">
        <v>45078</v>
      </c>
      <c r="C1245" t="s">
        <v>155</v>
      </c>
      <c r="D1245">
        <v>1392.3</v>
      </c>
      <c r="E1245" s="14">
        <v>5423.31</v>
      </c>
      <c r="F1245" s="15">
        <f>IFERROR(PRD[[#This Row],[VALOR]]/PRD[[#This Row],[KGS]],"")</f>
        <v>3.895216548157725</v>
      </c>
      <c r="H1245" s="27"/>
    </row>
    <row r="1246" spans="1:8" x14ac:dyDescent="0.25">
      <c r="A1246" s="21">
        <v>3020925</v>
      </c>
      <c r="B1246" s="1">
        <v>45078</v>
      </c>
      <c r="C1246" t="s">
        <v>157</v>
      </c>
      <c r="D1246">
        <v>2514.4499999999998</v>
      </c>
      <c r="E1246" s="14">
        <v>9622.91</v>
      </c>
      <c r="F1246" s="15">
        <f>IFERROR(PRD[[#This Row],[VALOR]]/PRD[[#This Row],[KGS]],"")</f>
        <v>3.8270436874863294</v>
      </c>
      <c r="H1246" s="27"/>
    </row>
    <row r="1247" spans="1:8" x14ac:dyDescent="0.25">
      <c r="A1247" s="21">
        <v>3021435</v>
      </c>
      <c r="B1247" s="1">
        <v>45078</v>
      </c>
      <c r="C1247" t="s">
        <v>159</v>
      </c>
      <c r="D1247">
        <v>22.7</v>
      </c>
      <c r="E1247" s="14">
        <v>69.239999999999995</v>
      </c>
      <c r="F1247" s="15">
        <f>IFERROR(PRD[[#This Row],[VALOR]]/PRD[[#This Row],[KGS]],"")</f>
        <v>3.0502202643171805</v>
      </c>
      <c r="H1247" s="27"/>
    </row>
    <row r="1248" spans="1:8" x14ac:dyDescent="0.25">
      <c r="A1248" s="21">
        <v>3021436</v>
      </c>
      <c r="B1248" s="1">
        <v>45078</v>
      </c>
      <c r="C1248" t="s">
        <v>546</v>
      </c>
      <c r="D1248">
        <v>860.45</v>
      </c>
      <c r="E1248" s="14">
        <v>2755.8</v>
      </c>
      <c r="F1248" s="15">
        <f>IFERROR(PRD[[#This Row],[VALOR]]/PRD[[#This Row],[KGS]],"")</f>
        <v>3.2027427508861641</v>
      </c>
      <c r="H1248" s="27"/>
    </row>
    <row r="1249" spans="1:8" x14ac:dyDescent="0.25">
      <c r="A1249" s="21">
        <v>3021537</v>
      </c>
      <c r="B1249" s="1">
        <v>45078</v>
      </c>
      <c r="C1249" t="s">
        <v>161</v>
      </c>
      <c r="D1249">
        <v>7.64</v>
      </c>
      <c r="E1249" s="14">
        <v>25.21</v>
      </c>
      <c r="F1249" s="15">
        <f>IFERROR(PRD[[#This Row],[VALOR]]/PRD[[#This Row],[KGS]],"")</f>
        <v>3.2997382198952883</v>
      </c>
      <c r="H1249" s="27"/>
    </row>
    <row r="1250" spans="1:8" x14ac:dyDescent="0.25">
      <c r="A1250" s="21">
        <v>3021538</v>
      </c>
      <c r="B1250" s="1">
        <v>45078</v>
      </c>
      <c r="C1250" t="s">
        <v>548</v>
      </c>
      <c r="D1250">
        <v>122.08</v>
      </c>
      <c r="E1250" s="14">
        <v>371.12</v>
      </c>
      <c r="F1250" s="15">
        <f>IFERROR(PRD[[#This Row],[VALOR]]/PRD[[#This Row],[KGS]],"")</f>
        <v>3.0399737876802098</v>
      </c>
      <c r="H1250" s="27"/>
    </row>
    <row r="1251" spans="1:8" x14ac:dyDescent="0.25">
      <c r="A1251" s="21">
        <v>3021639</v>
      </c>
      <c r="B1251" s="1">
        <v>45078</v>
      </c>
      <c r="C1251" t="s">
        <v>457</v>
      </c>
      <c r="D1251">
        <v>53.97</v>
      </c>
      <c r="E1251" s="14">
        <v>163.63999999999999</v>
      </c>
      <c r="F1251" s="15">
        <f>IFERROR(PRD[[#This Row],[VALOR]]/PRD[[#This Row],[KGS]],"")</f>
        <v>3.0320548452844172</v>
      </c>
      <c r="H1251" s="27"/>
    </row>
    <row r="1252" spans="1:8" x14ac:dyDescent="0.25">
      <c r="A1252" s="21">
        <v>3021740</v>
      </c>
      <c r="B1252" s="1">
        <v>45078</v>
      </c>
      <c r="C1252" t="s">
        <v>635</v>
      </c>
      <c r="D1252">
        <v>890.52</v>
      </c>
      <c r="E1252" s="14">
        <v>2518.7600000000002</v>
      </c>
      <c r="F1252" s="15">
        <f>IFERROR(PRD[[#This Row],[VALOR]]/PRD[[#This Row],[KGS]],"")</f>
        <v>2.8284148587342228</v>
      </c>
      <c r="H1252" s="27"/>
    </row>
    <row r="1253" spans="1:8" x14ac:dyDescent="0.25">
      <c r="A1253" s="21">
        <v>3021760</v>
      </c>
      <c r="B1253" s="1">
        <v>45078</v>
      </c>
      <c r="C1253" t="s">
        <v>167</v>
      </c>
      <c r="D1253">
        <v>872.46</v>
      </c>
      <c r="E1253" s="14">
        <v>2224.17</v>
      </c>
      <c r="F1253" s="15">
        <f>IFERROR(PRD[[#This Row],[VALOR]]/PRD[[#This Row],[KGS]],"")</f>
        <v>2.5493088508355686</v>
      </c>
      <c r="H1253" s="27"/>
    </row>
    <row r="1254" spans="1:8" x14ac:dyDescent="0.25">
      <c r="A1254" s="21">
        <v>3021811</v>
      </c>
      <c r="B1254" s="1">
        <v>45078</v>
      </c>
      <c r="C1254" t="s">
        <v>169</v>
      </c>
      <c r="D1254">
        <v>769.23</v>
      </c>
      <c r="E1254" s="14">
        <v>1950.71</v>
      </c>
      <c r="F1254" s="15">
        <f>IFERROR(PRD[[#This Row],[VALOR]]/PRD[[#This Row],[KGS]],"")</f>
        <v>2.5359255359255357</v>
      </c>
      <c r="H1254" s="27"/>
    </row>
    <row r="1255" spans="1:8" x14ac:dyDescent="0.25">
      <c r="A1255" s="21">
        <v>3021812</v>
      </c>
      <c r="B1255" s="1">
        <v>45078</v>
      </c>
      <c r="C1255" t="s">
        <v>171</v>
      </c>
      <c r="D1255">
        <v>1545.39</v>
      </c>
      <c r="E1255" s="14">
        <v>3623.5</v>
      </c>
      <c r="F1255" s="15">
        <f>IFERROR(PRD[[#This Row],[VALOR]]/PRD[[#This Row],[KGS]],"")</f>
        <v>2.344715573415125</v>
      </c>
      <c r="H1255" s="27"/>
    </row>
    <row r="1256" spans="1:8" x14ac:dyDescent="0.25">
      <c r="A1256" s="21">
        <v>3022100</v>
      </c>
      <c r="B1256" s="1">
        <v>45078</v>
      </c>
      <c r="C1256" t="s">
        <v>173</v>
      </c>
      <c r="D1256">
        <v>334.8</v>
      </c>
      <c r="E1256" s="14">
        <v>1257.55</v>
      </c>
      <c r="F1256" s="15">
        <f>IFERROR(PRD[[#This Row],[VALOR]]/PRD[[#This Row],[KGS]],"")</f>
        <v>3.7561230585424132</v>
      </c>
      <c r="H1256" s="27"/>
    </row>
    <row r="1257" spans="1:8" x14ac:dyDescent="0.25">
      <c r="A1257" s="21">
        <v>3022208</v>
      </c>
      <c r="B1257" s="1">
        <v>45078</v>
      </c>
      <c r="C1257" t="s">
        <v>307</v>
      </c>
      <c r="D1257">
        <v>825.53</v>
      </c>
      <c r="E1257" s="14">
        <v>3102.6</v>
      </c>
      <c r="F1257" s="15">
        <f>IFERROR(PRD[[#This Row],[VALOR]]/PRD[[#This Row],[KGS]],"")</f>
        <v>3.7583128414473128</v>
      </c>
      <c r="H1257" s="27"/>
    </row>
    <row r="1258" spans="1:8" x14ac:dyDescent="0.25">
      <c r="A1258" s="21">
        <v>3022311</v>
      </c>
      <c r="B1258" s="1">
        <v>45078</v>
      </c>
      <c r="C1258" t="s">
        <v>176</v>
      </c>
      <c r="D1258">
        <v>2280.0100000000002</v>
      </c>
      <c r="E1258" s="14">
        <v>5455.54</v>
      </c>
      <c r="F1258" s="15">
        <f>IFERROR(PRD[[#This Row],[VALOR]]/PRD[[#This Row],[KGS]],"")</f>
        <v>2.3927702071482142</v>
      </c>
      <c r="H1258" s="27"/>
    </row>
    <row r="1259" spans="1:8" x14ac:dyDescent="0.25">
      <c r="A1259" s="21">
        <v>3022411</v>
      </c>
      <c r="B1259" s="1">
        <v>45078</v>
      </c>
      <c r="C1259" t="s">
        <v>178</v>
      </c>
      <c r="D1259">
        <v>41.4</v>
      </c>
      <c r="E1259" s="14">
        <v>119.2</v>
      </c>
      <c r="F1259" s="15">
        <f>IFERROR(PRD[[#This Row],[VALOR]]/PRD[[#This Row],[KGS]],"")</f>
        <v>2.879227053140097</v>
      </c>
      <c r="H1259" s="27"/>
    </row>
    <row r="1260" spans="1:8" x14ac:dyDescent="0.25">
      <c r="A1260" s="21">
        <v>3022511</v>
      </c>
      <c r="B1260" s="1">
        <v>45078</v>
      </c>
      <c r="C1260" t="s">
        <v>180</v>
      </c>
      <c r="D1260">
        <v>3.4</v>
      </c>
      <c r="E1260" s="14">
        <v>9.02</v>
      </c>
      <c r="F1260" s="15">
        <f>IFERROR(PRD[[#This Row],[VALOR]]/PRD[[#This Row],[KGS]],"")</f>
        <v>2.6529411764705881</v>
      </c>
      <c r="H1260" s="27"/>
    </row>
    <row r="1261" spans="1:8" x14ac:dyDescent="0.25">
      <c r="A1261" s="21">
        <v>3022601</v>
      </c>
      <c r="B1261" s="1">
        <v>45078</v>
      </c>
      <c r="C1261" t="s">
        <v>182</v>
      </c>
      <c r="D1261">
        <v>235.5</v>
      </c>
      <c r="E1261" s="14">
        <v>973.17</v>
      </c>
      <c r="F1261" s="15">
        <f>IFERROR(PRD[[#This Row],[VALOR]]/PRD[[#This Row],[KGS]],"")</f>
        <v>4.1323566878980893</v>
      </c>
      <c r="H1261" s="27"/>
    </row>
    <row r="1262" spans="1:8" x14ac:dyDescent="0.25">
      <c r="A1262" s="21">
        <v>3022703</v>
      </c>
      <c r="B1262" s="1">
        <v>45078</v>
      </c>
      <c r="C1262" t="s">
        <v>309</v>
      </c>
      <c r="D1262">
        <v>625</v>
      </c>
      <c r="E1262" s="14">
        <v>1712.25</v>
      </c>
      <c r="F1262" s="15">
        <f>IFERROR(PRD[[#This Row],[VALOR]]/PRD[[#This Row],[KGS]],"")</f>
        <v>2.7395999999999998</v>
      </c>
      <c r="H1262" s="27"/>
    </row>
    <row r="1263" spans="1:8" x14ac:dyDescent="0.25">
      <c r="A1263" s="21">
        <v>3022805</v>
      </c>
      <c r="B1263" s="1">
        <v>45078</v>
      </c>
      <c r="C1263" t="s">
        <v>186</v>
      </c>
      <c r="D1263">
        <v>2175</v>
      </c>
      <c r="E1263" s="14">
        <v>4543.8999999999996</v>
      </c>
      <c r="F1263" s="15">
        <f>IFERROR(PRD[[#This Row],[VALOR]]/PRD[[#This Row],[KGS]],"")</f>
        <v>2.0891494252873564</v>
      </c>
      <c r="H1263" s="27"/>
    </row>
    <row r="1264" spans="1:8" x14ac:dyDescent="0.25">
      <c r="A1264" s="21">
        <v>3022906</v>
      </c>
      <c r="B1264" s="1">
        <v>45078</v>
      </c>
      <c r="C1264" t="s">
        <v>188</v>
      </c>
      <c r="D1264">
        <v>4640</v>
      </c>
      <c r="E1264" s="14">
        <v>9532.94</v>
      </c>
      <c r="F1264" s="15">
        <f>IFERROR(PRD[[#This Row],[VALOR]]/PRD[[#This Row],[KGS]],"")</f>
        <v>2.0545129310344827</v>
      </c>
      <c r="H1264" s="27"/>
    </row>
    <row r="1265" spans="1:8" x14ac:dyDescent="0.25">
      <c r="A1265" s="21">
        <v>3023007</v>
      </c>
      <c r="B1265" s="1">
        <v>45078</v>
      </c>
      <c r="C1265" t="s">
        <v>190</v>
      </c>
      <c r="D1265">
        <v>820</v>
      </c>
      <c r="E1265" s="14">
        <v>1645</v>
      </c>
      <c r="F1265" s="15">
        <f>IFERROR(PRD[[#This Row],[VALOR]]/PRD[[#This Row],[KGS]],"")</f>
        <v>2.0060975609756095</v>
      </c>
      <c r="H1265" s="27"/>
    </row>
    <row r="1266" spans="1:8" x14ac:dyDescent="0.25">
      <c r="A1266" s="21">
        <v>3024001</v>
      </c>
      <c r="B1266" s="1">
        <v>45078</v>
      </c>
      <c r="C1266" t="s">
        <v>192</v>
      </c>
      <c r="D1266">
        <v>1118.54</v>
      </c>
      <c r="E1266" s="14">
        <v>4255.01</v>
      </c>
      <c r="F1266" s="15">
        <f>IFERROR(PRD[[#This Row],[VALOR]]/PRD[[#This Row],[KGS]],"")</f>
        <v>3.8040749548518606</v>
      </c>
      <c r="H1266" s="27"/>
    </row>
    <row r="1267" spans="1:8" x14ac:dyDescent="0.25">
      <c r="A1267" s="21">
        <v>3024003</v>
      </c>
      <c r="B1267" s="1">
        <v>45078</v>
      </c>
      <c r="C1267" t="s">
        <v>196</v>
      </c>
      <c r="D1267">
        <v>342.34</v>
      </c>
      <c r="E1267" s="14">
        <v>958.54</v>
      </c>
      <c r="F1267" s="15">
        <f>IFERROR(PRD[[#This Row],[VALOR]]/PRD[[#This Row],[KGS]],"")</f>
        <v>2.7999649471285859</v>
      </c>
      <c r="H1267" s="27"/>
    </row>
    <row r="1268" spans="1:8" x14ac:dyDescent="0.25">
      <c r="A1268" s="21">
        <v>3024004</v>
      </c>
      <c r="B1268" s="1">
        <v>45078</v>
      </c>
      <c r="C1268" t="s">
        <v>198</v>
      </c>
      <c r="D1268">
        <v>1195.94</v>
      </c>
      <c r="E1268" s="14">
        <v>1181.3699999999999</v>
      </c>
      <c r="F1268" s="15">
        <f>IFERROR(PRD[[#This Row],[VALOR]]/PRD[[#This Row],[KGS]],"")</f>
        <v>0.98781711457096499</v>
      </c>
      <c r="H1268" s="27"/>
    </row>
    <row r="1269" spans="1:8" x14ac:dyDescent="0.25">
      <c r="A1269" s="21">
        <v>4030100</v>
      </c>
      <c r="B1269" s="1">
        <v>45078</v>
      </c>
      <c r="C1269" t="s">
        <v>200</v>
      </c>
      <c r="D1269">
        <v>399.81</v>
      </c>
      <c r="E1269" s="14">
        <v>2444.1</v>
      </c>
      <c r="F1269" s="15">
        <f>IFERROR(PRD[[#This Row],[VALOR]]/PRD[[#This Row],[KGS]],"")</f>
        <v>6.1131537480303137</v>
      </c>
      <c r="H1269" s="27"/>
    </row>
    <row r="1270" spans="1:8" x14ac:dyDescent="0.25">
      <c r="A1270" s="21">
        <v>4030211</v>
      </c>
      <c r="B1270" s="1">
        <v>45078</v>
      </c>
      <c r="C1270" t="s">
        <v>202</v>
      </c>
      <c r="D1270">
        <v>299.24</v>
      </c>
      <c r="E1270" s="14">
        <v>1870.97</v>
      </c>
      <c r="F1270" s="15">
        <f>IFERROR(PRD[[#This Row],[VALOR]]/PRD[[#This Row],[KGS]],"")</f>
        <v>6.2524060954417857</v>
      </c>
      <c r="H1270" s="27"/>
    </row>
    <row r="1271" spans="1:8" x14ac:dyDescent="0.25">
      <c r="A1271" s="21">
        <v>4030311</v>
      </c>
      <c r="B1271" s="1">
        <v>45078</v>
      </c>
      <c r="C1271" t="s">
        <v>311</v>
      </c>
      <c r="D1271">
        <v>286.92</v>
      </c>
      <c r="E1271" s="14">
        <v>1932.79</v>
      </c>
      <c r="F1271" s="15">
        <f>IFERROR(PRD[[#This Row],[VALOR]]/PRD[[#This Row],[KGS]],"")</f>
        <v>6.7363376550954968</v>
      </c>
      <c r="H1271" s="27"/>
    </row>
    <row r="1272" spans="1:8" x14ac:dyDescent="0.25">
      <c r="A1272" s="21">
        <v>4030401</v>
      </c>
      <c r="B1272" s="1">
        <v>45078</v>
      </c>
      <c r="C1272" t="s">
        <v>461</v>
      </c>
      <c r="D1272">
        <v>383.83</v>
      </c>
      <c r="E1272" s="14">
        <v>1962.19</v>
      </c>
      <c r="F1272" s="15">
        <f>IFERROR(PRD[[#This Row],[VALOR]]/PRD[[#This Row],[KGS]],"")</f>
        <v>5.1121329755360447</v>
      </c>
      <c r="H1272" s="27"/>
    </row>
    <row r="1273" spans="1:8" x14ac:dyDescent="0.25">
      <c r="A1273" s="21">
        <v>4030511</v>
      </c>
      <c r="B1273" s="1">
        <v>45078</v>
      </c>
      <c r="C1273" t="s">
        <v>208</v>
      </c>
      <c r="D1273">
        <v>11.2</v>
      </c>
      <c r="E1273" s="14">
        <v>68.88</v>
      </c>
      <c r="F1273" s="15">
        <f>IFERROR(PRD[[#This Row],[VALOR]]/PRD[[#This Row],[KGS]],"")</f>
        <v>6.15</v>
      </c>
      <c r="H1273" s="27"/>
    </row>
    <row r="1274" spans="1:8" x14ac:dyDescent="0.25">
      <c r="A1274" s="21">
        <v>4030532</v>
      </c>
      <c r="B1274" s="1">
        <v>45078</v>
      </c>
      <c r="C1274" t="s">
        <v>210</v>
      </c>
      <c r="D1274">
        <v>1.91</v>
      </c>
      <c r="E1274" s="14">
        <v>10.41</v>
      </c>
      <c r="F1274" s="15">
        <f>IFERROR(PRD[[#This Row],[VALOR]]/PRD[[#This Row],[KGS]],"")</f>
        <v>5.4502617801047126</v>
      </c>
      <c r="H1274" s="27"/>
    </row>
    <row r="1275" spans="1:8" x14ac:dyDescent="0.25">
      <c r="A1275" s="21">
        <v>4030600</v>
      </c>
      <c r="B1275" s="1">
        <v>45078</v>
      </c>
      <c r="C1275" t="s">
        <v>212</v>
      </c>
      <c r="D1275">
        <v>577.6</v>
      </c>
      <c r="E1275" s="14">
        <v>1824.42</v>
      </c>
      <c r="F1275" s="15">
        <f>IFERROR(PRD[[#This Row],[VALOR]]/PRD[[#This Row],[KGS]],"")</f>
        <v>3.1586218836565099</v>
      </c>
      <c r="H1275" s="27"/>
    </row>
    <row r="1276" spans="1:8" x14ac:dyDescent="0.25">
      <c r="A1276" s="21">
        <v>4030711</v>
      </c>
      <c r="B1276" s="1">
        <v>45078</v>
      </c>
      <c r="C1276" t="s">
        <v>214</v>
      </c>
      <c r="D1276">
        <v>946.65</v>
      </c>
      <c r="E1276" s="14">
        <v>3160.75</v>
      </c>
      <c r="F1276" s="15">
        <f>IFERROR(PRD[[#This Row],[VALOR]]/PRD[[#This Row],[KGS]],"")</f>
        <v>3.3388792056198175</v>
      </c>
      <c r="H1276" s="27"/>
    </row>
    <row r="1277" spans="1:8" x14ac:dyDescent="0.25">
      <c r="A1277" s="21">
        <v>4030811</v>
      </c>
      <c r="B1277" s="1">
        <v>45078</v>
      </c>
      <c r="C1277" t="s">
        <v>216</v>
      </c>
      <c r="D1277">
        <v>1580.87</v>
      </c>
      <c r="E1277" s="14">
        <v>4983.18</v>
      </c>
      <c r="F1277" s="15">
        <f>IFERROR(PRD[[#This Row],[VALOR]]/PRD[[#This Row],[KGS]],"")</f>
        <v>3.152175700721755</v>
      </c>
      <c r="H1277" s="27"/>
    </row>
    <row r="1278" spans="1:8" x14ac:dyDescent="0.25">
      <c r="A1278" s="21">
        <v>4030813</v>
      </c>
      <c r="B1278" s="1">
        <v>45078</v>
      </c>
      <c r="C1278" t="s">
        <v>218</v>
      </c>
      <c r="D1278">
        <v>2126.9899999999998</v>
      </c>
      <c r="E1278" s="14">
        <v>6362.91</v>
      </c>
      <c r="F1278" s="15">
        <f>IFERROR(PRD[[#This Row],[VALOR]]/PRD[[#This Row],[KGS]],"")</f>
        <v>2.9915091279225576</v>
      </c>
      <c r="H1278" s="27"/>
    </row>
    <row r="1279" spans="1:8" x14ac:dyDescent="0.25">
      <c r="A1279" s="21">
        <v>4030900</v>
      </c>
      <c r="B1279" s="1">
        <v>45078</v>
      </c>
      <c r="C1279" t="s">
        <v>220</v>
      </c>
      <c r="D1279">
        <v>5952.58</v>
      </c>
      <c r="E1279" s="14">
        <v>17967.18</v>
      </c>
      <c r="F1279" s="15">
        <f>IFERROR(PRD[[#This Row],[VALOR]]/PRD[[#This Row],[KGS]],"")</f>
        <v>3.0183853051953942</v>
      </c>
      <c r="H1279" s="27"/>
    </row>
    <row r="1280" spans="1:8" x14ac:dyDescent="0.25">
      <c r="A1280" s="21">
        <v>4030910</v>
      </c>
      <c r="B1280" s="1">
        <v>45078</v>
      </c>
      <c r="C1280" t="s">
        <v>222</v>
      </c>
      <c r="D1280">
        <v>78.739999999999995</v>
      </c>
      <c r="E1280" s="14">
        <v>254.91</v>
      </c>
      <c r="F1280" s="15">
        <f>IFERROR(PRD[[#This Row],[VALOR]]/PRD[[#This Row],[KGS]],"")</f>
        <v>3.2373634747269495</v>
      </c>
      <c r="H1280" s="27"/>
    </row>
    <row r="1281" spans="1:8" x14ac:dyDescent="0.25">
      <c r="A1281" s="21">
        <v>4031012</v>
      </c>
      <c r="B1281" s="1">
        <v>45078</v>
      </c>
      <c r="C1281" t="s">
        <v>224</v>
      </c>
      <c r="D1281">
        <v>1285.8800000000001</v>
      </c>
      <c r="E1281" s="14">
        <v>3979.06</v>
      </c>
      <c r="F1281" s="15">
        <f>IFERROR(PRD[[#This Row],[VALOR]]/PRD[[#This Row],[KGS]],"")</f>
        <v>3.0944256073661616</v>
      </c>
      <c r="H1281" s="27"/>
    </row>
    <row r="1282" spans="1:8" x14ac:dyDescent="0.25">
      <c r="A1282" s="21">
        <v>4031017</v>
      </c>
      <c r="B1282" s="1">
        <v>45078</v>
      </c>
      <c r="C1282" t="s">
        <v>226</v>
      </c>
      <c r="D1282">
        <v>1033</v>
      </c>
      <c r="E1282" s="14">
        <v>678.28</v>
      </c>
      <c r="F1282" s="15">
        <f>IFERROR(PRD[[#This Row],[VALOR]]/PRD[[#This Row],[KGS]],"")</f>
        <v>0.65661181026137461</v>
      </c>
      <c r="H1282" s="27"/>
    </row>
    <row r="1283" spans="1:8" x14ac:dyDescent="0.25">
      <c r="A1283" s="21">
        <v>4031102</v>
      </c>
      <c r="B1283" s="1">
        <v>45078</v>
      </c>
      <c r="C1283" t="s">
        <v>228</v>
      </c>
      <c r="D1283">
        <v>9241.69</v>
      </c>
      <c r="E1283" s="14">
        <v>26790.71</v>
      </c>
      <c r="F1283" s="15">
        <f>IFERROR(PRD[[#This Row],[VALOR]]/PRD[[#This Row],[KGS]],"")</f>
        <v>2.8988972796101145</v>
      </c>
      <c r="H1283" s="27"/>
    </row>
    <row r="1284" spans="1:8" x14ac:dyDescent="0.25">
      <c r="A1284" s="21">
        <v>4031200</v>
      </c>
      <c r="B1284" s="1">
        <v>45078</v>
      </c>
      <c r="C1284" t="s">
        <v>230</v>
      </c>
      <c r="D1284">
        <v>1365.77</v>
      </c>
      <c r="E1284" s="14">
        <v>4094.22</v>
      </c>
      <c r="F1284" s="15">
        <f>IFERROR(PRD[[#This Row],[VALOR]]/PRD[[#This Row],[KGS]],"")</f>
        <v>2.9977375399957533</v>
      </c>
      <c r="H1284" s="27"/>
    </row>
    <row r="1285" spans="1:8" x14ac:dyDescent="0.25">
      <c r="A1285" s="21">
        <v>4031304</v>
      </c>
      <c r="B1285" s="1">
        <v>45078</v>
      </c>
      <c r="C1285" t="s">
        <v>232</v>
      </c>
      <c r="D1285">
        <v>1427.45</v>
      </c>
      <c r="E1285" s="14">
        <v>4140.6400000000003</v>
      </c>
      <c r="F1285" s="15">
        <f>IFERROR(PRD[[#This Row],[VALOR]]/PRD[[#This Row],[KGS]],"")</f>
        <v>2.9007250691793058</v>
      </c>
      <c r="H1285" s="27"/>
    </row>
    <row r="1286" spans="1:8" x14ac:dyDescent="0.25">
      <c r="A1286" s="21">
        <v>4031411</v>
      </c>
      <c r="B1286" s="1">
        <v>45078</v>
      </c>
      <c r="C1286" t="s">
        <v>234</v>
      </c>
      <c r="D1286">
        <v>48.65</v>
      </c>
      <c r="E1286" s="14">
        <v>149.30000000000001</v>
      </c>
      <c r="F1286" s="15">
        <f>IFERROR(PRD[[#This Row],[VALOR]]/PRD[[#This Row],[KGS]],"")</f>
        <v>3.0688591983556015</v>
      </c>
      <c r="H1286" s="27"/>
    </row>
    <row r="1287" spans="1:8" x14ac:dyDescent="0.25">
      <c r="A1287" s="21">
        <v>4031500</v>
      </c>
      <c r="B1287" s="1">
        <v>45078</v>
      </c>
      <c r="C1287" t="s">
        <v>236</v>
      </c>
      <c r="D1287">
        <v>6537.89</v>
      </c>
      <c r="E1287" s="14">
        <v>18511.36</v>
      </c>
      <c r="F1287" s="15">
        <f>IFERROR(PRD[[#This Row],[VALOR]]/PRD[[#This Row],[KGS]],"")</f>
        <v>2.8313966738504317</v>
      </c>
      <c r="H1287" s="27"/>
    </row>
    <row r="1288" spans="1:8" x14ac:dyDescent="0.25">
      <c r="A1288" s="21">
        <v>4031604</v>
      </c>
      <c r="B1288" s="1">
        <v>45078</v>
      </c>
      <c r="C1288" t="s">
        <v>238</v>
      </c>
      <c r="D1288">
        <v>5832.09</v>
      </c>
      <c r="E1288" s="14">
        <v>15852.03</v>
      </c>
      <c r="F1288" s="15">
        <f>IFERROR(PRD[[#This Row],[VALOR]]/PRD[[#This Row],[KGS]],"")</f>
        <v>2.7180701943900045</v>
      </c>
      <c r="H1288" s="27"/>
    </row>
    <row r="1289" spans="1:8" x14ac:dyDescent="0.25">
      <c r="A1289" s="21">
        <v>4031605</v>
      </c>
      <c r="B1289" s="1">
        <v>45078</v>
      </c>
      <c r="C1289" t="s">
        <v>240</v>
      </c>
      <c r="D1289">
        <v>79.86</v>
      </c>
      <c r="E1289" s="14">
        <v>257.91000000000003</v>
      </c>
      <c r="F1289" s="15">
        <f>IFERROR(PRD[[#This Row],[VALOR]]/PRD[[#This Row],[KGS]],"")</f>
        <v>3.2295266716754325</v>
      </c>
      <c r="H1289" s="27"/>
    </row>
    <row r="1290" spans="1:8" x14ac:dyDescent="0.25">
      <c r="A1290" s="21">
        <v>4031700</v>
      </c>
      <c r="B1290" s="1">
        <v>45078</v>
      </c>
      <c r="C1290" t="s">
        <v>242</v>
      </c>
      <c r="D1290">
        <v>615.73</v>
      </c>
      <c r="E1290" s="14">
        <v>1836.55</v>
      </c>
      <c r="F1290" s="15">
        <f>IFERROR(PRD[[#This Row],[VALOR]]/PRD[[#This Row],[KGS]],"")</f>
        <v>2.982719698569178</v>
      </c>
      <c r="H1290" s="27"/>
    </row>
    <row r="1291" spans="1:8" x14ac:dyDescent="0.25">
      <c r="A1291" s="21">
        <v>4031812</v>
      </c>
      <c r="B1291" s="1">
        <v>45078</v>
      </c>
      <c r="C1291" t="s">
        <v>244</v>
      </c>
      <c r="D1291">
        <v>520.41999999999996</v>
      </c>
      <c r="E1291" s="14">
        <v>1593.75</v>
      </c>
      <c r="F1291" s="15">
        <f>IFERROR(PRD[[#This Row],[VALOR]]/PRD[[#This Row],[KGS]],"")</f>
        <v>3.0624303447215713</v>
      </c>
      <c r="H1291" s="27"/>
    </row>
    <row r="1292" spans="1:8" x14ac:dyDescent="0.25">
      <c r="A1292" s="21">
        <v>4031813</v>
      </c>
      <c r="B1292" s="1">
        <v>45078</v>
      </c>
      <c r="C1292" t="s">
        <v>636</v>
      </c>
      <c r="D1292">
        <v>70</v>
      </c>
      <c r="E1292" s="14">
        <v>46.9</v>
      </c>
      <c r="F1292" s="15">
        <f>IFERROR(PRD[[#This Row],[VALOR]]/PRD[[#This Row],[KGS]],"")</f>
        <v>0.66999999999999993</v>
      </c>
      <c r="H1292" s="27"/>
    </row>
    <row r="1293" spans="1:8" x14ac:dyDescent="0.25">
      <c r="A1293" s="21">
        <v>4031904</v>
      </c>
      <c r="B1293" s="1">
        <v>45078</v>
      </c>
      <c r="C1293" t="s">
        <v>246</v>
      </c>
      <c r="D1293">
        <v>908.96</v>
      </c>
      <c r="E1293" s="14">
        <v>2672.45</v>
      </c>
      <c r="F1293" s="15">
        <f>IFERROR(PRD[[#This Row],[VALOR]]/PRD[[#This Row],[KGS]],"")</f>
        <v>2.9401183770462942</v>
      </c>
      <c r="H1293" s="27"/>
    </row>
    <row r="1294" spans="1:8" x14ac:dyDescent="0.25">
      <c r="A1294" s="21">
        <v>4032111</v>
      </c>
      <c r="B1294" s="1">
        <v>45078</v>
      </c>
      <c r="C1294" t="s">
        <v>314</v>
      </c>
      <c r="D1294">
        <v>17.79</v>
      </c>
      <c r="E1294" s="14">
        <v>92.43</v>
      </c>
      <c r="F1294" s="15">
        <f>IFERROR(PRD[[#This Row],[VALOR]]/PRD[[#This Row],[KGS]],"")</f>
        <v>5.1956155143338965</v>
      </c>
      <c r="H1294" s="27"/>
    </row>
    <row r="1295" spans="1:8" x14ac:dyDescent="0.25">
      <c r="A1295" s="21">
        <v>4032204</v>
      </c>
      <c r="B1295" s="1">
        <v>45078</v>
      </c>
      <c r="C1295" t="s">
        <v>315</v>
      </c>
      <c r="D1295">
        <v>88.43</v>
      </c>
      <c r="E1295" s="14">
        <v>450.5</v>
      </c>
      <c r="F1295" s="15">
        <f>IFERROR(PRD[[#This Row],[VALOR]]/PRD[[#This Row],[KGS]],"")</f>
        <v>5.0944249689019561</v>
      </c>
      <c r="H1295" s="27"/>
    </row>
    <row r="1296" spans="1:8" x14ac:dyDescent="0.25">
      <c r="A1296" s="21">
        <v>4032205</v>
      </c>
      <c r="B1296" s="1">
        <v>45078</v>
      </c>
      <c r="C1296" t="s">
        <v>553</v>
      </c>
      <c r="D1296">
        <v>79.400000000000006</v>
      </c>
      <c r="E1296" s="14">
        <v>403.02</v>
      </c>
      <c r="F1296" s="15">
        <f>IFERROR(PRD[[#This Row],[VALOR]]/PRD[[#This Row],[KGS]],"")</f>
        <v>5.0758186397984879</v>
      </c>
      <c r="H1296" s="27"/>
    </row>
    <row r="1297" spans="1:8" x14ac:dyDescent="0.25">
      <c r="A1297" s="21">
        <v>4032206</v>
      </c>
      <c r="B1297" s="1">
        <v>45078</v>
      </c>
      <c r="C1297" t="s">
        <v>637</v>
      </c>
      <c r="D1297">
        <v>36.93</v>
      </c>
      <c r="E1297" s="14">
        <v>188.95</v>
      </c>
      <c r="F1297" s="15">
        <f>IFERROR(PRD[[#This Row],[VALOR]]/PRD[[#This Row],[KGS]],"")</f>
        <v>5.1164365014893036</v>
      </c>
      <c r="H1297" s="27"/>
    </row>
    <row r="1298" spans="1:8" x14ac:dyDescent="0.25">
      <c r="A1298" s="21">
        <v>4032312</v>
      </c>
      <c r="B1298" s="1">
        <v>45078</v>
      </c>
      <c r="C1298" t="s">
        <v>252</v>
      </c>
      <c r="D1298">
        <v>503.31</v>
      </c>
      <c r="E1298" s="14">
        <v>2122.5700000000002</v>
      </c>
      <c r="F1298" s="15">
        <f>IFERROR(PRD[[#This Row],[VALOR]]/PRD[[#This Row],[KGS]],"")</f>
        <v>4.2172219904233978</v>
      </c>
      <c r="H1298" s="27"/>
    </row>
    <row r="1299" spans="1:8" x14ac:dyDescent="0.25">
      <c r="A1299" s="21">
        <v>4032404</v>
      </c>
      <c r="B1299" s="1">
        <v>45078</v>
      </c>
      <c r="C1299" t="s">
        <v>254</v>
      </c>
      <c r="D1299">
        <v>138.99</v>
      </c>
      <c r="E1299" s="14">
        <v>610.79</v>
      </c>
      <c r="F1299" s="15">
        <f>IFERROR(PRD[[#This Row],[VALOR]]/PRD[[#This Row],[KGS]],"")</f>
        <v>4.3944888121447585</v>
      </c>
      <c r="H1299" s="27"/>
    </row>
    <row r="1300" spans="1:8" x14ac:dyDescent="0.25">
      <c r="A1300" s="21">
        <v>4032500</v>
      </c>
      <c r="B1300" s="1">
        <v>45078</v>
      </c>
      <c r="C1300" t="s">
        <v>256</v>
      </c>
      <c r="D1300">
        <v>303.82</v>
      </c>
      <c r="E1300" s="14">
        <v>826.56</v>
      </c>
      <c r="F1300" s="15">
        <f>IFERROR(PRD[[#This Row],[VALOR]]/PRD[[#This Row],[KGS]],"")</f>
        <v>2.7205582252649596</v>
      </c>
      <c r="H1300" s="27"/>
    </row>
    <row r="1301" spans="1:8" x14ac:dyDescent="0.25">
      <c r="A1301" s="21">
        <v>4032611</v>
      </c>
      <c r="B1301" s="1">
        <v>45078</v>
      </c>
      <c r="C1301" t="s">
        <v>258</v>
      </c>
      <c r="D1301">
        <v>70.8</v>
      </c>
      <c r="E1301" s="14">
        <v>217.26</v>
      </c>
      <c r="F1301" s="15">
        <f>IFERROR(PRD[[#This Row],[VALOR]]/PRD[[#This Row],[KGS]],"")</f>
        <v>3.06864406779661</v>
      </c>
      <c r="H1301" s="27"/>
    </row>
    <row r="1302" spans="1:8" x14ac:dyDescent="0.25">
      <c r="A1302" s="21">
        <v>4032704</v>
      </c>
      <c r="B1302" s="1">
        <v>45078</v>
      </c>
      <c r="C1302" t="s">
        <v>260</v>
      </c>
      <c r="D1302">
        <v>259.39999999999998</v>
      </c>
      <c r="E1302" s="14">
        <v>765.96</v>
      </c>
      <c r="F1302" s="15">
        <f>IFERROR(PRD[[#This Row],[VALOR]]/PRD[[#This Row],[KGS]],"")</f>
        <v>2.9528141865844262</v>
      </c>
      <c r="H1302" s="27"/>
    </row>
    <row r="1303" spans="1:8" x14ac:dyDescent="0.25">
      <c r="A1303" s="21">
        <v>4032800</v>
      </c>
      <c r="B1303" s="1">
        <v>45078</v>
      </c>
      <c r="C1303" t="s">
        <v>262</v>
      </c>
      <c r="D1303">
        <v>92.42</v>
      </c>
      <c r="E1303" s="14">
        <v>537.29</v>
      </c>
      <c r="F1303" s="15">
        <f>IFERROR(PRD[[#This Row],[VALOR]]/PRD[[#This Row],[KGS]],"")</f>
        <v>5.8135684916684696</v>
      </c>
      <c r="H1303" s="27"/>
    </row>
    <row r="1304" spans="1:8" x14ac:dyDescent="0.25">
      <c r="A1304" s="21">
        <v>4032902</v>
      </c>
      <c r="B1304" s="1">
        <v>45078</v>
      </c>
      <c r="C1304" t="s">
        <v>264</v>
      </c>
      <c r="D1304">
        <v>178.5</v>
      </c>
      <c r="E1304" s="14">
        <v>918.62</v>
      </c>
      <c r="F1304" s="15">
        <f>IFERROR(PRD[[#This Row],[VALOR]]/PRD[[#This Row],[KGS]],"")</f>
        <v>5.1463305322128852</v>
      </c>
      <c r="H1304" s="27"/>
    </row>
    <row r="1305" spans="1:8" x14ac:dyDescent="0.25">
      <c r="A1305" s="21">
        <v>4033011</v>
      </c>
      <c r="B1305" s="1">
        <v>45078</v>
      </c>
      <c r="C1305" t="s">
        <v>266</v>
      </c>
      <c r="D1305">
        <v>7.7</v>
      </c>
      <c r="E1305" s="14">
        <v>39.69</v>
      </c>
      <c r="F1305" s="15">
        <f>IFERROR(PRD[[#This Row],[VALOR]]/PRD[[#This Row],[KGS]],"")</f>
        <v>5.1545454545454543</v>
      </c>
      <c r="H1305" s="27"/>
    </row>
    <row r="1306" spans="1:8" x14ac:dyDescent="0.25">
      <c r="A1306" s="21">
        <v>4033111</v>
      </c>
      <c r="B1306" s="1">
        <v>45078</v>
      </c>
      <c r="C1306" t="s">
        <v>268</v>
      </c>
      <c r="D1306">
        <v>24.22</v>
      </c>
      <c r="E1306" s="14">
        <v>113.38</v>
      </c>
      <c r="F1306" s="15">
        <f>IFERROR(PRD[[#This Row],[VALOR]]/PRD[[#This Row],[KGS]],"")</f>
        <v>4.6812551610239472</v>
      </c>
      <c r="H1306" s="27"/>
    </row>
    <row r="1307" spans="1:8" x14ac:dyDescent="0.25">
      <c r="A1307" s="21">
        <v>4033211</v>
      </c>
      <c r="B1307" s="1">
        <v>45078</v>
      </c>
      <c r="C1307" t="s">
        <v>270</v>
      </c>
      <c r="D1307">
        <v>45.19</v>
      </c>
      <c r="E1307" s="14">
        <v>203.24</v>
      </c>
      <c r="F1307" s="15">
        <f>IFERROR(PRD[[#This Row],[VALOR]]/PRD[[#This Row],[KGS]],"")</f>
        <v>4.4974551892011512</v>
      </c>
      <c r="H1307" s="27"/>
    </row>
    <row r="1308" spans="1:8" x14ac:dyDescent="0.25">
      <c r="A1308" s="21">
        <v>4033311</v>
      </c>
      <c r="B1308" s="1">
        <v>45078</v>
      </c>
      <c r="C1308" t="s">
        <v>272</v>
      </c>
      <c r="D1308">
        <v>11.68</v>
      </c>
      <c r="E1308" s="14">
        <v>73.400000000000006</v>
      </c>
      <c r="F1308" s="15">
        <f>IFERROR(PRD[[#This Row],[VALOR]]/PRD[[#This Row],[KGS]],"")</f>
        <v>6.2842465753424666</v>
      </c>
      <c r="H1308" s="27"/>
    </row>
    <row r="1309" spans="1:8" x14ac:dyDescent="0.25">
      <c r="A1309" s="21">
        <v>4033400</v>
      </c>
      <c r="B1309" s="1">
        <v>45078</v>
      </c>
      <c r="C1309" t="s">
        <v>274</v>
      </c>
      <c r="D1309">
        <v>721.44</v>
      </c>
      <c r="E1309" s="14">
        <v>2110.98</v>
      </c>
      <c r="F1309" s="15">
        <f>IFERROR(PRD[[#This Row],[VALOR]]/PRD[[#This Row],[KGS]],"")</f>
        <v>2.9260645375914835</v>
      </c>
      <c r="H1309" s="27"/>
    </row>
    <row r="1310" spans="1:8" x14ac:dyDescent="0.25">
      <c r="A1310" s="21">
        <v>4033511</v>
      </c>
      <c r="B1310" s="1">
        <v>45078</v>
      </c>
      <c r="C1310" t="s">
        <v>276</v>
      </c>
      <c r="D1310">
        <v>681.25</v>
      </c>
      <c r="E1310" s="14">
        <v>2212.8000000000002</v>
      </c>
      <c r="F1310" s="15">
        <f>IFERROR(PRD[[#This Row],[VALOR]]/PRD[[#This Row],[KGS]],"")</f>
        <v>3.2481467889908258</v>
      </c>
      <c r="H1310" s="27"/>
    </row>
    <row r="1311" spans="1:8" x14ac:dyDescent="0.25">
      <c r="A1311" s="21">
        <v>4033900</v>
      </c>
      <c r="B1311" s="1">
        <v>45078</v>
      </c>
      <c r="C1311" t="s">
        <v>278</v>
      </c>
      <c r="D1311">
        <v>92.48</v>
      </c>
      <c r="E1311" s="14">
        <v>464.63</v>
      </c>
      <c r="F1311" s="15">
        <f>IFERROR(PRD[[#This Row],[VALOR]]/PRD[[#This Row],[KGS]],"")</f>
        <v>5.0241133217993079</v>
      </c>
      <c r="H1311" s="27"/>
    </row>
    <row r="1312" spans="1:8" x14ac:dyDescent="0.25">
      <c r="A1312" s="21">
        <v>4034011</v>
      </c>
      <c r="B1312" s="1">
        <v>45078</v>
      </c>
      <c r="C1312" t="s">
        <v>280</v>
      </c>
      <c r="D1312">
        <v>813.56</v>
      </c>
      <c r="E1312" s="14">
        <v>4233.51</v>
      </c>
      <c r="F1312" s="15">
        <f>IFERROR(PRD[[#This Row],[VALOR]]/PRD[[#This Row],[KGS]],"")</f>
        <v>5.2036850385958022</v>
      </c>
      <c r="H1312" s="27"/>
    </row>
    <row r="1313" spans="1:8" x14ac:dyDescent="0.25">
      <c r="A1313" s="21">
        <v>4034211</v>
      </c>
      <c r="B1313" s="1">
        <v>45078</v>
      </c>
      <c r="C1313" t="s">
        <v>282</v>
      </c>
      <c r="D1313">
        <v>236.15</v>
      </c>
      <c r="E1313" s="14">
        <v>1011.26</v>
      </c>
      <c r="F1313" s="15">
        <f>IFERROR(PRD[[#This Row],[VALOR]]/PRD[[#This Row],[KGS]],"")</f>
        <v>4.2822782130002119</v>
      </c>
      <c r="H1313" s="27"/>
    </row>
    <row r="1314" spans="1:8" x14ac:dyDescent="0.25">
      <c r="A1314" s="21">
        <v>4034400</v>
      </c>
      <c r="B1314" s="1">
        <v>45078</v>
      </c>
      <c r="C1314" t="s">
        <v>284</v>
      </c>
      <c r="D1314">
        <v>140.88999999999999</v>
      </c>
      <c r="E1314" s="14">
        <v>373.31</v>
      </c>
      <c r="F1314" s="15">
        <f>IFERROR(PRD[[#This Row],[VALOR]]/PRD[[#This Row],[KGS]],"")</f>
        <v>2.64965575981262</v>
      </c>
      <c r="H1314" s="27"/>
    </row>
    <row r="1315" spans="1:8" x14ac:dyDescent="0.25">
      <c r="A1315" s="21">
        <v>4034502</v>
      </c>
      <c r="B1315" s="1">
        <v>45078</v>
      </c>
      <c r="C1315" t="s">
        <v>286</v>
      </c>
      <c r="D1315">
        <v>36.96</v>
      </c>
      <c r="E1315" s="14">
        <v>105.96</v>
      </c>
      <c r="F1315" s="15">
        <f>IFERROR(PRD[[#This Row],[VALOR]]/PRD[[#This Row],[KGS]],"")</f>
        <v>2.8668831168831166</v>
      </c>
      <c r="H1315" s="27"/>
    </row>
    <row r="1316" spans="1:8" x14ac:dyDescent="0.25">
      <c r="A1316" s="21">
        <v>8040008</v>
      </c>
      <c r="B1316" s="1">
        <v>45078</v>
      </c>
      <c r="C1316" t="s">
        <v>638</v>
      </c>
      <c r="D1316">
        <v>1.58</v>
      </c>
      <c r="E1316" s="14">
        <v>28.12</v>
      </c>
      <c r="F1316" s="15">
        <f>IFERROR(PRD[[#This Row],[VALOR]]/PRD[[#This Row],[KGS]],"")</f>
        <v>17.797468354430379</v>
      </c>
      <c r="H1316" s="27"/>
    </row>
    <row r="1317" spans="1:8" x14ac:dyDescent="0.25">
      <c r="A1317" s="21">
        <v>8040009</v>
      </c>
      <c r="B1317" s="1">
        <v>45078</v>
      </c>
      <c r="C1317" t="s">
        <v>639</v>
      </c>
      <c r="D1317">
        <v>240</v>
      </c>
      <c r="E1317" s="14">
        <v>1488</v>
      </c>
      <c r="F1317" s="15">
        <f>IFERROR(PRD[[#This Row],[VALOR]]/PRD[[#This Row],[KGS]],"")</f>
        <v>6.2</v>
      </c>
      <c r="H1317" s="27"/>
    </row>
    <row r="1318" spans="1:8" x14ac:dyDescent="0.25">
      <c r="A1318" s="21">
        <v>8040011</v>
      </c>
      <c r="B1318" s="1">
        <v>45078</v>
      </c>
      <c r="C1318" t="s">
        <v>560</v>
      </c>
      <c r="D1318">
        <v>6</v>
      </c>
      <c r="E1318" s="14">
        <v>17.260000000000002</v>
      </c>
      <c r="F1318" s="15">
        <f>IFERROR(PRD[[#This Row],[VALOR]]/PRD[[#This Row],[KGS]],"")</f>
        <v>2.8766666666666669</v>
      </c>
      <c r="H1318" s="27"/>
    </row>
    <row r="1319" spans="1:8" x14ac:dyDescent="0.25">
      <c r="A1319" s="21">
        <v>8040012</v>
      </c>
      <c r="B1319" s="1">
        <v>45078</v>
      </c>
      <c r="C1319" t="s">
        <v>561</v>
      </c>
      <c r="D1319">
        <v>5</v>
      </c>
      <c r="E1319" s="14">
        <v>17</v>
      </c>
      <c r="F1319" s="15">
        <f>IFERROR(PRD[[#This Row],[VALOR]]/PRD[[#This Row],[KGS]],"")</f>
        <v>3.4</v>
      </c>
      <c r="H1319" s="27"/>
    </row>
    <row r="1320" spans="1:8" x14ac:dyDescent="0.25">
      <c r="A1320" s="21">
        <v>8040034</v>
      </c>
      <c r="B1320" s="1">
        <v>45078</v>
      </c>
      <c r="C1320" t="s">
        <v>640</v>
      </c>
      <c r="D1320">
        <v>453.6</v>
      </c>
      <c r="E1320" s="14">
        <v>5080.32</v>
      </c>
      <c r="F1320" s="15">
        <f>IFERROR(PRD[[#This Row],[VALOR]]/PRD[[#This Row],[KGS]],"")</f>
        <v>11.2</v>
      </c>
      <c r="H1320" s="27"/>
    </row>
    <row r="1321" spans="1:8" x14ac:dyDescent="0.25">
      <c r="A1321" s="21">
        <v>8040035</v>
      </c>
      <c r="B1321" s="1">
        <v>45078</v>
      </c>
      <c r="C1321" t="s">
        <v>641</v>
      </c>
      <c r="D1321">
        <v>432</v>
      </c>
      <c r="E1321" s="14">
        <v>5184</v>
      </c>
      <c r="F1321" s="15">
        <f>IFERROR(PRD[[#This Row],[VALOR]]/PRD[[#This Row],[KGS]],"")</f>
        <v>12</v>
      </c>
      <c r="H1321" s="27"/>
    </row>
    <row r="1322" spans="1:8" x14ac:dyDescent="0.25">
      <c r="A1322" s="21">
        <v>8040047</v>
      </c>
      <c r="B1322" s="1">
        <v>45078</v>
      </c>
      <c r="C1322" t="s">
        <v>642</v>
      </c>
      <c r="D1322">
        <v>2178</v>
      </c>
      <c r="E1322" s="14">
        <v>11761.2</v>
      </c>
      <c r="F1322" s="15">
        <f>IFERROR(PRD[[#This Row],[VALOR]]/PRD[[#This Row],[KGS]],"")</f>
        <v>5.4</v>
      </c>
      <c r="H1322" s="27"/>
    </row>
    <row r="1323" spans="1:8" x14ac:dyDescent="0.25">
      <c r="A1323" s="21">
        <v>8040049</v>
      </c>
      <c r="B1323" s="1">
        <v>45078</v>
      </c>
      <c r="C1323" t="s">
        <v>643</v>
      </c>
      <c r="D1323">
        <v>168</v>
      </c>
      <c r="E1323" s="14">
        <v>2144</v>
      </c>
      <c r="F1323" s="15">
        <f>IFERROR(PRD[[#This Row],[VALOR]]/PRD[[#This Row],[KGS]],"")</f>
        <v>12.761904761904763</v>
      </c>
      <c r="H1323" s="27"/>
    </row>
    <row r="1324" spans="1:8" x14ac:dyDescent="0.25">
      <c r="A1324" s="21">
        <v>8040051</v>
      </c>
      <c r="B1324" s="1">
        <v>45078</v>
      </c>
      <c r="C1324" t="s">
        <v>644</v>
      </c>
      <c r="D1324">
        <v>576</v>
      </c>
      <c r="E1324" s="14">
        <v>6163.2</v>
      </c>
      <c r="F1324" s="15">
        <f>IFERROR(PRD[[#This Row],[VALOR]]/PRD[[#This Row],[KGS]],"")</f>
        <v>10.7</v>
      </c>
      <c r="H1324" s="27"/>
    </row>
    <row r="1325" spans="1:8" x14ac:dyDescent="0.25">
      <c r="A1325" s="21">
        <v>8040054</v>
      </c>
      <c r="B1325" s="1">
        <v>45078</v>
      </c>
      <c r="C1325" t="s">
        <v>645</v>
      </c>
      <c r="D1325">
        <v>504</v>
      </c>
      <c r="E1325" s="14">
        <v>4485.6000000000004</v>
      </c>
      <c r="F1325" s="15">
        <f>IFERROR(PRD[[#This Row],[VALOR]]/PRD[[#This Row],[KGS]],"")</f>
        <v>8.9</v>
      </c>
      <c r="H1325" s="27"/>
    </row>
    <row r="1326" spans="1:8" x14ac:dyDescent="0.25">
      <c r="A1326" s="21">
        <v>8040055</v>
      </c>
      <c r="B1326" s="1">
        <v>45078</v>
      </c>
      <c r="C1326" t="s">
        <v>646</v>
      </c>
      <c r="D1326">
        <v>726</v>
      </c>
      <c r="E1326" s="14">
        <v>3920.4</v>
      </c>
      <c r="F1326" s="15">
        <f>IFERROR(PRD[[#This Row],[VALOR]]/PRD[[#This Row],[KGS]],"")</f>
        <v>5.4</v>
      </c>
      <c r="H1326" s="27"/>
    </row>
    <row r="1327" spans="1:8" x14ac:dyDescent="0.25">
      <c r="A1327" s="21">
        <v>8040056</v>
      </c>
      <c r="B1327" s="1">
        <v>45078</v>
      </c>
      <c r="C1327" t="s">
        <v>647</v>
      </c>
      <c r="D1327">
        <v>12</v>
      </c>
      <c r="E1327" s="14">
        <v>170.4</v>
      </c>
      <c r="F1327" s="15">
        <f>IFERROR(PRD[[#This Row],[VALOR]]/PRD[[#This Row],[KGS]],"")</f>
        <v>14.200000000000001</v>
      </c>
      <c r="H1327" s="27"/>
    </row>
    <row r="1328" spans="1:8" x14ac:dyDescent="0.25">
      <c r="A1328" s="21">
        <v>8050002</v>
      </c>
      <c r="B1328" s="1">
        <v>45078</v>
      </c>
      <c r="C1328" t="s">
        <v>322</v>
      </c>
      <c r="D1328">
        <v>5</v>
      </c>
      <c r="E1328" s="14">
        <v>32.299999999999997</v>
      </c>
      <c r="F1328" s="15">
        <f>IFERROR(PRD[[#This Row],[VALOR]]/PRD[[#This Row],[KGS]],"")</f>
        <v>6.4599999999999991</v>
      </c>
      <c r="H1328" s="27"/>
    </row>
    <row r="1329" spans="1:8" x14ac:dyDescent="0.25">
      <c r="A1329" s="21">
        <v>8050003</v>
      </c>
      <c r="B1329" s="1">
        <v>45078</v>
      </c>
      <c r="C1329" t="s">
        <v>323</v>
      </c>
      <c r="D1329">
        <v>1</v>
      </c>
      <c r="E1329" s="14">
        <v>5.04</v>
      </c>
      <c r="F1329" s="15">
        <f>IFERROR(PRD[[#This Row],[VALOR]]/PRD[[#This Row],[KGS]],"")</f>
        <v>5.04</v>
      </c>
      <c r="H1329" s="27"/>
    </row>
    <row r="1330" spans="1:8" x14ac:dyDescent="0.25">
      <c r="A1330" s="21">
        <v>8050005</v>
      </c>
      <c r="B1330" s="1">
        <v>45078</v>
      </c>
      <c r="C1330" t="s">
        <v>648</v>
      </c>
      <c r="D1330">
        <v>2</v>
      </c>
      <c r="E1330" s="14">
        <v>10.08</v>
      </c>
      <c r="F1330" s="15">
        <f>IFERROR(PRD[[#This Row],[VALOR]]/PRD[[#This Row],[KGS]],"")</f>
        <v>5.04</v>
      </c>
      <c r="H1330" s="27"/>
    </row>
    <row r="1331" spans="1:8" x14ac:dyDescent="0.25">
      <c r="A1331" s="21">
        <v>8050006</v>
      </c>
      <c r="B1331" s="1">
        <v>45078</v>
      </c>
      <c r="C1331" t="s">
        <v>649</v>
      </c>
      <c r="D1331">
        <v>600</v>
      </c>
      <c r="E1331" s="14">
        <v>2580</v>
      </c>
      <c r="F1331" s="15">
        <f>IFERROR(PRD[[#This Row],[VALOR]]/PRD[[#This Row],[KGS]],"")</f>
        <v>4.3</v>
      </c>
      <c r="H1331" s="27"/>
    </row>
    <row r="1332" spans="1:8" x14ac:dyDescent="0.25">
      <c r="A1332" s="21">
        <v>8050007</v>
      </c>
      <c r="B1332" s="1">
        <v>45078</v>
      </c>
      <c r="C1332" t="s">
        <v>650</v>
      </c>
      <c r="D1332">
        <v>600</v>
      </c>
      <c r="E1332" s="14">
        <v>2580</v>
      </c>
      <c r="F1332" s="15">
        <f>IFERROR(PRD[[#This Row],[VALOR]]/PRD[[#This Row],[KGS]],"")</f>
        <v>4.3</v>
      </c>
      <c r="H1332" s="27"/>
    </row>
    <row r="1333" spans="1:8" x14ac:dyDescent="0.25">
      <c r="A1333" s="21">
        <v>8050008</v>
      </c>
      <c r="B1333" s="1">
        <v>45078</v>
      </c>
      <c r="C1333" t="s">
        <v>651</v>
      </c>
      <c r="D1333">
        <v>864</v>
      </c>
      <c r="E1333" s="14">
        <v>3412.8</v>
      </c>
      <c r="F1333" s="15">
        <f>IFERROR(PRD[[#This Row],[VALOR]]/PRD[[#This Row],[KGS]],"")</f>
        <v>3.95</v>
      </c>
      <c r="H1333" s="27"/>
    </row>
    <row r="1334" spans="1:8" x14ac:dyDescent="0.25">
      <c r="A1334" s="21">
        <v>8060001</v>
      </c>
      <c r="B1334" s="1">
        <v>45078</v>
      </c>
      <c r="C1334" t="s">
        <v>325</v>
      </c>
      <c r="D1334">
        <v>40</v>
      </c>
      <c r="E1334" s="14">
        <v>236</v>
      </c>
      <c r="F1334" s="15">
        <f>IFERROR(PRD[[#This Row],[VALOR]]/PRD[[#This Row],[KGS]],"")</f>
        <v>5.9</v>
      </c>
      <c r="H1334" s="27"/>
    </row>
    <row r="1335" spans="1:8" x14ac:dyDescent="0.25">
      <c r="A1335" s="21">
        <v>8070001</v>
      </c>
      <c r="B1335" s="1">
        <v>45078</v>
      </c>
      <c r="C1335" t="s">
        <v>326</v>
      </c>
      <c r="D1335">
        <v>1080</v>
      </c>
      <c r="E1335" s="14">
        <v>2376</v>
      </c>
      <c r="F1335" s="15">
        <f>IFERROR(PRD[[#This Row],[VALOR]]/PRD[[#This Row],[KGS]],"")</f>
        <v>2.2000000000000002</v>
      </c>
      <c r="H1335" s="27"/>
    </row>
    <row r="1336" spans="1:8" x14ac:dyDescent="0.25">
      <c r="A1336" s="21">
        <v>8070003</v>
      </c>
      <c r="B1336" s="1">
        <v>45078</v>
      </c>
      <c r="C1336" t="s">
        <v>652</v>
      </c>
      <c r="D1336">
        <v>3000</v>
      </c>
      <c r="E1336" s="14">
        <v>18750</v>
      </c>
      <c r="F1336" s="15">
        <f>IFERROR(PRD[[#This Row],[VALOR]]/PRD[[#This Row],[KGS]],"")</f>
        <v>6.25</v>
      </c>
      <c r="H1336" s="27"/>
    </row>
    <row r="1337" spans="1:8" x14ac:dyDescent="0.25">
      <c r="A1337" s="21">
        <v>8070004</v>
      </c>
      <c r="B1337" s="1">
        <v>45078</v>
      </c>
      <c r="C1337" t="s">
        <v>653</v>
      </c>
      <c r="D1337">
        <v>305</v>
      </c>
      <c r="E1337" s="14">
        <v>1925</v>
      </c>
      <c r="F1337" s="15">
        <f>IFERROR(PRD[[#This Row],[VALOR]]/PRD[[#This Row],[KGS]],"")</f>
        <v>6.3114754098360653</v>
      </c>
      <c r="H1337" s="27"/>
    </row>
    <row r="1338" spans="1:8" x14ac:dyDescent="0.25">
      <c r="A1338" s="21">
        <v>8070007</v>
      </c>
      <c r="B1338" s="1">
        <v>45078</v>
      </c>
      <c r="C1338" t="s">
        <v>654</v>
      </c>
      <c r="D1338">
        <v>1646</v>
      </c>
      <c r="E1338" s="14">
        <v>13982.5</v>
      </c>
      <c r="F1338" s="15">
        <f>IFERROR(PRD[[#This Row],[VALOR]]/PRD[[#This Row],[KGS]],"")</f>
        <v>8.4948359659781296</v>
      </c>
      <c r="H1338" s="27"/>
    </row>
    <row r="1339" spans="1:8" x14ac:dyDescent="0.25">
      <c r="A1339" s="21">
        <v>8070008</v>
      </c>
      <c r="B1339" s="1">
        <v>45078</v>
      </c>
      <c r="C1339" t="s">
        <v>368</v>
      </c>
      <c r="D1339">
        <v>460</v>
      </c>
      <c r="E1339" s="14">
        <v>4577</v>
      </c>
      <c r="F1339" s="15">
        <f>IFERROR(PRD[[#This Row],[VALOR]]/PRD[[#This Row],[KGS]],"")</f>
        <v>9.9499999999999993</v>
      </c>
      <c r="H1339" s="27"/>
    </row>
    <row r="1340" spans="1:8" x14ac:dyDescent="0.25">
      <c r="A1340" s="21">
        <v>8070016</v>
      </c>
      <c r="B1340" s="1">
        <v>45078</v>
      </c>
      <c r="C1340" t="s">
        <v>395</v>
      </c>
      <c r="D1340">
        <v>36</v>
      </c>
      <c r="E1340" s="14">
        <v>205.2</v>
      </c>
      <c r="F1340" s="15">
        <f>IFERROR(PRD[[#This Row],[VALOR]]/PRD[[#This Row],[KGS]],"")</f>
        <v>5.6999999999999993</v>
      </c>
      <c r="H1340" s="27"/>
    </row>
    <row r="1341" spans="1:8" x14ac:dyDescent="0.25">
      <c r="A1341" s="21">
        <v>8070025</v>
      </c>
      <c r="B1341" s="1">
        <v>45078</v>
      </c>
      <c r="C1341" t="s">
        <v>655</v>
      </c>
      <c r="D1341">
        <v>534</v>
      </c>
      <c r="E1341" s="14">
        <v>1362.3</v>
      </c>
      <c r="F1341" s="15">
        <f>IFERROR(PRD[[#This Row],[VALOR]]/PRD[[#This Row],[KGS]],"")</f>
        <v>2.5511235955056177</v>
      </c>
      <c r="H1341" s="27"/>
    </row>
    <row r="1342" spans="1:8" x14ac:dyDescent="0.25">
      <c r="A1342" s="21">
        <v>8070026</v>
      </c>
      <c r="B1342" s="1">
        <v>45078</v>
      </c>
      <c r="C1342" t="s">
        <v>656</v>
      </c>
      <c r="D1342">
        <v>1440</v>
      </c>
      <c r="E1342" s="14">
        <v>4536</v>
      </c>
      <c r="F1342" s="15">
        <f>IFERROR(PRD[[#This Row],[VALOR]]/PRD[[#This Row],[KGS]],"")</f>
        <v>3.15</v>
      </c>
      <c r="H1342" s="27"/>
    </row>
    <row r="1343" spans="1:8" x14ac:dyDescent="0.25">
      <c r="A1343" s="21">
        <v>8070027</v>
      </c>
      <c r="B1343" s="1">
        <v>45078</v>
      </c>
      <c r="C1343" t="s">
        <v>657</v>
      </c>
      <c r="D1343">
        <v>1440</v>
      </c>
      <c r="E1343" s="14">
        <v>4608</v>
      </c>
      <c r="F1343" s="15">
        <f>IFERROR(PRD[[#This Row],[VALOR]]/PRD[[#This Row],[KGS]],"")</f>
        <v>3.2</v>
      </c>
      <c r="H1343" s="27"/>
    </row>
    <row r="1344" spans="1:8" x14ac:dyDescent="0.25">
      <c r="A1344" s="21">
        <v>8070028</v>
      </c>
      <c r="B1344" s="1">
        <v>45078</v>
      </c>
      <c r="C1344" t="s">
        <v>658</v>
      </c>
      <c r="D1344">
        <v>1000</v>
      </c>
      <c r="E1344" s="14">
        <v>3350</v>
      </c>
      <c r="F1344" s="15">
        <f>IFERROR(PRD[[#This Row],[VALOR]]/PRD[[#This Row],[KGS]],"")</f>
        <v>3.35</v>
      </c>
      <c r="H1344" s="27"/>
    </row>
    <row r="1345" spans="1:8" x14ac:dyDescent="0.25">
      <c r="A1345" s="21">
        <v>8070029</v>
      </c>
      <c r="B1345" s="1">
        <v>45078</v>
      </c>
      <c r="C1345" t="s">
        <v>659</v>
      </c>
      <c r="D1345">
        <v>200</v>
      </c>
      <c r="E1345" s="14">
        <v>740</v>
      </c>
      <c r="F1345" s="15">
        <f>IFERROR(PRD[[#This Row],[VALOR]]/PRD[[#This Row],[KGS]],"")</f>
        <v>3.7</v>
      </c>
      <c r="H1345" s="27"/>
    </row>
    <row r="1346" spans="1:8" x14ac:dyDescent="0.25">
      <c r="A1346" s="21">
        <v>8070050</v>
      </c>
      <c r="B1346" s="1">
        <v>45078</v>
      </c>
      <c r="C1346" t="s">
        <v>660</v>
      </c>
      <c r="D1346">
        <v>192</v>
      </c>
      <c r="E1346" s="14">
        <v>1459.2</v>
      </c>
      <c r="F1346" s="15">
        <f>IFERROR(PRD[[#This Row],[VALOR]]/PRD[[#This Row],[KGS]],"")</f>
        <v>7.6000000000000005</v>
      </c>
      <c r="H1346" s="27"/>
    </row>
    <row r="1347" spans="1:8" x14ac:dyDescent="0.25">
      <c r="A1347" s="21">
        <v>8070053</v>
      </c>
      <c r="B1347" s="1">
        <v>45078</v>
      </c>
      <c r="C1347" t="s">
        <v>661</v>
      </c>
      <c r="D1347">
        <v>11135.77</v>
      </c>
      <c r="E1347" s="14">
        <v>15715.17</v>
      </c>
      <c r="F1347" s="15">
        <f>IFERROR(PRD[[#This Row],[VALOR]]/PRD[[#This Row],[KGS]],"")</f>
        <v>1.4112333498267295</v>
      </c>
      <c r="H1347" s="27"/>
    </row>
    <row r="1348" spans="1:8" x14ac:dyDescent="0.25">
      <c r="A1348" s="21">
        <v>8070054</v>
      </c>
      <c r="B1348" s="1">
        <v>45078</v>
      </c>
      <c r="C1348" t="s">
        <v>662</v>
      </c>
      <c r="D1348">
        <v>204</v>
      </c>
      <c r="E1348" s="14">
        <v>1377</v>
      </c>
      <c r="F1348" s="15">
        <f>IFERROR(PRD[[#This Row],[VALOR]]/PRD[[#This Row],[KGS]],"")</f>
        <v>6.75</v>
      </c>
      <c r="H1348" s="27"/>
    </row>
    <row r="1349" spans="1:8" x14ac:dyDescent="0.25">
      <c r="A1349" s="21">
        <v>8070055</v>
      </c>
      <c r="B1349" s="1">
        <v>45078</v>
      </c>
      <c r="C1349" t="s">
        <v>663</v>
      </c>
      <c r="D1349">
        <v>600</v>
      </c>
      <c r="E1349" s="14">
        <v>1352.4</v>
      </c>
      <c r="F1349" s="15">
        <f>IFERROR(PRD[[#This Row],[VALOR]]/PRD[[#This Row],[KGS]],"")</f>
        <v>2.254</v>
      </c>
      <c r="H1349" s="27"/>
    </row>
    <row r="1350" spans="1:8" x14ac:dyDescent="0.25">
      <c r="A1350" s="21">
        <v>8070058</v>
      </c>
      <c r="B1350" s="1">
        <v>45078</v>
      </c>
      <c r="C1350" t="s">
        <v>664</v>
      </c>
      <c r="D1350">
        <v>1872</v>
      </c>
      <c r="E1350" s="14">
        <v>8049.6</v>
      </c>
      <c r="F1350" s="15">
        <f>IFERROR(PRD[[#This Row],[VALOR]]/PRD[[#This Row],[KGS]],"")</f>
        <v>4.3</v>
      </c>
      <c r="H1350" s="27"/>
    </row>
    <row r="1351" spans="1:8" x14ac:dyDescent="0.25">
      <c r="A1351" s="21">
        <v>8070059</v>
      </c>
      <c r="B1351" s="1">
        <v>45078</v>
      </c>
      <c r="C1351" t="s">
        <v>665</v>
      </c>
      <c r="D1351">
        <v>648</v>
      </c>
      <c r="E1351" s="14">
        <v>2268</v>
      </c>
      <c r="F1351" s="15">
        <f>IFERROR(PRD[[#This Row],[VALOR]]/PRD[[#This Row],[KGS]],"")</f>
        <v>3.5</v>
      </c>
      <c r="H1351" s="27"/>
    </row>
    <row r="1352" spans="1:8" x14ac:dyDescent="0.25">
      <c r="A1352" s="21">
        <v>8120002</v>
      </c>
      <c r="B1352" s="1">
        <v>45078</v>
      </c>
      <c r="C1352" t="s">
        <v>501</v>
      </c>
      <c r="D1352">
        <v>3240</v>
      </c>
      <c r="E1352" s="14">
        <v>8910</v>
      </c>
      <c r="F1352" s="15">
        <f>IFERROR(PRD[[#This Row],[VALOR]]/PRD[[#This Row],[KGS]],"")</f>
        <v>2.75</v>
      </c>
      <c r="H1352" s="27"/>
    </row>
    <row r="1353" spans="1:8" x14ac:dyDescent="0.25">
      <c r="A1353" s="21">
        <v>8120003</v>
      </c>
      <c r="B1353" s="1">
        <v>45078</v>
      </c>
      <c r="C1353" t="s">
        <v>376</v>
      </c>
      <c r="D1353">
        <v>504</v>
      </c>
      <c r="E1353" s="14">
        <v>1491.84</v>
      </c>
      <c r="F1353" s="15">
        <f>IFERROR(PRD[[#This Row],[VALOR]]/PRD[[#This Row],[KGS]],"")</f>
        <v>2.96</v>
      </c>
      <c r="H1353" s="27"/>
    </row>
    <row r="1354" spans="1:8" x14ac:dyDescent="0.25">
      <c r="A1354" s="21">
        <v>8120005</v>
      </c>
      <c r="B1354" s="1">
        <v>45078</v>
      </c>
      <c r="C1354" t="s">
        <v>407</v>
      </c>
      <c r="D1354">
        <v>2000</v>
      </c>
      <c r="E1354" s="14">
        <v>9320</v>
      </c>
      <c r="F1354" s="15">
        <f>IFERROR(PRD[[#This Row],[VALOR]]/PRD[[#This Row],[KGS]],"")</f>
        <v>4.66</v>
      </c>
      <c r="H1354" s="27"/>
    </row>
    <row r="1355" spans="1:8" x14ac:dyDescent="0.25">
      <c r="A1355" s="21">
        <v>8120008</v>
      </c>
      <c r="B1355" s="1">
        <v>45078</v>
      </c>
      <c r="C1355" t="s">
        <v>409</v>
      </c>
      <c r="D1355">
        <v>4.99</v>
      </c>
      <c r="E1355" s="14">
        <v>27.23</v>
      </c>
      <c r="F1355" s="15">
        <f>IFERROR(PRD[[#This Row],[VALOR]]/PRD[[#This Row],[KGS]],"")</f>
        <v>5.4569138276553106</v>
      </c>
      <c r="H1355" s="27"/>
    </row>
    <row r="1356" spans="1:8" x14ac:dyDescent="0.25">
      <c r="A1356" s="21">
        <v>8120014</v>
      </c>
      <c r="B1356" s="1">
        <v>45078</v>
      </c>
      <c r="C1356" t="s">
        <v>411</v>
      </c>
      <c r="D1356">
        <v>702.4</v>
      </c>
      <c r="E1356" s="14">
        <v>13064.73</v>
      </c>
      <c r="F1356" s="15">
        <f>IFERROR(PRD[[#This Row],[VALOR]]/PRD[[#This Row],[KGS]],"")</f>
        <v>18.600128132118449</v>
      </c>
      <c r="H1356" s="27"/>
    </row>
    <row r="1357" spans="1:8" x14ac:dyDescent="0.25">
      <c r="A1357" s="21">
        <v>8120015</v>
      </c>
      <c r="B1357" s="1">
        <v>45078</v>
      </c>
      <c r="C1357" t="s">
        <v>412</v>
      </c>
      <c r="D1357">
        <v>4860</v>
      </c>
      <c r="E1357" s="14">
        <v>13851</v>
      </c>
      <c r="F1357" s="15">
        <f>IFERROR(PRD[[#This Row],[VALOR]]/PRD[[#This Row],[KGS]],"")</f>
        <v>2.85</v>
      </c>
      <c r="H1357" s="27"/>
    </row>
    <row r="1358" spans="1:8" x14ac:dyDescent="0.25">
      <c r="A1358" s="21">
        <v>8120017</v>
      </c>
      <c r="B1358" s="1">
        <v>45078</v>
      </c>
      <c r="C1358" t="s">
        <v>666</v>
      </c>
      <c r="D1358">
        <v>1953.82</v>
      </c>
      <c r="E1358" s="14">
        <v>13481.36</v>
      </c>
      <c r="F1358" s="15">
        <f>IFERROR(PRD[[#This Row],[VALOR]]/PRD[[#This Row],[KGS]],"")</f>
        <v>6.9000010236357499</v>
      </c>
      <c r="H1358" s="27"/>
    </row>
    <row r="1359" spans="1:8" x14ac:dyDescent="0.25">
      <c r="A1359" s="21">
        <v>8120018</v>
      </c>
      <c r="B1359" s="1">
        <v>45078</v>
      </c>
      <c r="C1359" t="s">
        <v>667</v>
      </c>
      <c r="D1359">
        <v>623.57000000000005</v>
      </c>
      <c r="E1359" s="14">
        <v>5763.89</v>
      </c>
      <c r="F1359" s="15">
        <f>IFERROR(PRD[[#This Row],[VALOR]]/PRD[[#This Row],[KGS]],"")</f>
        <v>9.2433728370511723</v>
      </c>
      <c r="H1359" s="27"/>
    </row>
    <row r="1360" spans="1:8" x14ac:dyDescent="0.25">
      <c r="A1360" s="21">
        <v>8120019</v>
      </c>
      <c r="B1360" s="1">
        <v>45078</v>
      </c>
      <c r="C1360" t="s">
        <v>668</v>
      </c>
      <c r="D1360">
        <v>2.17</v>
      </c>
      <c r="E1360" s="14">
        <v>20.68</v>
      </c>
      <c r="F1360" s="15">
        <f>IFERROR(PRD[[#This Row],[VALOR]]/PRD[[#This Row],[KGS]],"")</f>
        <v>9.5299539170506922</v>
      </c>
      <c r="H1360" s="27"/>
    </row>
    <row r="1361" spans="1:8" x14ac:dyDescent="0.25">
      <c r="A1361" s="21">
        <v>8120035</v>
      </c>
      <c r="B1361" s="1">
        <v>45078</v>
      </c>
      <c r="C1361" t="s">
        <v>669</v>
      </c>
      <c r="D1361">
        <v>1440</v>
      </c>
      <c r="E1361" s="14">
        <v>7084.8</v>
      </c>
      <c r="F1361" s="15">
        <f>IFERROR(PRD[[#This Row],[VALOR]]/PRD[[#This Row],[KGS]],"")</f>
        <v>4.92</v>
      </c>
      <c r="H1361" s="27"/>
    </row>
    <row r="1362" spans="1:8" x14ac:dyDescent="0.25">
      <c r="A1362" s="21">
        <v>8120036</v>
      </c>
      <c r="B1362" s="1">
        <v>45078</v>
      </c>
      <c r="C1362" t="s">
        <v>670</v>
      </c>
      <c r="D1362">
        <v>200</v>
      </c>
      <c r="E1362" s="14">
        <v>490</v>
      </c>
      <c r="F1362" s="15">
        <f>IFERROR(PRD[[#This Row],[VALOR]]/PRD[[#This Row],[KGS]],"")</f>
        <v>2.4500000000000002</v>
      </c>
      <c r="H1362" s="27"/>
    </row>
    <row r="1363" spans="1:8" x14ac:dyDescent="0.25">
      <c r="A1363" s="21">
        <v>8130001</v>
      </c>
      <c r="B1363" s="1">
        <v>45078</v>
      </c>
      <c r="C1363" t="s">
        <v>671</v>
      </c>
      <c r="D1363">
        <v>1183</v>
      </c>
      <c r="E1363" s="14">
        <v>2544.35</v>
      </c>
      <c r="F1363" s="15">
        <f>IFERROR(PRD[[#This Row],[VALOR]]/PRD[[#This Row],[KGS]],"")</f>
        <v>2.1507607776838547</v>
      </c>
      <c r="H1363" s="27"/>
    </row>
    <row r="1364" spans="1:8" x14ac:dyDescent="0.25">
      <c r="A1364" s="21">
        <v>8130007</v>
      </c>
      <c r="B1364" s="1">
        <v>45078</v>
      </c>
      <c r="C1364" t="s">
        <v>672</v>
      </c>
      <c r="D1364">
        <v>2160</v>
      </c>
      <c r="E1364" s="14">
        <v>3916.08</v>
      </c>
      <c r="F1364" s="15">
        <f>IFERROR(PRD[[#This Row],[VALOR]]/PRD[[#This Row],[KGS]],"")</f>
        <v>1.8129999999999999</v>
      </c>
      <c r="H1364" s="27"/>
    </row>
    <row r="1365" spans="1:8" x14ac:dyDescent="0.25">
      <c r="A1365" s="21">
        <v>8130010</v>
      </c>
      <c r="B1365" s="1">
        <v>45078</v>
      </c>
      <c r="C1365" t="s">
        <v>619</v>
      </c>
      <c r="D1365">
        <v>2100</v>
      </c>
      <c r="E1365" s="14">
        <v>3114</v>
      </c>
      <c r="F1365" s="15">
        <f>IFERROR(PRD[[#This Row],[VALOR]]/PRD[[#This Row],[KGS]],"")</f>
        <v>1.4828571428571429</v>
      </c>
      <c r="H1365" s="27"/>
    </row>
    <row r="1366" spans="1:8" x14ac:dyDescent="0.25">
      <c r="A1366" s="21">
        <v>8130013</v>
      </c>
      <c r="B1366" s="1">
        <v>45078</v>
      </c>
      <c r="C1366" t="s">
        <v>673</v>
      </c>
      <c r="D1366">
        <v>1</v>
      </c>
      <c r="E1366" s="14">
        <v>3.73</v>
      </c>
      <c r="F1366" s="15">
        <f>IFERROR(PRD[[#This Row],[VALOR]]/PRD[[#This Row],[KGS]],"")</f>
        <v>3.73</v>
      </c>
      <c r="H1366" s="27"/>
    </row>
    <row r="1367" spans="1:8" x14ac:dyDescent="0.25">
      <c r="A1367" s="21">
        <v>8130014</v>
      </c>
      <c r="B1367" s="1">
        <v>45078</v>
      </c>
      <c r="C1367" t="s">
        <v>417</v>
      </c>
      <c r="D1367">
        <v>40</v>
      </c>
      <c r="E1367" s="14">
        <v>148</v>
      </c>
      <c r="F1367" s="15">
        <f>IFERROR(PRD[[#This Row],[VALOR]]/PRD[[#This Row],[KGS]],"")</f>
        <v>3.7</v>
      </c>
      <c r="H1367" s="27"/>
    </row>
    <row r="1368" spans="1:8" x14ac:dyDescent="0.25">
      <c r="A1368" s="21">
        <v>8130015</v>
      </c>
      <c r="B1368" s="1">
        <v>45078</v>
      </c>
      <c r="C1368" t="s">
        <v>622</v>
      </c>
      <c r="D1368">
        <v>637</v>
      </c>
      <c r="E1368" s="14">
        <v>2190.48</v>
      </c>
      <c r="F1368" s="15">
        <f>IFERROR(PRD[[#This Row],[VALOR]]/PRD[[#This Row],[KGS]],"")</f>
        <v>3.4387441130298275</v>
      </c>
      <c r="H1368" s="27"/>
    </row>
    <row r="1369" spans="1:8" x14ac:dyDescent="0.25">
      <c r="A1369" s="21">
        <v>8140001</v>
      </c>
      <c r="B1369" s="1">
        <v>45078</v>
      </c>
      <c r="C1369" t="s">
        <v>381</v>
      </c>
      <c r="D1369">
        <v>708</v>
      </c>
      <c r="E1369" s="14">
        <v>3009.4</v>
      </c>
      <c r="F1369" s="15">
        <f>IFERROR(PRD[[#This Row],[VALOR]]/PRD[[#This Row],[KGS]],"")</f>
        <v>4.2505649717514125</v>
      </c>
      <c r="H1369" s="27"/>
    </row>
    <row r="1370" spans="1:8" x14ac:dyDescent="0.25">
      <c r="A1370" s="21">
        <v>8140006</v>
      </c>
      <c r="B1370" s="1">
        <v>45078</v>
      </c>
      <c r="C1370" t="s">
        <v>423</v>
      </c>
      <c r="D1370">
        <v>5</v>
      </c>
      <c r="E1370" s="14">
        <v>11.6</v>
      </c>
      <c r="F1370" s="15">
        <f>IFERROR(PRD[[#This Row],[VALOR]]/PRD[[#This Row],[KGS]],"")</f>
        <v>2.3199999999999998</v>
      </c>
      <c r="H1370" s="27"/>
    </row>
    <row r="1371" spans="1:8" x14ac:dyDescent="0.25">
      <c r="A1371" s="21">
        <v>8140012</v>
      </c>
      <c r="B1371" s="1">
        <v>45078</v>
      </c>
      <c r="C1371" t="s">
        <v>425</v>
      </c>
      <c r="D1371">
        <v>129.66</v>
      </c>
      <c r="E1371" s="14">
        <v>2528.37</v>
      </c>
      <c r="F1371" s="15">
        <f>IFERROR(PRD[[#This Row],[VALOR]]/PRD[[#This Row],[KGS]],"")</f>
        <v>19.5</v>
      </c>
      <c r="H1371" s="27"/>
    </row>
    <row r="1372" spans="1:8" x14ac:dyDescent="0.25">
      <c r="A1372" s="21">
        <v>8140013</v>
      </c>
      <c r="B1372" s="1">
        <v>45078</v>
      </c>
      <c r="C1372" t="s">
        <v>674</v>
      </c>
      <c r="D1372">
        <v>1640</v>
      </c>
      <c r="E1372" s="14">
        <v>3534.8</v>
      </c>
      <c r="F1372" s="15">
        <f>IFERROR(PRD[[#This Row],[VALOR]]/PRD[[#This Row],[KGS]],"")</f>
        <v>2.1553658536585365</v>
      </c>
      <c r="H1372" s="27"/>
    </row>
    <row r="1373" spans="1:8" x14ac:dyDescent="0.25">
      <c r="A1373" s="21">
        <v>8140014</v>
      </c>
      <c r="B1373" s="1">
        <v>45078</v>
      </c>
      <c r="C1373" t="s">
        <v>675</v>
      </c>
      <c r="D1373">
        <v>620</v>
      </c>
      <c r="E1373" s="14">
        <v>2045.6</v>
      </c>
      <c r="F1373" s="15">
        <f>IFERROR(PRD[[#This Row],[VALOR]]/PRD[[#This Row],[KGS]],"")</f>
        <v>3.2993548387096774</v>
      </c>
      <c r="H1373" s="27"/>
    </row>
    <row r="1374" spans="1:8" x14ac:dyDescent="0.25">
      <c r="A1374" s="21">
        <v>8140015</v>
      </c>
      <c r="B1374" s="1">
        <v>45078</v>
      </c>
      <c r="C1374" t="s">
        <v>676</v>
      </c>
      <c r="D1374">
        <v>1404</v>
      </c>
      <c r="E1374" s="14">
        <v>4345.3999999999996</v>
      </c>
      <c r="F1374" s="15">
        <f>IFERROR(PRD[[#This Row],[VALOR]]/PRD[[#This Row],[KGS]],"")</f>
        <v>3.0950142450142448</v>
      </c>
      <c r="H1374" s="27"/>
    </row>
    <row r="1375" spans="1:8" x14ac:dyDescent="0.25">
      <c r="A1375" s="21">
        <v>8140016</v>
      </c>
      <c r="B1375" s="1">
        <v>45078</v>
      </c>
      <c r="C1375" t="s">
        <v>677</v>
      </c>
      <c r="D1375">
        <v>2724</v>
      </c>
      <c r="E1375" s="14">
        <v>10634.52</v>
      </c>
      <c r="F1375" s="15">
        <f>IFERROR(PRD[[#This Row],[VALOR]]/PRD[[#This Row],[KGS]],"")</f>
        <v>3.9040088105726873</v>
      </c>
      <c r="H1375" s="27"/>
    </row>
    <row r="1376" spans="1:8" x14ac:dyDescent="0.25">
      <c r="A1376" s="21">
        <v>8150001</v>
      </c>
      <c r="B1376" s="1">
        <v>45078</v>
      </c>
      <c r="C1376" t="s">
        <v>382</v>
      </c>
      <c r="D1376">
        <v>1470</v>
      </c>
      <c r="E1376" s="14">
        <v>19183</v>
      </c>
      <c r="F1376" s="15">
        <f>IFERROR(PRD[[#This Row],[VALOR]]/PRD[[#This Row],[KGS]],"")</f>
        <v>13.049659863945578</v>
      </c>
      <c r="H1376" s="27"/>
    </row>
    <row r="1377" spans="1:8" x14ac:dyDescent="0.25">
      <c r="A1377" s="21">
        <v>8150002</v>
      </c>
      <c r="B1377" s="1">
        <v>45078</v>
      </c>
      <c r="C1377" t="s">
        <v>383</v>
      </c>
      <c r="D1377">
        <v>631</v>
      </c>
      <c r="E1377" s="14">
        <v>5803.56</v>
      </c>
      <c r="F1377" s="15">
        <f>IFERROR(PRD[[#This Row],[VALOR]]/PRD[[#This Row],[KGS]],"")</f>
        <v>9.1974009508716321</v>
      </c>
      <c r="H1377" s="27"/>
    </row>
    <row r="1378" spans="1:8" x14ac:dyDescent="0.25">
      <c r="A1378" s="21">
        <v>8150004</v>
      </c>
      <c r="B1378" s="1">
        <v>45078</v>
      </c>
      <c r="C1378" t="s">
        <v>625</v>
      </c>
      <c r="D1378">
        <v>224</v>
      </c>
      <c r="E1378" s="14">
        <v>1593.1</v>
      </c>
      <c r="F1378" s="15">
        <f>IFERROR(PRD[[#This Row],[VALOR]]/PRD[[#This Row],[KGS]],"")</f>
        <v>7.1120535714285706</v>
      </c>
      <c r="H1378" s="27"/>
    </row>
    <row r="1379" spans="1:8" x14ac:dyDescent="0.25">
      <c r="A1379" s="21">
        <v>8150005</v>
      </c>
      <c r="B1379" s="1">
        <v>45078</v>
      </c>
      <c r="C1379" t="s">
        <v>386</v>
      </c>
      <c r="D1379">
        <v>3960</v>
      </c>
      <c r="E1379" s="14">
        <v>21656.7</v>
      </c>
      <c r="F1379" s="15">
        <f>IFERROR(PRD[[#This Row],[VALOR]]/PRD[[#This Row],[KGS]],"")</f>
        <v>5.4688636363636363</v>
      </c>
      <c r="H1379" s="27"/>
    </row>
    <row r="1380" spans="1:8" x14ac:dyDescent="0.25">
      <c r="A1380" s="21">
        <v>8150006</v>
      </c>
      <c r="B1380" s="1">
        <v>45078</v>
      </c>
      <c r="C1380" t="s">
        <v>387</v>
      </c>
      <c r="D1380">
        <v>1450</v>
      </c>
      <c r="E1380" s="14">
        <v>7100</v>
      </c>
      <c r="F1380" s="15">
        <f>IFERROR(PRD[[#This Row],[VALOR]]/PRD[[#This Row],[KGS]],"")</f>
        <v>4.8965517241379306</v>
      </c>
      <c r="H1380" s="27"/>
    </row>
    <row r="1381" spans="1:8" x14ac:dyDescent="0.25">
      <c r="A1381" s="21">
        <v>8150009</v>
      </c>
      <c r="B1381" s="1">
        <v>45078</v>
      </c>
      <c r="C1381" t="s">
        <v>678</v>
      </c>
      <c r="D1381">
        <v>1200</v>
      </c>
      <c r="E1381" s="14">
        <v>21120</v>
      </c>
      <c r="F1381" s="15">
        <f>IFERROR(PRD[[#This Row],[VALOR]]/PRD[[#This Row],[KGS]],"")</f>
        <v>17.600000000000001</v>
      </c>
      <c r="H1381" s="27"/>
    </row>
    <row r="1382" spans="1:8" x14ac:dyDescent="0.25">
      <c r="A1382" s="21">
        <v>8150011</v>
      </c>
      <c r="B1382" s="1">
        <v>45078</v>
      </c>
      <c r="C1382" t="s">
        <v>532</v>
      </c>
      <c r="D1382">
        <v>7</v>
      </c>
      <c r="E1382" s="14">
        <v>40.39</v>
      </c>
      <c r="F1382" s="15">
        <f>IFERROR(PRD[[#This Row],[VALOR]]/PRD[[#This Row],[KGS]],"")</f>
        <v>5.7700000000000005</v>
      </c>
      <c r="H1382" s="27"/>
    </row>
    <row r="1383" spans="1:8" x14ac:dyDescent="0.25">
      <c r="A1383" s="21">
        <v>8150018</v>
      </c>
      <c r="B1383" s="1">
        <v>45078</v>
      </c>
      <c r="C1383" t="s">
        <v>679</v>
      </c>
      <c r="D1383">
        <v>720</v>
      </c>
      <c r="E1383" s="14">
        <v>5904</v>
      </c>
      <c r="F1383" s="15">
        <f>IFERROR(PRD[[#This Row],[VALOR]]/PRD[[#This Row],[KGS]],"")</f>
        <v>8.1999999999999993</v>
      </c>
      <c r="H1383" s="27"/>
    </row>
    <row r="1384" spans="1:8" x14ac:dyDescent="0.25">
      <c r="A1384" s="21">
        <v>8150019</v>
      </c>
      <c r="B1384" s="1">
        <v>45078</v>
      </c>
      <c r="C1384" t="s">
        <v>680</v>
      </c>
      <c r="D1384">
        <v>840</v>
      </c>
      <c r="E1384" s="14">
        <v>4452</v>
      </c>
      <c r="F1384" s="15">
        <f>IFERROR(PRD[[#This Row],[VALOR]]/PRD[[#This Row],[KGS]],"")</f>
        <v>5.3</v>
      </c>
      <c r="H1384" s="27"/>
    </row>
    <row r="1385" spans="1:8" x14ac:dyDescent="0.25">
      <c r="A1385" s="21">
        <v>8150020</v>
      </c>
      <c r="B1385" s="1">
        <v>45078</v>
      </c>
      <c r="C1385" t="s">
        <v>681</v>
      </c>
      <c r="D1385">
        <v>630</v>
      </c>
      <c r="E1385" s="14">
        <v>5323.5</v>
      </c>
      <c r="F1385" s="15">
        <f>IFERROR(PRD[[#This Row],[VALOR]]/PRD[[#This Row],[KGS]],"")</f>
        <v>8.4499999999999993</v>
      </c>
      <c r="H1385" s="27"/>
    </row>
    <row r="1386" spans="1:8" x14ac:dyDescent="0.25">
      <c r="A1386" s="21">
        <v>8150021</v>
      </c>
      <c r="B1386" s="1">
        <v>45078</v>
      </c>
      <c r="C1386" t="s">
        <v>682</v>
      </c>
      <c r="D1386">
        <v>630</v>
      </c>
      <c r="E1386" s="14">
        <v>5134.5</v>
      </c>
      <c r="F1386" s="15">
        <f>IFERROR(PRD[[#This Row],[VALOR]]/PRD[[#This Row],[KGS]],"")</f>
        <v>8.15</v>
      </c>
      <c r="H1386" s="27"/>
    </row>
    <row r="1387" spans="1:8" x14ac:dyDescent="0.25">
      <c r="A1387" s="21">
        <v>8160001</v>
      </c>
      <c r="B1387" s="1">
        <v>45078</v>
      </c>
      <c r="C1387" t="s">
        <v>683</v>
      </c>
      <c r="D1387">
        <v>741.88</v>
      </c>
      <c r="E1387" s="14">
        <v>7418.8</v>
      </c>
      <c r="F1387" s="15">
        <f>IFERROR(PRD[[#This Row],[VALOR]]/PRD[[#This Row],[KGS]],"")</f>
        <v>10</v>
      </c>
      <c r="H1387" s="27"/>
    </row>
    <row r="1388" spans="1:8" x14ac:dyDescent="0.25">
      <c r="A1388" s="21">
        <v>1010200</v>
      </c>
      <c r="B1388" s="1">
        <v>45108</v>
      </c>
      <c r="C1388" t="s">
        <v>331</v>
      </c>
      <c r="D1388">
        <v>817.2</v>
      </c>
      <c r="E1388">
        <v>245.16</v>
      </c>
      <c r="F1388" s="15">
        <f>IFERROR(PRD[[#This Row],[VALOR]]/PRD[[#This Row],[KGS]],"")</f>
        <v>0.3</v>
      </c>
      <c r="H1388" s="27"/>
    </row>
    <row r="1389" spans="1:8" x14ac:dyDescent="0.25">
      <c r="A1389" s="21">
        <v>1010300</v>
      </c>
      <c r="B1389" s="1">
        <v>45108</v>
      </c>
      <c r="C1389" t="s">
        <v>333</v>
      </c>
      <c r="D1389">
        <v>387.6</v>
      </c>
      <c r="E1389">
        <v>116.28</v>
      </c>
      <c r="F1389" s="15">
        <f>IFERROR(PRD[[#This Row],[VALOR]]/PRD[[#This Row],[KGS]],"")</f>
        <v>0.3</v>
      </c>
      <c r="H1389" s="27"/>
    </row>
    <row r="1390" spans="1:8" x14ac:dyDescent="0.25">
      <c r="A1390" s="21">
        <v>1010400</v>
      </c>
      <c r="B1390" s="1">
        <v>45108</v>
      </c>
      <c r="C1390" t="s">
        <v>6</v>
      </c>
      <c r="D1390">
        <v>402</v>
      </c>
      <c r="E1390">
        <v>103.95</v>
      </c>
      <c r="F1390" s="15">
        <f>IFERROR(PRD[[#This Row],[VALOR]]/PRD[[#This Row],[KGS]],"")</f>
        <v>0.25858208955223883</v>
      </c>
      <c r="H1390" s="27"/>
    </row>
    <row r="1391" spans="1:8" x14ac:dyDescent="0.25">
      <c r="A1391" s="21">
        <v>1010500</v>
      </c>
      <c r="B1391" s="1">
        <v>45108</v>
      </c>
      <c r="C1391" t="s">
        <v>6</v>
      </c>
      <c r="D1391">
        <v>2084.54</v>
      </c>
      <c r="E1391">
        <v>1244.6300000000001</v>
      </c>
      <c r="F1391" s="15">
        <f>IFERROR(PRD[[#This Row],[VALOR]]/PRD[[#This Row],[KGS]],"")</f>
        <v>0.59707657324877439</v>
      </c>
      <c r="H1391" s="27"/>
    </row>
    <row r="1392" spans="1:8" x14ac:dyDescent="0.25">
      <c r="A1392" s="21">
        <v>1010600</v>
      </c>
      <c r="B1392" s="1">
        <v>45108</v>
      </c>
      <c r="C1392" t="s">
        <v>334</v>
      </c>
      <c r="D1392">
        <v>13322.58</v>
      </c>
      <c r="E1392">
        <v>8762.2199999999993</v>
      </c>
      <c r="F1392" s="15">
        <f>IFERROR(PRD[[#This Row],[VALOR]]/PRD[[#This Row],[KGS]],"")</f>
        <v>0.65769693257612261</v>
      </c>
      <c r="H1392" s="27"/>
    </row>
    <row r="1393" spans="1:8" x14ac:dyDescent="0.25">
      <c r="A1393" s="21">
        <v>1010700</v>
      </c>
      <c r="B1393" s="1">
        <v>45108</v>
      </c>
      <c r="C1393" t="s">
        <v>10</v>
      </c>
      <c r="D1393">
        <v>393.92</v>
      </c>
      <c r="E1393">
        <v>675.69</v>
      </c>
      <c r="F1393" s="15">
        <f>IFERROR(PRD[[#This Row],[VALOR]]/PRD[[#This Row],[KGS]],"")</f>
        <v>1.7152975223395615</v>
      </c>
      <c r="H1393" s="27"/>
    </row>
    <row r="1394" spans="1:8" x14ac:dyDescent="0.25">
      <c r="A1394" s="21">
        <v>1010701</v>
      </c>
      <c r="B1394" s="1">
        <v>45108</v>
      </c>
      <c r="C1394" t="s">
        <v>12</v>
      </c>
      <c r="D1394">
        <v>54.62</v>
      </c>
      <c r="E1394">
        <v>415.97</v>
      </c>
      <c r="F1394" s="15">
        <f>IFERROR(PRD[[#This Row],[VALOR]]/PRD[[#This Row],[KGS]],"")</f>
        <v>7.6157085316733806</v>
      </c>
      <c r="H1394" s="27"/>
    </row>
    <row r="1395" spans="1:8" x14ac:dyDescent="0.25">
      <c r="A1395" s="21">
        <v>1010732</v>
      </c>
      <c r="B1395" s="1">
        <v>45108</v>
      </c>
      <c r="C1395" t="s">
        <v>14</v>
      </c>
      <c r="D1395">
        <v>70</v>
      </c>
      <c r="E1395">
        <v>574</v>
      </c>
      <c r="F1395" s="15">
        <f>IFERROR(PRD[[#This Row],[VALOR]]/PRD[[#This Row],[KGS]],"")</f>
        <v>8.1999999999999993</v>
      </c>
      <c r="H1395" s="27"/>
    </row>
    <row r="1396" spans="1:8" x14ac:dyDescent="0.25">
      <c r="A1396" s="21">
        <v>1010900</v>
      </c>
      <c r="B1396" s="1">
        <v>45108</v>
      </c>
      <c r="C1396" t="s">
        <v>336</v>
      </c>
      <c r="D1396">
        <v>23.7</v>
      </c>
      <c r="E1396">
        <v>34.35</v>
      </c>
      <c r="F1396" s="15">
        <f>IFERROR(PRD[[#This Row],[VALOR]]/PRD[[#This Row],[KGS]],"")</f>
        <v>1.4493670886075951</v>
      </c>
      <c r="H1396" s="27"/>
    </row>
    <row r="1397" spans="1:8" x14ac:dyDescent="0.25">
      <c r="A1397" s="21">
        <v>1010901</v>
      </c>
      <c r="B1397" s="1">
        <v>45108</v>
      </c>
      <c r="C1397" t="s">
        <v>337</v>
      </c>
      <c r="D1397">
        <v>5.5</v>
      </c>
      <c r="E1397">
        <v>5.5</v>
      </c>
      <c r="F1397" s="15">
        <f>IFERROR(PRD[[#This Row],[VALOR]]/PRD[[#This Row],[KGS]],"")</f>
        <v>1</v>
      </c>
      <c r="H1397" s="27"/>
    </row>
    <row r="1398" spans="1:8" x14ac:dyDescent="0.25">
      <c r="A1398" s="21">
        <v>1010902</v>
      </c>
      <c r="B1398" s="1">
        <v>45108</v>
      </c>
      <c r="C1398" t="s">
        <v>431</v>
      </c>
      <c r="D1398">
        <v>501.78</v>
      </c>
      <c r="E1398">
        <v>650.03</v>
      </c>
      <c r="F1398" s="15">
        <f>IFERROR(PRD[[#This Row],[VALOR]]/PRD[[#This Row],[KGS]],"")</f>
        <v>1.2954482043923632</v>
      </c>
      <c r="H1398" s="27"/>
    </row>
    <row r="1399" spans="1:8" x14ac:dyDescent="0.25">
      <c r="A1399" s="21">
        <v>1010903</v>
      </c>
      <c r="B1399" s="1">
        <v>45108</v>
      </c>
      <c r="C1399" t="s">
        <v>629</v>
      </c>
      <c r="D1399">
        <v>98.8</v>
      </c>
      <c r="E1399">
        <v>95.84</v>
      </c>
      <c r="F1399" s="15">
        <f>IFERROR(PRD[[#This Row],[VALOR]]/PRD[[#This Row],[KGS]],"")</f>
        <v>0.97004048582995961</v>
      </c>
      <c r="H1399" s="27"/>
    </row>
    <row r="1400" spans="1:8" x14ac:dyDescent="0.25">
      <c r="A1400" s="21">
        <v>1011000</v>
      </c>
      <c r="B1400" s="1">
        <v>45108</v>
      </c>
      <c r="C1400" t="s">
        <v>20</v>
      </c>
      <c r="D1400">
        <v>974.06</v>
      </c>
      <c r="E1400">
        <v>703.02</v>
      </c>
      <c r="F1400" s="15">
        <f>IFERROR(PRD[[#This Row],[VALOR]]/PRD[[#This Row],[KGS]],"")</f>
        <v>0.72174198714658233</v>
      </c>
      <c r="H1400" s="27"/>
    </row>
    <row r="1401" spans="1:8" x14ac:dyDescent="0.25">
      <c r="A1401" s="21">
        <v>1011100</v>
      </c>
      <c r="B1401" s="1">
        <v>45108</v>
      </c>
      <c r="C1401" t="s">
        <v>22</v>
      </c>
      <c r="D1401">
        <v>57.7</v>
      </c>
      <c r="E1401">
        <v>29.4</v>
      </c>
      <c r="F1401" s="15">
        <f>IFERROR(PRD[[#This Row],[VALOR]]/PRD[[#This Row],[KGS]],"")</f>
        <v>0.50953206239168103</v>
      </c>
      <c r="H1401" s="27"/>
    </row>
    <row r="1402" spans="1:8" x14ac:dyDescent="0.25">
      <c r="A1402" s="21">
        <v>1011200</v>
      </c>
      <c r="B1402" s="1">
        <v>45108</v>
      </c>
      <c r="C1402" t="s">
        <v>24</v>
      </c>
      <c r="D1402">
        <v>43.6</v>
      </c>
      <c r="E1402">
        <v>59.82</v>
      </c>
      <c r="F1402" s="15">
        <f>IFERROR(PRD[[#This Row],[VALOR]]/PRD[[#This Row],[KGS]],"")</f>
        <v>1.3720183486238531</v>
      </c>
      <c r="H1402" s="27"/>
    </row>
    <row r="1403" spans="1:8" x14ac:dyDescent="0.25">
      <c r="A1403" s="21">
        <v>1011201</v>
      </c>
      <c r="B1403" s="1">
        <v>45108</v>
      </c>
      <c r="C1403" t="s">
        <v>338</v>
      </c>
      <c r="D1403">
        <v>117.5</v>
      </c>
      <c r="E1403">
        <v>317.25</v>
      </c>
      <c r="F1403" s="15">
        <f>IFERROR(PRD[[#This Row],[VALOR]]/PRD[[#This Row],[KGS]],"")</f>
        <v>2.7</v>
      </c>
      <c r="H1403" s="27"/>
    </row>
    <row r="1404" spans="1:8" x14ac:dyDescent="0.25">
      <c r="A1404" s="21">
        <v>1011202</v>
      </c>
      <c r="B1404" s="1">
        <v>45108</v>
      </c>
      <c r="C1404" t="s">
        <v>340</v>
      </c>
      <c r="D1404">
        <v>501.6</v>
      </c>
      <c r="E1404">
        <v>189.52</v>
      </c>
      <c r="F1404" s="15">
        <f>IFERROR(PRD[[#This Row],[VALOR]]/PRD[[#This Row],[KGS]],"")</f>
        <v>0.37783094098883574</v>
      </c>
      <c r="H1404" s="27"/>
    </row>
    <row r="1405" spans="1:8" x14ac:dyDescent="0.25">
      <c r="A1405" s="21">
        <v>1011203</v>
      </c>
      <c r="B1405" s="1">
        <v>45108</v>
      </c>
      <c r="C1405" t="s">
        <v>342</v>
      </c>
      <c r="D1405">
        <v>125.3</v>
      </c>
      <c r="E1405">
        <v>75.180000000000007</v>
      </c>
      <c r="F1405" s="15">
        <f>IFERROR(PRD[[#This Row],[VALOR]]/PRD[[#This Row],[KGS]],"")</f>
        <v>0.60000000000000009</v>
      </c>
      <c r="H1405" s="27"/>
    </row>
    <row r="1406" spans="1:8" x14ac:dyDescent="0.25">
      <c r="A1406" s="21">
        <v>1011204</v>
      </c>
      <c r="B1406" s="1">
        <v>45108</v>
      </c>
      <c r="C1406" t="s">
        <v>344</v>
      </c>
      <c r="D1406">
        <v>151.80000000000001</v>
      </c>
      <c r="E1406">
        <v>258.06</v>
      </c>
      <c r="F1406" s="15">
        <f>IFERROR(PRD[[#This Row],[VALOR]]/PRD[[#This Row],[KGS]],"")</f>
        <v>1.7</v>
      </c>
      <c r="H1406" s="27"/>
    </row>
    <row r="1407" spans="1:8" x14ac:dyDescent="0.25">
      <c r="A1407" s="21">
        <v>1011209</v>
      </c>
      <c r="B1407" s="1">
        <v>45108</v>
      </c>
      <c r="C1407" t="s">
        <v>684</v>
      </c>
      <c r="D1407">
        <v>47</v>
      </c>
      <c r="E1407">
        <v>16.45</v>
      </c>
      <c r="F1407" s="15">
        <f>IFERROR(PRD[[#This Row],[VALOR]]/PRD[[#This Row],[KGS]],"")</f>
        <v>0.35</v>
      </c>
      <c r="H1407" s="27"/>
    </row>
    <row r="1408" spans="1:8" x14ac:dyDescent="0.25">
      <c r="A1408" s="21">
        <v>1011211</v>
      </c>
      <c r="B1408" s="1">
        <v>45108</v>
      </c>
      <c r="C1408" t="s">
        <v>685</v>
      </c>
      <c r="D1408">
        <v>67.8</v>
      </c>
      <c r="E1408">
        <v>23.73</v>
      </c>
      <c r="F1408" s="15">
        <f>IFERROR(PRD[[#This Row],[VALOR]]/PRD[[#This Row],[KGS]],"")</f>
        <v>0.35000000000000003</v>
      </c>
      <c r="H1408" s="27"/>
    </row>
    <row r="1409" spans="1:8" x14ac:dyDescent="0.25">
      <c r="A1409" s="21">
        <v>1011300</v>
      </c>
      <c r="B1409" s="1">
        <v>45108</v>
      </c>
      <c r="C1409" t="s">
        <v>295</v>
      </c>
      <c r="D1409">
        <v>3539.7</v>
      </c>
      <c r="E1409">
        <v>2831.76</v>
      </c>
      <c r="F1409" s="15">
        <f>IFERROR(PRD[[#This Row],[VALOR]]/PRD[[#This Row],[KGS]],"")</f>
        <v>0.80000000000000016</v>
      </c>
      <c r="H1409" s="27"/>
    </row>
    <row r="1410" spans="1:8" x14ac:dyDescent="0.25">
      <c r="A1410" s="21">
        <v>1011400</v>
      </c>
      <c r="B1410" s="1">
        <v>45108</v>
      </c>
      <c r="C1410" t="s">
        <v>25</v>
      </c>
      <c r="D1410">
        <v>1</v>
      </c>
      <c r="E1410">
        <v>2.5</v>
      </c>
      <c r="F1410" s="15">
        <f>IFERROR(PRD[[#This Row],[VALOR]]/PRD[[#This Row],[KGS]],"")</f>
        <v>2.5</v>
      </c>
      <c r="H1410" s="27"/>
    </row>
    <row r="1411" spans="1:8" x14ac:dyDescent="0.25">
      <c r="A1411" s="21">
        <v>1011500</v>
      </c>
      <c r="B1411" s="1">
        <v>45108</v>
      </c>
      <c r="C1411" t="s">
        <v>27</v>
      </c>
      <c r="D1411">
        <v>3419.27</v>
      </c>
      <c r="E1411">
        <v>2715.23</v>
      </c>
      <c r="F1411" s="15">
        <f>IFERROR(PRD[[#This Row],[VALOR]]/PRD[[#This Row],[KGS]],"")</f>
        <v>0.79409640069371534</v>
      </c>
      <c r="H1411" s="27"/>
    </row>
    <row r="1412" spans="1:8" x14ac:dyDescent="0.25">
      <c r="A1412" s="21">
        <v>1011604</v>
      </c>
      <c r="B1412" s="1">
        <v>45108</v>
      </c>
      <c r="C1412" t="s">
        <v>29</v>
      </c>
      <c r="D1412">
        <v>21753</v>
      </c>
      <c r="E1412">
        <v>1725.84</v>
      </c>
      <c r="F1412" s="15">
        <f>IFERROR(PRD[[#This Row],[VALOR]]/PRD[[#This Row],[KGS]],"")</f>
        <v>7.9338022341745959E-2</v>
      </c>
      <c r="H1412" s="27"/>
    </row>
    <row r="1413" spans="1:8" x14ac:dyDescent="0.25">
      <c r="A1413" s="21">
        <v>1011700</v>
      </c>
      <c r="B1413" s="1">
        <v>45108</v>
      </c>
      <c r="C1413" t="s">
        <v>31</v>
      </c>
      <c r="D1413">
        <v>262</v>
      </c>
      <c r="E1413">
        <v>432.57</v>
      </c>
      <c r="F1413" s="15">
        <f>IFERROR(PRD[[#This Row],[VALOR]]/PRD[[#This Row],[KGS]],"")</f>
        <v>1.6510305343511451</v>
      </c>
      <c r="H1413" s="27"/>
    </row>
    <row r="1414" spans="1:8" x14ac:dyDescent="0.25">
      <c r="A1414" s="21">
        <v>1011800</v>
      </c>
      <c r="B1414" s="1">
        <v>45108</v>
      </c>
      <c r="C1414" t="s">
        <v>33</v>
      </c>
      <c r="D1414">
        <v>1586.89</v>
      </c>
      <c r="E1414">
        <v>3223.63</v>
      </c>
      <c r="F1414" s="15">
        <f>IFERROR(PRD[[#This Row],[VALOR]]/PRD[[#This Row],[KGS]],"")</f>
        <v>2.0314136455582932</v>
      </c>
      <c r="H1414" s="27"/>
    </row>
    <row r="1415" spans="1:8" x14ac:dyDescent="0.25">
      <c r="A1415" s="21">
        <v>1011801</v>
      </c>
      <c r="B1415" s="1">
        <v>45108</v>
      </c>
      <c r="C1415" t="s">
        <v>35</v>
      </c>
      <c r="D1415">
        <v>104.59</v>
      </c>
      <c r="E1415">
        <v>156.88999999999999</v>
      </c>
      <c r="F1415" s="15">
        <f>IFERROR(PRD[[#This Row],[VALOR]]/PRD[[#This Row],[KGS]],"")</f>
        <v>1.5000478057175637</v>
      </c>
      <c r="H1415" s="27"/>
    </row>
    <row r="1416" spans="1:8" x14ac:dyDescent="0.25">
      <c r="A1416" s="21">
        <v>1011901</v>
      </c>
      <c r="B1416" s="1">
        <v>45108</v>
      </c>
      <c r="C1416" t="s">
        <v>37</v>
      </c>
      <c r="D1416">
        <v>47.55</v>
      </c>
      <c r="E1416">
        <v>47.55</v>
      </c>
      <c r="F1416" s="15">
        <f>IFERROR(PRD[[#This Row],[VALOR]]/PRD[[#This Row],[KGS]],"")</f>
        <v>1</v>
      </c>
      <c r="H1416" s="27"/>
    </row>
    <row r="1417" spans="1:8" x14ac:dyDescent="0.25">
      <c r="A1417" s="21">
        <v>1012100</v>
      </c>
      <c r="B1417" s="1">
        <v>45108</v>
      </c>
      <c r="C1417" t="s">
        <v>302</v>
      </c>
      <c r="D1417">
        <v>529.4</v>
      </c>
      <c r="E1417">
        <v>1482.32</v>
      </c>
      <c r="F1417" s="15">
        <f>IFERROR(PRD[[#This Row],[VALOR]]/PRD[[#This Row],[KGS]],"")</f>
        <v>2.8</v>
      </c>
      <c r="H1417" s="27"/>
    </row>
    <row r="1418" spans="1:8" x14ac:dyDescent="0.25">
      <c r="A1418" s="21">
        <v>1012200</v>
      </c>
      <c r="B1418" s="1">
        <v>45108</v>
      </c>
      <c r="C1418" t="s">
        <v>39</v>
      </c>
      <c r="D1418">
        <v>416.1</v>
      </c>
      <c r="E1418">
        <v>665.37</v>
      </c>
      <c r="F1418" s="15">
        <f>IFERROR(PRD[[#This Row],[VALOR]]/PRD[[#This Row],[KGS]],"")</f>
        <v>1.5990627253064167</v>
      </c>
      <c r="H1418" s="27"/>
    </row>
    <row r="1419" spans="1:8" x14ac:dyDescent="0.25">
      <c r="A1419" s="21">
        <v>1012201</v>
      </c>
      <c r="B1419" s="1">
        <v>45108</v>
      </c>
      <c r="C1419" t="s">
        <v>41</v>
      </c>
      <c r="D1419">
        <v>645.9</v>
      </c>
      <c r="E1419">
        <v>1291.8699999999999</v>
      </c>
      <c r="F1419" s="15">
        <f>IFERROR(PRD[[#This Row],[VALOR]]/PRD[[#This Row],[KGS]],"")</f>
        <v>2.0001083759095835</v>
      </c>
      <c r="H1419" s="27"/>
    </row>
    <row r="1420" spans="1:8" x14ac:dyDescent="0.25">
      <c r="A1420" s="21">
        <v>1012203</v>
      </c>
      <c r="B1420" s="1">
        <v>45108</v>
      </c>
      <c r="C1420" t="s">
        <v>43</v>
      </c>
      <c r="D1420">
        <v>2282</v>
      </c>
      <c r="E1420">
        <v>3860.33</v>
      </c>
      <c r="F1420" s="15">
        <f>IFERROR(PRD[[#This Row],[VALOR]]/PRD[[#This Row],[KGS]],"")</f>
        <v>1.6916432953549518</v>
      </c>
      <c r="H1420" s="27"/>
    </row>
    <row r="1421" spans="1:8" x14ac:dyDescent="0.25">
      <c r="A1421" s="21">
        <v>1012300</v>
      </c>
      <c r="B1421" s="1">
        <v>45108</v>
      </c>
      <c r="C1421" t="s">
        <v>45</v>
      </c>
      <c r="D1421">
        <v>241.6</v>
      </c>
      <c r="E1421">
        <v>359.62</v>
      </c>
      <c r="F1421" s="15">
        <f>IFERROR(PRD[[#This Row],[VALOR]]/PRD[[#This Row],[KGS]],"")</f>
        <v>1.4884933774834437</v>
      </c>
      <c r="H1421" s="27"/>
    </row>
    <row r="1422" spans="1:8" x14ac:dyDescent="0.25">
      <c r="A1422" s="21">
        <v>1012301</v>
      </c>
      <c r="B1422" s="1">
        <v>45108</v>
      </c>
      <c r="C1422" t="s">
        <v>47</v>
      </c>
      <c r="D1422">
        <v>30</v>
      </c>
      <c r="E1422">
        <v>37.5</v>
      </c>
      <c r="F1422" s="15">
        <f>IFERROR(PRD[[#This Row],[VALOR]]/PRD[[#This Row],[KGS]],"")</f>
        <v>1.25</v>
      </c>
      <c r="H1422" s="27"/>
    </row>
    <row r="1423" spans="1:8" x14ac:dyDescent="0.25">
      <c r="A1423" s="21">
        <v>1012400</v>
      </c>
      <c r="B1423" s="1">
        <v>45108</v>
      </c>
      <c r="C1423" t="s">
        <v>49</v>
      </c>
      <c r="D1423">
        <v>642.64</v>
      </c>
      <c r="E1423">
        <v>1035.92</v>
      </c>
      <c r="F1423" s="15">
        <f>IFERROR(PRD[[#This Row],[VALOR]]/PRD[[#This Row],[KGS]],"")</f>
        <v>1.6119756006473298</v>
      </c>
      <c r="H1423" s="27"/>
    </row>
    <row r="1424" spans="1:8" x14ac:dyDescent="0.25">
      <c r="A1424" s="21">
        <v>1012401</v>
      </c>
      <c r="B1424" s="1">
        <v>45108</v>
      </c>
      <c r="C1424" t="s">
        <v>51</v>
      </c>
      <c r="D1424">
        <v>230</v>
      </c>
      <c r="E1424">
        <v>424</v>
      </c>
      <c r="F1424" s="15">
        <f>IFERROR(PRD[[#This Row],[VALOR]]/PRD[[#This Row],[KGS]],"")</f>
        <v>1.8434782608695652</v>
      </c>
      <c r="H1424" s="27"/>
    </row>
    <row r="1425" spans="1:8" x14ac:dyDescent="0.25">
      <c r="A1425" s="21">
        <v>1012500</v>
      </c>
      <c r="B1425" s="1">
        <v>45108</v>
      </c>
      <c r="C1425" t="s">
        <v>53</v>
      </c>
      <c r="D1425">
        <v>1275.5</v>
      </c>
      <c r="E1425">
        <v>510.5</v>
      </c>
      <c r="F1425" s="15">
        <f>IFERROR(PRD[[#This Row],[VALOR]]/PRD[[#This Row],[KGS]],"")</f>
        <v>0.40023520188161504</v>
      </c>
      <c r="H1425" s="27"/>
    </row>
    <row r="1426" spans="1:8" x14ac:dyDescent="0.25">
      <c r="A1426" s="21">
        <v>1012601</v>
      </c>
      <c r="B1426" s="1">
        <v>45108</v>
      </c>
      <c r="C1426" t="s">
        <v>55</v>
      </c>
      <c r="D1426">
        <v>91</v>
      </c>
      <c r="E1426">
        <v>91</v>
      </c>
      <c r="F1426" s="15">
        <f>IFERROR(PRD[[#This Row],[VALOR]]/PRD[[#This Row],[KGS]],"")</f>
        <v>1</v>
      </c>
      <c r="H1426" s="27"/>
    </row>
    <row r="1427" spans="1:8" x14ac:dyDescent="0.25">
      <c r="A1427" s="21">
        <v>1012700</v>
      </c>
      <c r="B1427" s="1">
        <v>45108</v>
      </c>
      <c r="C1427" t="s">
        <v>630</v>
      </c>
      <c r="D1427">
        <v>98.6</v>
      </c>
      <c r="E1427">
        <v>128.18</v>
      </c>
      <c r="F1427" s="15">
        <f>IFERROR(PRD[[#This Row],[VALOR]]/PRD[[#This Row],[KGS]],"")</f>
        <v>1.3</v>
      </c>
      <c r="H1427" s="27"/>
    </row>
    <row r="1428" spans="1:8" x14ac:dyDescent="0.25">
      <c r="A1428" s="21">
        <v>1012800</v>
      </c>
      <c r="B1428" s="1">
        <v>45108</v>
      </c>
      <c r="C1428" t="s">
        <v>439</v>
      </c>
      <c r="D1428">
        <v>14</v>
      </c>
      <c r="E1428">
        <v>11.2</v>
      </c>
      <c r="F1428" s="15">
        <f>IFERROR(PRD[[#This Row],[VALOR]]/PRD[[#This Row],[KGS]],"")</f>
        <v>0.79999999999999993</v>
      </c>
      <c r="H1428" s="27"/>
    </row>
    <row r="1429" spans="1:8" x14ac:dyDescent="0.25">
      <c r="A1429" s="21">
        <v>1013100</v>
      </c>
      <c r="B1429" s="1">
        <v>45108</v>
      </c>
      <c r="C1429" t="s">
        <v>57</v>
      </c>
      <c r="D1429">
        <v>121</v>
      </c>
      <c r="E1429">
        <v>148.80000000000001</v>
      </c>
      <c r="F1429" s="15">
        <f>IFERROR(PRD[[#This Row],[VALOR]]/PRD[[#This Row],[KGS]],"")</f>
        <v>1.2297520661157026</v>
      </c>
      <c r="H1429" s="27"/>
    </row>
    <row r="1430" spans="1:8" x14ac:dyDescent="0.25">
      <c r="A1430" s="21">
        <v>1013101</v>
      </c>
      <c r="B1430" s="1">
        <v>45108</v>
      </c>
      <c r="C1430" t="s">
        <v>346</v>
      </c>
      <c r="D1430">
        <v>4428</v>
      </c>
      <c r="E1430">
        <v>10060.200000000001</v>
      </c>
      <c r="F1430" s="15">
        <f>IFERROR(PRD[[#This Row],[VALOR]]/PRD[[#This Row],[KGS]],"")</f>
        <v>2.2719512195121951</v>
      </c>
      <c r="H1430" s="27"/>
    </row>
    <row r="1431" spans="1:8" x14ac:dyDescent="0.25">
      <c r="A1431" s="21">
        <v>1013200</v>
      </c>
      <c r="B1431" s="1">
        <v>45108</v>
      </c>
      <c r="C1431" t="s">
        <v>59</v>
      </c>
      <c r="D1431">
        <v>1658</v>
      </c>
      <c r="E1431">
        <v>2034.55</v>
      </c>
      <c r="F1431" s="15">
        <f>IFERROR(PRD[[#This Row],[VALOR]]/PRD[[#This Row],[KGS]],"")</f>
        <v>1.2271109770808202</v>
      </c>
      <c r="H1431" s="27"/>
    </row>
    <row r="1432" spans="1:8" x14ac:dyDescent="0.25">
      <c r="A1432" s="21">
        <v>1013300</v>
      </c>
      <c r="B1432" s="1">
        <v>45108</v>
      </c>
      <c r="C1432" t="s">
        <v>348</v>
      </c>
      <c r="D1432">
        <v>951.5</v>
      </c>
      <c r="E1432">
        <v>285.45</v>
      </c>
      <c r="F1432" s="15">
        <f>IFERROR(PRD[[#This Row],[VALOR]]/PRD[[#This Row],[KGS]],"")</f>
        <v>0.3</v>
      </c>
      <c r="H1432" s="27"/>
    </row>
    <row r="1433" spans="1:8" x14ac:dyDescent="0.25">
      <c r="A1433" s="21">
        <v>1013500</v>
      </c>
      <c r="B1433" s="1">
        <v>45108</v>
      </c>
      <c r="C1433" t="s">
        <v>61</v>
      </c>
      <c r="D1433">
        <v>12.5</v>
      </c>
      <c r="E1433">
        <v>6.25</v>
      </c>
      <c r="F1433" s="15">
        <f>IFERROR(PRD[[#This Row],[VALOR]]/PRD[[#This Row],[KGS]],"")</f>
        <v>0.5</v>
      </c>
      <c r="H1433" s="27"/>
    </row>
    <row r="1434" spans="1:8" x14ac:dyDescent="0.25">
      <c r="A1434" s="21">
        <v>1100100</v>
      </c>
      <c r="B1434" s="1">
        <v>45108</v>
      </c>
      <c r="C1434" t="s">
        <v>63</v>
      </c>
      <c r="D1434">
        <v>63291.72</v>
      </c>
      <c r="E1434">
        <v>188249.59</v>
      </c>
      <c r="F1434" s="15">
        <f>IFERROR(PRD[[#This Row],[VALOR]]/PRD[[#This Row],[KGS]],"")</f>
        <v>2.9743162296742764</v>
      </c>
      <c r="H1434" s="27"/>
    </row>
    <row r="1435" spans="1:8" x14ac:dyDescent="0.25">
      <c r="A1435" s="21">
        <v>1100101</v>
      </c>
      <c r="B1435" s="1">
        <v>45108</v>
      </c>
      <c r="C1435" t="s">
        <v>65</v>
      </c>
      <c r="D1435">
        <v>357</v>
      </c>
      <c r="E1435">
        <v>1095.99</v>
      </c>
      <c r="F1435" s="15">
        <f>IFERROR(PRD[[#This Row],[VALOR]]/PRD[[#This Row],[KGS]],"")</f>
        <v>3.07</v>
      </c>
      <c r="H1435" s="27"/>
    </row>
    <row r="1436" spans="1:8" x14ac:dyDescent="0.25">
      <c r="A1436" s="21">
        <v>1100200</v>
      </c>
      <c r="B1436" s="1">
        <v>45108</v>
      </c>
      <c r="C1436" t="s">
        <v>67</v>
      </c>
      <c r="D1436">
        <v>70701.66</v>
      </c>
      <c r="E1436">
        <v>232356.06</v>
      </c>
      <c r="F1436" s="15">
        <f>IFERROR(PRD[[#This Row],[VALOR]]/PRD[[#This Row],[KGS]],"")</f>
        <v>3.286430049874359</v>
      </c>
      <c r="H1436" s="27"/>
    </row>
    <row r="1437" spans="1:8" x14ac:dyDescent="0.25">
      <c r="A1437" s="21">
        <v>1100300</v>
      </c>
      <c r="B1437" s="1">
        <v>45108</v>
      </c>
      <c r="C1437" t="s">
        <v>69</v>
      </c>
      <c r="D1437">
        <v>14993.1</v>
      </c>
      <c r="E1437">
        <v>49059.45</v>
      </c>
      <c r="F1437" s="15">
        <f>IFERROR(PRD[[#This Row],[VALOR]]/PRD[[#This Row],[KGS]],"")</f>
        <v>3.2721351821838041</v>
      </c>
      <c r="H1437" s="27"/>
    </row>
    <row r="1438" spans="1:8" x14ac:dyDescent="0.25">
      <c r="A1438" s="21">
        <v>1100301</v>
      </c>
      <c r="B1438" s="1">
        <v>45108</v>
      </c>
      <c r="C1438" t="s">
        <v>71</v>
      </c>
      <c r="D1438">
        <v>4434.3999999999996</v>
      </c>
      <c r="E1438">
        <v>14581.06</v>
      </c>
      <c r="F1438" s="15">
        <f>IFERROR(PRD[[#This Row],[VALOR]]/PRD[[#This Row],[KGS]],"")</f>
        <v>3.2881697636658851</v>
      </c>
      <c r="H1438" s="27"/>
    </row>
    <row r="1439" spans="1:8" x14ac:dyDescent="0.25">
      <c r="A1439" s="21">
        <v>1100400</v>
      </c>
      <c r="B1439" s="1">
        <v>45108</v>
      </c>
      <c r="C1439" t="s">
        <v>73</v>
      </c>
      <c r="D1439">
        <v>10277.9</v>
      </c>
      <c r="E1439">
        <v>30648.87</v>
      </c>
      <c r="F1439" s="15">
        <f>IFERROR(PRD[[#This Row],[VALOR]]/PRD[[#This Row],[KGS]],"")</f>
        <v>2.9820167543953531</v>
      </c>
      <c r="H1439" s="27"/>
    </row>
    <row r="1440" spans="1:8" x14ac:dyDescent="0.25">
      <c r="A1440" s="21">
        <v>1100500</v>
      </c>
      <c r="B1440" s="1">
        <v>45108</v>
      </c>
      <c r="C1440" t="s">
        <v>75</v>
      </c>
      <c r="D1440">
        <v>521.59</v>
      </c>
      <c r="E1440">
        <v>1671.77</v>
      </c>
      <c r="F1440" s="15">
        <f>IFERROR(PRD[[#This Row],[VALOR]]/PRD[[#This Row],[KGS]],"")</f>
        <v>3.2051419697463523</v>
      </c>
      <c r="H1440" s="27"/>
    </row>
    <row r="1441" spans="1:8" x14ac:dyDescent="0.25">
      <c r="A1441" s="21">
        <v>1100600</v>
      </c>
      <c r="B1441" s="1">
        <v>45108</v>
      </c>
      <c r="C1441" t="s">
        <v>77</v>
      </c>
      <c r="D1441">
        <v>8396.4699999999993</v>
      </c>
      <c r="E1441">
        <v>30698.89</v>
      </c>
      <c r="F1441" s="15">
        <f>IFERROR(PRD[[#This Row],[VALOR]]/PRD[[#This Row],[KGS]],"")</f>
        <v>3.6561662222338676</v>
      </c>
      <c r="H1441" s="27"/>
    </row>
    <row r="1442" spans="1:8" x14ac:dyDescent="0.25">
      <c r="A1442" s="21">
        <v>1100602</v>
      </c>
      <c r="B1442" s="1">
        <v>45108</v>
      </c>
      <c r="C1442" t="s">
        <v>79</v>
      </c>
      <c r="D1442">
        <v>458.9</v>
      </c>
      <c r="E1442">
        <v>2664.41</v>
      </c>
      <c r="F1442" s="15">
        <f>IFERROR(PRD[[#This Row],[VALOR]]/PRD[[#This Row],[KGS]],"")</f>
        <v>5.8060797559381125</v>
      </c>
      <c r="H1442" s="27"/>
    </row>
    <row r="1443" spans="1:8" x14ac:dyDescent="0.25">
      <c r="A1443" s="21">
        <v>1100603</v>
      </c>
      <c r="B1443" s="1">
        <v>45108</v>
      </c>
      <c r="C1443" t="s">
        <v>304</v>
      </c>
      <c r="D1443">
        <v>208.1</v>
      </c>
      <c r="E1443">
        <v>1097.07</v>
      </c>
      <c r="F1443" s="15">
        <f>IFERROR(PRD[[#This Row],[VALOR]]/PRD[[#This Row],[KGS]],"")</f>
        <v>5.2718404613166747</v>
      </c>
      <c r="H1443" s="27"/>
    </row>
    <row r="1444" spans="1:8" x14ac:dyDescent="0.25">
      <c r="A1444" s="21">
        <v>1100605</v>
      </c>
      <c r="B1444" s="1">
        <v>45108</v>
      </c>
      <c r="C1444" t="s">
        <v>631</v>
      </c>
      <c r="D1444">
        <v>242.88</v>
      </c>
      <c r="E1444">
        <v>886.54</v>
      </c>
      <c r="F1444" s="15">
        <f>IFERROR(PRD[[#This Row],[VALOR]]/PRD[[#This Row],[KGS]],"")</f>
        <v>3.650115283267457</v>
      </c>
      <c r="H1444" s="27"/>
    </row>
    <row r="1445" spans="1:8" x14ac:dyDescent="0.25">
      <c r="A1445" s="21">
        <v>1100608</v>
      </c>
      <c r="B1445" s="1">
        <v>45108</v>
      </c>
      <c r="C1445" t="s">
        <v>349</v>
      </c>
      <c r="D1445">
        <v>17831.599999999999</v>
      </c>
      <c r="E1445">
        <v>63722.12</v>
      </c>
      <c r="F1445" s="15">
        <f>IFERROR(PRD[[#This Row],[VALOR]]/PRD[[#This Row],[KGS]],"")</f>
        <v>3.5735503263868642</v>
      </c>
      <c r="H1445" s="27"/>
    </row>
    <row r="1446" spans="1:8" x14ac:dyDescent="0.25">
      <c r="A1446" s="21">
        <v>1100700</v>
      </c>
      <c r="B1446" s="1">
        <v>45108</v>
      </c>
      <c r="C1446" t="s">
        <v>83</v>
      </c>
      <c r="D1446">
        <v>26054.11</v>
      </c>
      <c r="E1446">
        <v>93518.95</v>
      </c>
      <c r="F1446" s="15">
        <f>IFERROR(PRD[[#This Row],[VALOR]]/PRD[[#This Row],[KGS]],"")</f>
        <v>3.5894125725269448</v>
      </c>
      <c r="H1446" s="27"/>
    </row>
    <row r="1447" spans="1:8" x14ac:dyDescent="0.25">
      <c r="A1447" s="21">
        <v>1100701</v>
      </c>
      <c r="B1447" s="1">
        <v>45108</v>
      </c>
      <c r="C1447" t="s">
        <v>84</v>
      </c>
      <c r="D1447">
        <v>377.3</v>
      </c>
      <c r="E1447">
        <v>1625.43</v>
      </c>
      <c r="F1447" s="15">
        <f>IFERROR(PRD[[#This Row],[VALOR]]/PRD[[#This Row],[KGS]],"")</f>
        <v>4.3080572488735758</v>
      </c>
      <c r="H1447" s="27"/>
    </row>
    <row r="1448" spans="1:8" x14ac:dyDescent="0.25">
      <c r="A1448" s="21">
        <v>1100703</v>
      </c>
      <c r="B1448" s="1">
        <v>45108</v>
      </c>
      <c r="C1448" t="s">
        <v>86</v>
      </c>
      <c r="D1448">
        <v>1848.61</v>
      </c>
      <c r="E1448">
        <v>7816.79</v>
      </c>
      <c r="F1448" s="15">
        <f>IFERROR(PRD[[#This Row],[VALOR]]/PRD[[#This Row],[KGS]],"")</f>
        <v>4.2284689577574506</v>
      </c>
      <c r="H1448" s="27"/>
    </row>
    <row r="1449" spans="1:8" x14ac:dyDescent="0.25">
      <c r="A1449" s="21">
        <v>1100705</v>
      </c>
      <c r="B1449" s="1">
        <v>45108</v>
      </c>
      <c r="C1449" t="s">
        <v>88</v>
      </c>
      <c r="D1449">
        <v>166.5</v>
      </c>
      <c r="E1449">
        <v>264.08</v>
      </c>
      <c r="F1449" s="15">
        <f>IFERROR(PRD[[#This Row],[VALOR]]/PRD[[#This Row],[KGS]],"")</f>
        <v>1.5860660660660659</v>
      </c>
      <c r="H1449" s="27"/>
    </row>
    <row r="1450" spans="1:8" x14ac:dyDescent="0.25">
      <c r="A1450" s="21">
        <v>1100706</v>
      </c>
      <c r="B1450" s="1">
        <v>45108</v>
      </c>
      <c r="C1450" t="s">
        <v>305</v>
      </c>
      <c r="D1450">
        <v>6.8</v>
      </c>
      <c r="E1450">
        <v>10.68</v>
      </c>
      <c r="F1450" s="15">
        <f>IFERROR(PRD[[#This Row],[VALOR]]/PRD[[#This Row],[KGS]],"")</f>
        <v>1.5705882352941176</v>
      </c>
      <c r="H1450" s="27"/>
    </row>
    <row r="1451" spans="1:8" x14ac:dyDescent="0.25">
      <c r="A1451" s="21">
        <v>1100707</v>
      </c>
      <c r="B1451" s="1">
        <v>45108</v>
      </c>
      <c r="C1451" t="s">
        <v>686</v>
      </c>
      <c r="D1451">
        <v>658.26</v>
      </c>
      <c r="E1451">
        <v>2830.52</v>
      </c>
      <c r="F1451" s="15">
        <f>IFERROR(PRD[[#This Row],[VALOR]]/PRD[[#This Row],[KGS]],"")</f>
        <v>4.3000030383131289</v>
      </c>
      <c r="H1451" s="27"/>
    </row>
    <row r="1452" spans="1:8" x14ac:dyDescent="0.25">
      <c r="A1452" s="21">
        <v>1100800</v>
      </c>
      <c r="B1452" s="1">
        <v>45108</v>
      </c>
      <c r="C1452" t="s">
        <v>90</v>
      </c>
      <c r="D1452">
        <v>12881</v>
      </c>
      <c r="E1452">
        <v>44011.62</v>
      </c>
      <c r="F1452" s="15">
        <f>IFERROR(PRD[[#This Row],[VALOR]]/PRD[[#This Row],[KGS]],"")</f>
        <v>3.4167859638226847</v>
      </c>
      <c r="H1452" s="27"/>
    </row>
    <row r="1453" spans="1:8" x14ac:dyDescent="0.25">
      <c r="A1453" s="21">
        <v>1100801</v>
      </c>
      <c r="B1453" s="1">
        <v>45108</v>
      </c>
      <c r="C1453" t="s">
        <v>92</v>
      </c>
      <c r="D1453">
        <v>7090</v>
      </c>
      <c r="E1453">
        <v>25169.5</v>
      </c>
      <c r="F1453" s="15">
        <f>IFERROR(PRD[[#This Row],[VALOR]]/PRD[[#This Row],[KGS]],"")</f>
        <v>3.55</v>
      </c>
      <c r="H1453" s="27"/>
    </row>
    <row r="1454" spans="1:8" x14ac:dyDescent="0.25">
      <c r="A1454" s="21">
        <v>1100802</v>
      </c>
      <c r="B1454" s="1">
        <v>45108</v>
      </c>
      <c r="C1454" t="s">
        <v>306</v>
      </c>
      <c r="D1454">
        <v>182.4</v>
      </c>
      <c r="E1454">
        <v>620.16</v>
      </c>
      <c r="F1454" s="15">
        <f>IFERROR(PRD[[#This Row],[VALOR]]/PRD[[#This Row],[KGS]],"")</f>
        <v>3.4</v>
      </c>
      <c r="H1454" s="27"/>
    </row>
    <row r="1455" spans="1:8" x14ac:dyDescent="0.25">
      <c r="A1455" s="21">
        <v>1100900</v>
      </c>
      <c r="B1455" s="1">
        <v>45108</v>
      </c>
      <c r="C1455" t="s">
        <v>94</v>
      </c>
      <c r="D1455">
        <v>573.94000000000005</v>
      </c>
      <c r="E1455">
        <v>3598.56</v>
      </c>
      <c r="F1455" s="15">
        <f>IFERROR(PRD[[#This Row],[VALOR]]/PRD[[#This Row],[KGS]],"")</f>
        <v>6.269923685402655</v>
      </c>
      <c r="H1455" s="27"/>
    </row>
    <row r="1456" spans="1:8" x14ac:dyDescent="0.25">
      <c r="A1456" s="21">
        <v>1101000</v>
      </c>
      <c r="B1456" s="1">
        <v>45108</v>
      </c>
      <c r="C1456" t="s">
        <v>96</v>
      </c>
      <c r="D1456">
        <v>10124.49</v>
      </c>
      <c r="E1456">
        <v>39497.120000000003</v>
      </c>
      <c r="F1456" s="15">
        <f>IFERROR(PRD[[#This Row],[VALOR]]/PRD[[#This Row],[KGS]],"")</f>
        <v>3.9011466256571938</v>
      </c>
      <c r="H1456" s="27"/>
    </row>
    <row r="1457" spans="1:8" x14ac:dyDescent="0.25">
      <c r="A1457" s="21">
        <v>1101001</v>
      </c>
      <c r="B1457" s="1">
        <v>45108</v>
      </c>
      <c r="C1457" t="s">
        <v>98</v>
      </c>
      <c r="D1457">
        <v>13</v>
      </c>
      <c r="E1457">
        <v>52</v>
      </c>
      <c r="F1457" s="15">
        <f>IFERROR(PRD[[#This Row],[VALOR]]/PRD[[#This Row],[KGS]],"")</f>
        <v>4</v>
      </c>
      <c r="H1457" s="27"/>
    </row>
    <row r="1458" spans="1:8" x14ac:dyDescent="0.25">
      <c r="A1458" s="21">
        <v>1101002</v>
      </c>
      <c r="B1458" s="1">
        <v>45108</v>
      </c>
      <c r="C1458" t="s">
        <v>687</v>
      </c>
      <c r="D1458">
        <v>433</v>
      </c>
      <c r="E1458">
        <v>1818.6</v>
      </c>
      <c r="F1458" s="15">
        <f>IFERROR(PRD[[#This Row],[VALOR]]/PRD[[#This Row],[KGS]],"")</f>
        <v>4.2</v>
      </c>
      <c r="H1458" s="27"/>
    </row>
    <row r="1459" spans="1:8" x14ac:dyDescent="0.25">
      <c r="A1459" s="21">
        <v>1101100</v>
      </c>
      <c r="B1459" s="1">
        <v>45108</v>
      </c>
      <c r="C1459" t="s">
        <v>100</v>
      </c>
      <c r="D1459">
        <v>49741.98</v>
      </c>
      <c r="E1459">
        <v>186205.23</v>
      </c>
      <c r="F1459" s="15">
        <f>IFERROR(PRD[[#This Row],[VALOR]]/PRD[[#This Row],[KGS]],"")</f>
        <v>3.743422155692234</v>
      </c>
      <c r="H1459" s="27"/>
    </row>
    <row r="1460" spans="1:8" x14ac:dyDescent="0.25">
      <c r="A1460" s="21">
        <v>1101103</v>
      </c>
      <c r="B1460" s="1">
        <v>45108</v>
      </c>
      <c r="C1460" t="s">
        <v>350</v>
      </c>
      <c r="D1460">
        <v>500</v>
      </c>
      <c r="E1460">
        <v>1850</v>
      </c>
      <c r="F1460" s="15">
        <f>IFERROR(PRD[[#This Row],[VALOR]]/PRD[[#This Row],[KGS]],"")</f>
        <v>3.7</v>
      </c>
      <c r="H1460" s="27"/>
    </row>
    <row r="1461" spans="1:8" x14ac:dyDescent="0.25">
      <c r="A1461" s="21">
        <v>1101300</v>
      </c>
      <c r="B1461" s="1">
        <v>45108</v>
      </c>
      <c r="C1461" t="s">
        <v>102</v>
      </c>
      <c r="D1461">
        <v>302</v>
      </c>
      <c r="E1461">
        <v>1215.8800000000001</v>
      </c>
      <c r="F1461" s="15">
        <f>IFERROR(PRD[[#This Row],[VALOR]]/PRD[[#This Row],[KGS]],"")</f>
        <v>4.0260927152317887</v>
      </c>
      <c r="H1461" s="27"/>
    </row>
    <row r="1462" spans="1:8" x14ac:dyDescent="0.25">
      <c r="A1462" s="21">
        <v>1101400</v>
      </c>
      <c r="B1462" s="1">
        <v>45108</v>
      </c>
      <c r="C1462" t="s">
        <v>104</v>
      </c>
      <c r="D1462">
        <v>21741.64</v>
      </c>
      <c r="E1462">
        <v>63986.1</v>
      </c>
      <c r="F1462" s="15">
        <f>IFERROR(PRD[[#This Row],[VALOR]]/PRD[[#This Row],[KGS]],"")</f>
        <v>2.9430208576721903</v>
      </c>
      <c r="H1462" s="27"/>
    </row>
    <row r="1463" spans="1:8" x14ac:dyDescent="0.25">
      <c r="A1463" s="21">
        <v>1101500</v>
      </c>
      <c r="B1463" s="1">
        <v>45108</v>
      </c>
      <c r="C1463" t="s">
        <v>106</v>
      </c>
      <c r="D1463">
        <v>611.29999999999995</v>
      </c>
      <c r="E1463">
        <v>1821.85</v>
      </c>
      <c r="F1463" s="15">
        <f>IFERROR(PRD[[#This Row],[VALOR]]/PRD[[#This Row],[KGS]],"")</f>
        <v>2.9802879110093246</v>
      </c>
      <c r="H1463" s="27"/>
    </row>
    <row r="1464" spans="1:8" x14ac:dyDescent="0.25">
      <c r="A1464" s="21">
        <v>1101600</v>
      </c>
      <c r="B1464" s="1">
        <v>45108</v>
      </c>
      <c r="C1464" t="s">
        <v>108</v>
      </c>
      <c r="D1464">
        <v>46.5</v>
      </c>
      <c r="E1464">
        <v>146.58000000000001</v>
      </c>
      <c r="F1464" s="15">
        <f>IFERROR(PRD[[#This Row],[VALOR]]/PRD[[#This Row],[KGS]],"")</f>
        <v>3.1522580645161291</v>
      </c>
      <c r="H1464" s="27"/>
    </row>
    <row r="1465" spans="1:8" x14ac:dyDescent="0.25">
      <c r="A1465" s="21">
        <v>1101700</v>
      </c>
      <c r="B1465" s="1">
        <v>45108</v>
      </c>
      <c r="C1465" t="s">
        <v>110</v>
      </c>
      <c r="D1465">
        <v>5072.5</v>
      </c>
      <c r="E1465">
        <v>14850.36</v>
      </c>
      <c r="F1465" s="15">
        <f>IFERROR(PRD[[#This Row],[VALOR]]/PRD[[#This Row],[KGS]],"")</f>
        <v>2.9276214884179401</v>
      </c>
      <c r="H1465" s="27"/>
    </row>
    <row r="1466" spans="1:8" x14ac:dyDescent="0.25">
      <c r="A1466" s="21">
        <v>1101801</v>
      </c>
      <c r="B1466" s="1">
        <v>45108</v>
      </c>
      <c r="C1466" t="s">
        <v>112</v>
      </c>
      <c r="D1466">
        <v>2991.9</v>
      </c>
      <c r="E1466">
        <v>8499.93</v>
      </c>
      <c r="F1466" s="15">
        <f>IFERROR(PRD[[#This Row],[VALOR]]/PRD[[#This Row],[KGS]],"")</f>
        <v>2.8409806477489221</v>
      </c>
      <c r="H1466" s="27"/>
    </row>
    <row r="1467" spans="1:8" x14ac:dyDescent="0.25">
      <c r="A1467" s="21">
        <v>1101900</v>
      </c>
      <c r="B1467" s="1">
        <v>45108</v>
      </c>
      <c r="C1467" t="s">
        <v>114</v>
      </c>
      <c r="D1467">
        <v>12494.63</v>
      </c>
      <c r="E1467">
        <v>43366.6</v>
      </c>
      <c r="F1467" s="15">
        <f>IFERROR(PRD[[#This Row],[VALOR]]/PRD[[#This Row],[KGS]],"")</f>
        <v>3.4708190638698384</v>
      </c>
      <c r="H1467" s="27"/>
    </row>
    <row r="1468" spans="1:8" x14ac:dyDescent="0.25">
      <c r="A1468" s="21">
        <v>1101901</v>
      </c>
      <c r="B1468" s="1">
        <v>45108</v>
      </c>
      <c r="C1468" t="s">
        <v>448</v>
      </c>
      <c r="D1468">
        <v>375</v>
      </c>
      <c r="E1468">
        <v>1312.5</v>
      </c>
      <c r="F1468" s="15">
        <f>IFERROR(PRD[[#This Row],[VALOR]]/PRD[[#This Row],[KGS]],"")</f>
        <v>3.5</v>
      </c>
      <c r="H1468" s="27"/>
    </row>
    <row r="1469" spans="1:8" x14ac:dyDescent="0.25">
      <c r="A1469" s="21">
        <v>1101902</v>
      </c>
      <c r="B1469" s="1">
        <v>45108</v>
      </c>
      <c r="C1469" t="s">
        <v>351</v>
      </c>
      <c r="D1469">
        <v>1705.13</v>
      </c>
      <c r="E1469">
        <v>7249.35</v>
      </c>
      <c r="F1469" s="15">
        <f>IFERROR(PRD[[#This Row],[VALOR]]/PRD[[#This Row],[KGS]],"")</f>
        <v>4.2514940209837375</v>
      </c>
      <c r="H1469" s="27"/>
    </row>
    <row r="1470" spans="1:8" x14ac:dyDescent="0.25">
      <c r="A1470" s="21">
        <v>1102000</v>
      </c>
      <c r="B1470" s="1">
        <v>45108</v>
      </c>
      <c r="C1470" t="s">
        <v>115</v>
      </c>
      <c r="D1470">
        <v>30.4</v>
      </c>
      <c r="E1470">
        <v>130.72</v>
      </c>
      <c r="F1470" s="15">
        <f>IFERROR(PRD[[#This Row],[VALOR]]/PRD[[#This Row],[KGS]],"")</f>
        <v>4.3</v>
      </c>
      <c r="H1470" s="27"/>
    </row>
    <row r="1471" spans="1:8" x14ac:dyDescent="0.25">
      <c r="A1471" s="21">
        <v>1102100</v>
      </c>
      <c r="B1471" s="1">
        <v>45108</v>
      </c>
      <c r="C1471" t="s">
        <v>688</v>
      </c>
      <c r="D1471">
        <v>179</v>
      </c>
      <c r="E1471">
        <v>572.79999999999995</v>
      </c>
      <c r="F1471" s="15">
        <f>IFERROR(PRD[[#This Row],[VALOR]]/PRD[[#This Row],[KGS]],"")</f>
        <v>3.1999999999999997</v>
      </c>
      <c r="H1471" s="27"/>
    </row>
    <row r="1472" spans="1:8" x14ac:dyDescent="0.25">
      <c r="A1472" s="21">
        <v>1102300</v>
      </c>
      <c r="B1472" s="1">
        <v>45108</v>
      </c>
      <c r="C1472" t="s">
        <v>119</v>
      </c>
      <c r="D1472">
        <v>7014.97</v>
      </c>
      <c r="E1472">
        <v>22649.88</v>
      </c>
      <c r="F1472" s="15">
        <f>IFERROR(PRD[[#This Row],[VALOR]]/PRD[[#This Row],[KGS]],"")</f>
        <v>3.2287921402372355</v>
      </c>
      <c r="H1472" s="27"/>
    </row>
    <row r="1473" spans="1:8" x14ac:dyDescent="0.25">
      <c r="A1473" s="21">
        <v>1103000</v>
      </c>
      <c r="B1473" s="1">
        <v>45108</v>
      </c>
      <c r="C1473" t="s">
        <v>121</v>
      </c>
      <c r="D1473">
        <v>1080.8</v>
      </c>
      <c r="E1473">
        <v>2208.84</v>
      </c>
      <c r="F1473" s="15">
        <f>IFERROR(PRD[[#This Row],[VALOR]]/PRD[[#This Row],[KGS]],"")</f>
        <v>2.0437083641746856</v>
      </c>
      <c r="H1473" s="27"/>
    </row>
    <row r="1474" spans="1:8" x14ac:dyDescent="0.25">
      <c r="A1474" s="21">
        <v>2010902</v>
      </c>
      <c r="B1474" s="1">
        <v>45108</v>
      </c>
      <c r="C1474" t="s">
        <v>127</v>
      </c>
      <c r="D1474">
        <v>7.5</v>
      </c>
      <c r="E1474">
        <v>6.75</v>
      </c>
      <c r="F1474" s="15">
        <f>IFERROR(PRD[[#This Row],[VALOR]]/PRD[[#This Row],[KGS]],"")</f>
        <v>0.9</v>
      </c>
      <c r="H1474" s="27"/>
    </row>
    <row r="1475" spans="1:8" x14ac:dyDescent="0.25">
      <c r="A1475" s="21">
        <v>2010904</v>
      </c>
      <c r="B1475" s="1">
        <v>45108</v>
      </c>
      <c r="C1475" t="s">
        <v>633</v>
      </c>
      <c r="D1475">
        <v>237.5</v>
      </c>
      <c r="E1475">
        <v>246.75</v>
      </c>
      <c r="F1475" s="15">
        <f>IFERROR(PRD[[#This Row],[VALOR]]/PRD[[#This Row],[KGS]],"")</f>
        <v>1.0389473684210526</v>
      </c>
      <c r="H1475" s="27"/>
    </row>
    <row r="1476" spans="1:8" x14ac:dyDescent="0.25">
      <c r="A1476" s="21">
        <v>2010905</v>
      </c>
      <c r="B1476" s="1">
        <v>45108</v>
      </c>
      <c r="C1476" t="s">
        <v>544</v>
      </c>
      <c r="D1476">
        <v>292.5</v>
      </c>
      <c r="E1476">
        <v>243.75</v>
      </c>
      <c r="F1476" s="15">
        <f>IFERROR(PRD[[#This Row],[VALOR]]/PRD[[#This Row],[KGS]],"")</f>
        <v>0.83333333333333337</v>
      </c>
      <c r="H1476" s="27"/>
    </row>
    <row r="1477" spans="1:8" x14ac:dyDescent="0.25">
      <c r="A1477" s="21">
        <v>2011700</v>
      </c>
      <c r="B1477" s="1">
        <v>45108</v>
      </c>
      <c r="C1477" t="s">
        <v>129</v>
      </c>
      <c r="D1477">
        <v>117.2</v>
      </c>
      <c r="E1477">
        <v>291.56</v>
      </c>
      <c r="F1477" s="15">
        <f>IFERROR(PRD[[#This Row],[VALOR]]/PRD[[#This Row],[KGS]],"")</f>
        <v>2.487713310580205</v>
      </c>
      <c r="H1477" s="27"/>
    </row>
    <row r="1478" spans="1:8" x14ac:dyDescent="0.25">
      <c r="A1478" s="21">
        <v>2090002</v>
      </c>
      <c r="B1478" s="1">
        <v>45108</v>
      </c>
      <c r="C1478" t="s">
        <v>451</v>
      </c>
      <c r="D1478">
        <v>132.69999999999999</v>
      </c>
      <c r="E1478">
        <v>690.04</v>
      </c>
      <c r="F1478" s="15">
        <f>IFERROR(PRD[[#This Row],[VALOR]]/PRD[[#This Row],[KGS]],"")</f>
        <v>5.2</v>
      </c>
      <c r="H1478" s="27"/>
    </row>
    <row r="1479" spans="1:8" x14ac:dyDescent="0.25">
      <c r="A1479" s="21">
        <v>2101100</v>
      </c>
      <c r="B1479" s="1">
        <v>45108</v>
      </c>
      <c r="C1479" t="s">
        <v>453</v>
      </c>
      <c r="D1479">
        <v>105</v>
      </c>
      <c r="E1479">
        <v>472.5</v>
      </c>
      <c r="F1479" s="15">
        <f>IFERROR(PRD[[#This Row],[VALOR]]/PRD[[#This Row],[KGS]],"")</f>
        <v>4.5</v>
      </c>
      <c r="H1479" s="27"/>
    </row>
    <row r="1480" spans="1:8" x14ac:dyDescent="0.25">
      <c r="A1480" s="21">
        <v>3020103</v>
      </c>
      <c r="B1480" s="1">
        <v>45108</v>
      </c>
      <c r="C1480" t="s">
        <v>131</v>
      </c>
      <c r="D1480">
        <v>6235.15</v>
      </c>
      <c r="E1480">
        <v>20786.27</v>
      </c>
      <c r="F1480" s="15">
        <f>IFERROR(PRD[[#This Row],[VALOR]]/PRD[[#This Row],[KGS]],"")</f>
        <v>3.3337241285293859</v>
      </c>
      <c r="H1480" s="27"/>
    </row>
    <row r="1481" spans="1:8" x14ac:dyDescent="0.25">
      <c r="A1481" s="21">
        <v>3020104</v>
      </c>
      <c r="B1481" s="1">
        <v>45108</v>
      </c>
      <c r="C1481" t="s">
        <v>689</v>
      </c>
      <c r="D1481">
        <v>2004.6</v>
      </c>
      <c r="E1481">
        <v>7216.56</v>
      </c>
      <c r="F1481" s="15">
        <f>IFERROR(PRD[[#This Row],[VALOR]]/PRD[[#This Row],[KGS]],"")</f>
        <v>3.6000000000000005</v>
      </c>
      <c r="H1481" s="27"/>
    </row>
    <row r="1482" spans="1:8" x14ac:dyDescent="0.25">
      <c r="A1482" s="21">
        <v>3020212</v>
      </c>
      <c r="B1482" s="1">
        <v>45108</v>
      </c>
      <c r="C1482" t="s">
        <v>133</v>
      </c>
      <c r="D1482">
        <v>2283.7199999999998</v>
      </c>
      <c r="E1482">
        <v>8509.7900000000009</v>
      </c>
      <c r="F1482" s="15">
        <f>IFERROR(PRD[[#This Row],[VALOR]]/PRD[[#This Row],[KGS]],"")</f>
        <v>3.7262843080587822</v>
      </c>
      <c r="H1482" s="27"/>
    </row>
    <row r="1483" spans="1:8" x14ac:dyDescent="0.25">
      <c r="A1483" s="21">
        <v>3020214</v>
      </c>
      <c r="B1483" s="1">
        <v>45108</v>
      </c>
      <c r="C1483" t="s">
        <v>135</v>
      </c>
      <c r="D1483">
        <v>1031.3499999999999</v>
      </c>
      <c r="E1483">
        <v>3617.51</v>
      </c>
      <c r="F1483" s="15">
        <f>IFERROR(PRD[[#This Row],[VALOR]]/PRD[[#This Row],[KGS]],"")</f>
        <v>3.5075483589470116</v>
      </c>
      <c r="H1483" s="27"/>
    </row>
    <row r="1484" spans="1:8" x14ac:dyDescent="0.25">
      <c r="A1484" s="21">
        <v>3020315</v>
      </c>
      <c r="B1484" s="1">
        <v>45108</v>
      </c>
      <c r="C1484" t="s">
        <v>137</v>
      </c>
      <c r="D1484">
        <v>3307.65</v>
      </c>
      <c r="E1484">
        <v>11809.14</v>
      </c>
      <c r="F1484" s="15">
        <f>IFERROR(PRD[[#This Row],[VALOR]]/PRD[[#This Row],[KGS]],"")</f>
        <v>3.5702507822774474</v>
      </c>
      <c r="H1484" s="27"/>
    </row>
    <row r="1485" spans="1:8" x14ac:dyDescent="0.25">
      <c r="A1485" s="21">
        <v>3020316</v>
      </c>
      <c r="B1485" s="1">
        <v>45108</v>
      </c>
      <c r="C1485" t="s">
        <v>139</v>
      </c>
      <c r="D1485">
        <v>167.88</v>
      </c>
      <c r="E1485">
        <v>533.88</v>
      </c>
      <c r="F1485" s="15">
        <f>IFERROR(PRD[[#This Row],[VALOR]]/PRD[[#This Row],[KGS]],"")</f>
        <v>3.1801286633309509</v>
      </c>
      <c r="H1485" s="27"/>
    </row>
    <row r="1486" spans="1:8" x14ac:dyDescent="0.25">
      <c r="A1486" s="21">
        <v>3020402</v>
      </c>
      <c r="B1486" s="1">
        <v>45108</v>
      </c>
      <c r="C1486" t="s">
        <v>141</v>
      </c>
      <c r="D1486">
        <v>1746.42</v>
      </c>
      <c r="E1486">
        <v>6181.73</v>
      </c>
      <c r="F1486" s="15">
        <f>IFERROR(PRD[[#This Row],[VALOR]]/PRD[[#This Row],[KGS]],"")</f>
        <v>3.5396582723514385</v>
      </c>
      <c r="H1486" s="27"/>
    </row>
    <row r="1487" spans="1:8" x14ac:dyDescent="0.25">
      <c r="A1487" s="21">
        <v>3020403</v>
      </c>
      <c r="B1487" s="1">
        <v>45108</v>
      </c>
      <c r="C1487" t="s">
        <v>690</v>
      </c>
      <c r="D1487">
        <v>1440</v>
      </c>
      <c r="E1487">
        <v>5184</v>
      </c>
      <c r="F1487" s="15">
        <f>IFERROR(PRD[[#This Row],[VALOR]]/PRD[[#This Row],[KGS]],"")</f>
        <v>3.6</v>
      </c>
      <c r="H1487" s="27"/>
    </row>
    <row r="1488" spans="1:8" x14ac:dyDescent="0.25">
      <c r="A1488" s="21">
        <v>3020404</v>
      </c>
      <c r="B1488" s="1">
        <v>45108</v>
      </c>
      <c r="C1488" t="s">
        <v>691</v>
      </c>
      <c r="D1488">
        <v>410.45</v>
      </c>
      <c r="E1488">
        <v>1518.68</v>
      </c>
      <c r="F1488" s="15">
        <f>IFERROR(PRD[[#This Row],[VALOR]]/PRD[[#This Row],[KGS]],"")</f>
        <v>3.700036545255208</v>
      </c>
      <c r="H1488" s="27"/>
    </row>
    <row r="1489" spans="1:8" x14ac:dyDescent="0.25">
      <c r="A1489" s="21">
        <v>3020504</v>
      </c>
      <c r="B1489" s="1">
        <v>45108</v>
      </c>
      <c r="C1489" t="s">
        <v>143</v>
      </c>
      <c r="D1489">
        <v>597.45000000000005</v>
      </c>
      <c r="E1489">
        <v>2258.91</v>
      </c>
      <c r="F1489" s="15">
        <f>IFERROR(PRD[[#This Row],[VALOR]]/PRD[[#This Row],[KGS]],"")</f>
        <v>3.7809189053477272</v>
      </c>
      <c r="H1489" s="27"/>
    </row>
    <row r="1490" spans="1:8" x14ac:dyDescent="0.25">
      <c r="A1490" s="21">
        <v>3020622</v>
      </c>
      <c r="B1490" s="1">
        <v>45108</v>
      </c>
      <c r="C1490" t="s">
        <v>145</v>
      </c>
      <c r="D1490">
        <v>9336.56</v>
      </c>
      <c r="E1490">
        <v>34117.31</v>
      </c>
      <c r="F1490" s="15">
        <f>IFERROR(PRD[[#This Row],[VALOR]]/PRD[[#This Row],[KGS]],"")</f>
        <v>3.6541627751548749</v>
      </c>
      <c r="H1490" s="27"/>
    </row>
    <row r="1491" spans="1:8" x14ac:dyDescent="0.25">
      <c r="A1491" s="21">
        <v>3020623</v>
      </c>
      <c r="B1491" s="1">
        <v>45108</v>
      </c>
      <c r="C1491" t="s">
        <v>147</v>
      </c>
      <c r="D1491">
        <v>984.58</v>
      </c>
      <c r="E1491">
        <v>3780.09</v>
      </c>
      <c r="F1491" s="15">
        <f>IFERROR(PRD[[#This Row],[VALOR]]/PRD[[#This Row],[KGS]],"")</f>
        <v>3.8392918808019663</v>
      </c>
      <c r="H1491" s="27"/>
    </row>
    <row r="1492" spans="1:8" x14ac:dyDescent="0.25">
      <c r="A1492" s="21">
        <v>3020725</v>
      </c>
      <c r="B1492" s="1">
        <v>45108</v>
      </c>
      <c r="C1492" t="s">
        <v>149</v>
      </c>
      <c r="D1492">
        <v>373.64</v>
      </c>
      <c r="E1492">
        <v>1419.27</v>
      </c>
      <c r="F1492" s="15">
        <f>IFERROR(PRD[[#This Row],[VALOR]]/PRD[[#This Row],[KGS]],"")</f>
        <v>3.7984958783856118</v>
      </c>
      <c r="H1492" s="27"/>
    </row>
    <row r="1493" spans="1:8" x14ac:dyDescent="0.25">
      <c r="A1493" s="21">
        <v>3020823</v>
      </c>
      <c r="B1493" s="1">
        <v>45108</v>
      </c>
      <c r="C1493" t="s">
        <v>151</v>
      </c>
      <c r="D1493">
        <v>1300.29</v>
      </c>
      <c r="E1493">
        <v>4933.0200000000004</v>
      </c>
      <c r="F1493" s="15">
        <f>IFERROR(PRD[[#This Row],[VALOR]]/PRD[[#This Row],[KGS]],"")</f>
        <v>3.7937844634658426</v>
      </c>
      <c r="H1493" s="27"/>
    </row>
    <row r="1494" spans="1:8" x14ac:dyDescent="0.25">
      <c r="A1494" s="21">
        <v>3020824</v>
      </c>
      <c r="B1494" s="1">
        <v>45108</v>
      </c>
      <c r="C1494" t="s">
        <v>153</v>
      </c>
      <c r="D1494">
        <v>2153.13</v>
      </c>
      <c r="E1494">
        <v>7996.48</v>
      </c>
      <c r="F1494" s="15">
        <f>IFERROR(PRD[[#This Row],[VALOR]]/PRD[[#This Row],[KGS]],"")</f>
        <v>3.71388629576477</v>
      </c>
      <c r="H1494" s="27"/>
    </row>
    <row r="1495" spans="1:8" x14ac:dyDescent="0.25">
      <c r="A1495" s="21">
        <v>3020825</v>
      </c>
      <c r="B1495" s="1">
        <v>45108</v>
      </c>
      <c r="C1495" t="s">
        <v>455</v>
      </c>
      <c r="D1495">
        <v>408.29</v>
      </c>
      <c r="E1495">
        <v>1674</v>
      </c>
      <c r="F1495" s="15">
        <f>IFERROR(PRD[[#This Row],[VALOR]]/PRD[[#This Row],[KGS]],"")</f>
        <v>4.1000269416346224</v>
      </c>
      <c r="H1495" s="27"/>
    </row>
    <row r="1496" spans="1:8" x14ac:dyDescent="0.25">
      <c r="A1496" s="21">
        <v>3020924</v>
      </c>
      <c r="B1496" s="1">
        <v>45108</v>
      </c>
      <c r="C1496" t="s">
        <v>155</v>
      </c>
      <c r="D1496">
        <v>1213.21</v>
      </c>
      <c r="E1496">
        <v>4733.29</v>
      </c>
      <c r="F1496" s="15">
        <f>IFERROR(PRD[[#This Row],[VALOR]]/PRD[[#This Row],[KGS]],"")</f>
        <v>3.9014597637671962</v>
      </c>
      <c r="H1496" s="27"/>
    </row>
    <row r="1497" spans="1:8" x14ac:dyDescent="0.25">
      <c r="A1497" s="21">
        <v>3020925</v>
      </c>
      <c r="B1497" s="1">
        <v>45108</v>
      </c>
      <c r="C1497" t="s">
        <v>157</v>
      </c>
      <c r="D1497">
        <v>2570.1799999999998</v>
      </c>
      <c r="E1497">
        <v>9940.15</v>
      </c>
      <c r="F1497" s="15">
        <f>IFERROR(PRD[[#This Row],[VALOR]]/PRD[[#This Row],[KGS]],"")</f>
        <v>3.8674917710043655</v>
      </c>
      <c r="H1497" s="27"/>
    </row>
    <row r="1498" spans="1:8" x14ac:dyDescent="0.25">
      <c r="A1498" s="21">
        <v>3021436</v>
      </c>
      <c r="B1498" s="1">
        <v>45108</v>
      </c>
      <c r="C1498" t="s">
        <v>546</v>
      </c>
      <c r="D1498">
        <v>494.73</v>
      </c>
      <c r="E1498">
        <v>1656.72</v>
      </c>
      <c r="F1498" s="15">
        <f>IFERROR(PRD[[#This Row],[VALOR]]/PRD[[#This Row],[KGS]],"")</f>
        <v>3.348735674004002</v>
      </c>
      <c r="H1498" s="27"/>
    </row>
    <row r="1499" spans="1:8" x14ac:dyDescent="0.25">
      <c r="A1499" s="21">
        <v>3021537</v>
      </c>
      <c r="B1499" s="1">
        <v>45108</v>
      </c>
      <c r="C1499" t="s">
        <v>161</v>
      </c>
      <c r="D1499">
        <v>7.59</v>
      </c>
      <c r="E1499">
        <v>25.05</v>
      </c>
      <c r="F1499" s="15">
        <f>IFERROR(PRD[[#This Row],[VALOR]]/PRD[[#This Row],[KGS]],"")</f>
        <v>3.3003952569169961</v>
      </c>
      <c r="H1499" s="27"/>
    </row>
    <row r="1500" spans="1:8" x14ac:dyDescent="0.25">
      <c r="A1500" s="21">
        <v>3021538</v>
      </c>
      <c r="B1500" s="1">
        <v>45108</v>
      </c>
      <c r="C1500" t="s">
        <v>548</v>
      </c>
      <c r="D1500">
        <v>83.92</v>
      </c>
      <c r="E1500">
        <v>253.81</v>
      </c>
      <c r="F1500" s="15">
        <f>IFERROR(PRD[[#This Row],[VALOR]]/PRD[[#This Row],[KGS]],"")</f>
        <v>3.0244280266920875</v>
      </c>
      <c r="H1500" s="27"/>
    </row>
    <row r="1501" spans="1:8" x14ac:dyDescent="0.25">
      <c r="A1501" s="21">
        <v>3021639</v>
      </c>
      <c r="B1501" s="1">
        <v>45108</v>
      </c>
      <c r="C1501" t="s">
        <v>457</v>
      </c>
      <c r="D1501">
        <v>53.11</v>
      </c>
      <c r="E1501">
        <v>163.82</v>
      </c>
      <c r="F1501" s="15">
        <f>IFERROR(PRD[[#This Row],[VALOR]]/PRD[[#This Row],[KGS]],"")</f>
        <v>3.0845415176049706</v>
      </c>
      <c r="H1501" s="27"/>
    </row>
    <row r="1502" spans="1:8" x14ac:dyDescent="0.25">
      <c r="A1502" s="21">
        <v>3021740</v>
      </c>
      <c r="B1502" s="1">
        <v>45108</v>
      </c>
      <c r="C1502" t="s">
        <v>459</v>
      </c>
      <c r="D1502">
        <v>311.91000000000003</v>
      </c>
      <c r="E1502">
        <v>966.23</v>
      </c>
      <c r="F1502" s="15">
        <f>IFERROR(PRD[[#This Row],[VALOR]]/PRD[[#This Row],[KGS]],"")</f>
        <v>3.0977846173575707</v>
      </c>
      <c r="H1502" s="27"/>
    </row>
    <row r="1503" spans="1:8" x14ac:dyDescent="0.25">
      <c r="A1503" s="21">
        <v>3021760</v>
      </c>
      <c r="B1503" s="1">
        <v>45108</v>
      </c>
      <c r="C1503" t="s">
        <v>167</v>
      </c>
      <c r="D1503">
        <v>1634.96</v>
      </c>
      <c r="E1503">
        <v>4005.7</v>
      </c>
      <c r="F1503" s="15">
        <f>IFERROR(PRD[[#This Row],[VALOR]]/PRD[[#This Row],[KGS]],"")</f>
        <v>2.4500293585164163</v>
      </c>
      <c r="H1503" s="27"/>
    </row>
    <row r="1504" spans="1:8" x14ac:dyDescent="0.25">
      <c r="A1504" s="21">
        <v>3021811</v>
      </c>
      <c r="B1504" s="1">
        <v>45108</v>
      </c>
      <c r="C1504" t="s">
        <v>169</v>
      </c>
      <c r="D1504">
        <v>684.78</v>
      </c>
      <c r="E1504">
        <v>1708.95</v>
      </c>
      <c r="F1504" s="15">
        <f>IFERROR(PRD[[#This Row],[VALOR]]/PRD[[#This Row],[KGS]],"")</f>
        <v>2.495619030929642</v>
      </c>
      <c r="H1504" s="27"/>
    </row>
    <row r="1505" spans="1:8" x14ac:dyDescent="0.25">
      <c r="A1505" s="21">
        <v>3021812</v>
      </c>
      <c r="B1505" s="1">
        <v>45108</v>
      </c>
      <c r="C1505" t="s">
        <v>171</v>
      </c>
      <c r="D1505">
        <v>1477.42</v>
      </c>
      <c r="E1505">
        <v>3462.73</v>
      </c>
      <c r="F1505" s="15">
        <f>IFERROR(PRD[[#This Row],[VALOR]]/PRD[[#This Row],[KGS]],"")</f>
        <v>2.3437681904942398</v>
      </c>
      <c r="H1505" s="27"/>
    </row>
    <row r="1506" spans="1:8" x14ac:dyDescent="0.25">
      <c r="A1506" s="21">
        <v>3022100</v>
      </c>
      <c r="B1506" s="1">
        <v>45108</v>
      </c>
      <c r="C1506" t="s">
        <v>173</v>
      </c>
      <c r="D1506">
        <v>286.38</v>
      </c>
      <c r="E1506">
        <v>1097.18</v>
      </c>
      <c r="F1506" s="15">
        <f>IFERROR(PRD[[#This Row],[VALOR]]/PRD[[#This Row],[KGS]],"")</f>
        <v>3.8312032963195755</v>
      </c>
      <c r="H1506" s="27"/>
    </row>
    <row r="1507" spans="1:8" x14ac:dyDescent="0.25">
      <c r="A1507" s="21">
        <v>3022208</v>
      </c>
      <c r="B1507" s="1">
        <v>45108</v>
      </c>
      <c r="C1507" t="s">
        <v>307</v>
      </c>
      <c r="D1507">
        <v>566.05999999999995</v>
      </c>
      <c r="E1507">
        <v>2149.94</v>
      </c>
      <c r="F1507" s="15">
        <f>IFERROR(PRD[[#This Row],[VALOR]]/PRD[[#This Row],[KGS]],"")</f>
        <v>3.7980779422676045</v>
      </c>
      <c r="H1507" s="27"/>
    </row>
    <row r="1508" spans="1:8" x14ac:dyDescent="0.25">
      <c r="A1508" s="21">
        <v>3022311</v>
      </c>
      <c r="B1508" s="1">
        <v>45108</v>
      </c>
      <c r="C1508" t="s">
        <v>176</v>
      </c>
      <c r="D1508">
        <v>1773.85</v>
      </c>
      <c r="E1508">
        <v>4246.57</v>
      </c>
      <c r="F1508" s="15">
        <f>IFERROR(PRD[[#This Row],[VALOR]]/PRD[[#This Row],[KGS]],"")</f>
        <v>2.3939848352453703</v>
      </c>
      <c r="H1508" s="27"/>
    </row>
    <row r="1509" spans="1:8" x14ac:dyDescent="0.25">
      <c r="A1509" s="21">
        <v>3022411</v>
      </c>
      <c r="B1509" s="1">
        <v>45108</v>
      </c>
      <c r="C1509" t="s">
        <v>178</v>
      </c>
      <c r="D1509">
        <v>43.62</v>
      </c>
      <c r="E1509">
        <v>122.65</v>
      </c>
      <c r="F1509" s="15">
        <f>IFERROR(PRD[[#This Row],[VALOR]]/PRD[[#This Row],[KGS]],"")</f>
        <v>2.8117835855112339</v>
      </c>
      <c r="H1509" s="27"/>
    </row>
    <row r="1510" spans="1:8" x14ac:dyDescent="0.25">
      <c r="A1510" s="21">
        <v>3022511</v>
      </c>
      <c r="B1510" s="1">
        <v>45108</v>
      </c>
      <c r="C1510" t="s">
        <v>180</v>
      </c>
      <c r="D1510">
        <v>11.8</v>
      </c>
      <c r="E1510">
        <v>31.27</v>
      </c>
      <c r="F1510" s="15">
        <f>IFERROR(PRD[[#This Row],[VALOR]]/PRD[[#This Row],[KGS]],"")</f>
        <v>2.65</v>
      </c>
      <c r="H1510" s="27"/>
    </row>
    <row r="1511" spans="1:8" x14ac:dyDescent="0.25">
      <c r="A1511" s="21">
        <v>3022601</v>
      </c>
      <c r="B1511" s="1">
        <v>45108</v>
      </c>
      <c r="C1511" t="s">
        <v>182</v>
      </c>
      <c r="D1511">
        <v>252.5</v>
      </c>
      <c r="E1511">
        <v>1015.56</v>
      </c>
      <c r="F1511" s="15">
        <f>IFERROR(PRD[[#This Row],[VALOR]]/PRD[[#This Row],[KGS]],"")</f>
        <v>4.022019801980198</v>
      </c>
      <c r="H1511" s="27"/>
    </row>
    <row r="1512" spans="1:8" x14ac:dyDescent="0.25">
      <c r="A1512" s="21">
        <v>3022703</v>
      </c>
      <c r="B1512" s="1">
        <v>45108</v>
      </c>
      <c r="C1512" t="s">
        <v>309</v>
      </c>
      <c r="D1512">
        <v>747</v>
      </c>
      <c r="E1512">
        <v>2071.15</v>
      </c>
      <c r="F1512" s="15">
        <f>IFERROR(PRD[[#This Row],[VALOR]]/PRD[[#This Row],[KGS]],"")</f>
        <v>2.7726238286479252</v>
      </c>
      <c r="H1512" s="27"/>
    </row>
    <row r="1513" spans="1:8" x14ac:dyDescent="0.25">
      <c r="A1513" s="21">
        <v>3022805</v>
      </c>
      <c r="B1513" s="1">
        <v>45108</v>
      </c>
      <c r="C1513" t="s">
        <v>186</v>
      </c>
      <c r="D1513">
        <v>2395</v>
      </c>
      <c r="E1513">
        <v>5018.3999999999996</v>
      </c>
      <c r="F1513" s="15">
        <f>IFERROR(PRD[[#This Row],[VALOR]]/PRD[[#This Row],[KGS]],"")</f>
        <v>2.0953653444676408</v>
      </c>
      <c r="H1513" s="27"/>
    </row>
    <row r="1514" spans="1:8" x14ac:dyDescent="0.25">
      <c r="A1514" s="21">
        <v>3022906</v>
      </c>
      <c r="B1514" s="1">
        <v>45108</v>
      </c>
      <c r="C1514" t="s">
        <v>188</v>
      </c>
      <c r="D1514">
        <v>3650</v>
      </c>
      <c r="E1514">
        <v>7425.97</v>
      </c>
      <c r="F1514" s="15">
        <f>IFERROR(PRD[[#This Row],[VALOR]]/PRD[[#This Row],[KGS]],"")</f>
        <v>2.0345123287671232</v>
      </c>
      <c r="H1514" s="27"/>
    </row>
    <row r="1515" spans="1:8" x14ac:dyDescent="0.25">
      <c r="A1515" s="21">
        <v>3023007</v>
      </c>
      <c r="B1515" s="1">
        <v>45108</v>
      </c>
      <c r="C1515" t="s">
        <v>190</v>
      </c>
      <c r="D1515">
        <v>1000</v>
      </c>
      <c r="E1515">
        <v>2048</v>
      </c>
      <c r="F1515" s="15">
        <f>IFERROR(PRD[[#This Row],[VALOR]]/PRD[[#This Row],[KGS]],"")</f>
        <v>2.048</v>
      </c>
      <c r="H1515" s="27"/>
    </row>
    <row r="1516" spans="1:8" x14ac:dyDescent="0.25">
      <c r="A1516" s="21">
        <v>3024001</v>
      </c>
      <c r="B1516" s="1">
        <v>45108</v>
      </c>
      <c r="C1516" t="s">
        <v>192</v>
      </c>
      <c r="D1516">
        <v>1176.06</v>
      </c>
      <c r="E1516">
        <v>4466.37</v>
      </c>
      <c r="F1516" s="15">
        <f>IFERROR(PRD[[#This Row],[VALOR]]/PRD[[#This Row],[KGS]],"")</f>
        <v>3.7977399112290189</v>
      </c>
      <c r="H1516" s="27"/>
    </row>
    <row r="1517" spans="1:8" x14ac:dyDescent="0.25">
      <c r="A1517" s="21">
        <v>3024003</v>
      </c>
      <c r="B1517" s="1">
        <v>45108</v>
      </c>
      <c r="C1517" t="s">
        <v>196</v>
      </c>
      <c r="D1517">
        <v>268.39999999999998</v>
      </c>
      <c r="E1517">
        <v>760.69</v>
      </c>
      <c r="F1517" s="15">
        <f>IFERROR(PRD[[#This Row],[VALOR]]/PRD[[#This Row],[KGS]],"")</f>
        <v>2.8341654247391959</v>
      </c>
      <c r="H1517" s="27"/>
    </row>
    <row r="1518" spans="1:8" x14ac:dyDescent="0.25">
      <c r="A1518" s="21">
        <v>3024004</v>
      </c>
      <c r="B1518" s="1">
        <v>45108</v>
      </c>
      <c r="C1518" t="s">
        <v>198</v>
      </c>
      <c r="D1518">
        <v>949.36</v>
      </c>
      <c r="E1518">
        <v>986.67</v>
      </c>
      <c r="F1518" s="15">
        <f>IFERROR(PRD[[#This Row],[VALOR]]/PRD[[#This Row],[KGS]],"")</f>
        <v>1.039300160107862</v>
      </c>
      <c r="H1518" s="27"/>
    </row>
    <row r="1519" spans="1:8" x14ac:dyDescent="0.25">
      <c r="A1519" s="21">
        <v>4030100</v>
      </c>
      <c r="B1519" s="1">
        <v>45108</v>
      </c>
      <c r="C1519" t="s">
        <v>200</v>
      </c>
      <c r="D1519">
        <v>364.7</v>
      </c>
      <c r="E1519">
        <v>2237.0700000000002</v>
      </c>
      <c r="F1519" s="15">
        <f>IFERROR(PRD[[#This Row],[VALOR]]/PRD[[#This Row],[KGS]],"")</f>
        <v>6.1340005483959423</v>
      </c>
      <c r="H1519" s="27"/>
    </row>
    <row r="1520" spans="1:8" x14ac:dyDescent="0.25">
      <c r="A1520" s="21">
        <v>4030201</v>
      </c>
      <c r="B1520" s="1">
        <v>45108</v>
      </c>
      <c r="C1520" t="s">
        <v>692</v>
      </c>
      <c r="D1520">
        <v>4.7</v>
      </c>
      <c r="E1520">
        <v>17.86</v>
      </c>
      <c r="F1520" s="15">
        <f>IFERROR(PRD[[#This Row],[VALOR]]/PRD[[#This Row],[KGS]],"")</f>
        <v>3.8</v>
      </c>
      <c r="H1520" s="27"/>
    </row>
    <row r="1521" spans="1:8" x14ac:dyDescent="0.25">
      <c r="A1521" s="21">
        <v>4030211</v>
      </c>
      <c r="B1521" s="1">
        <v>45108</v>
      </c>
      <c r="C1521" t="s">
        <v>202</v>
      </c>
      <c r="D1521">
        <v>709.65</v>
      </c>
      <c r="E1521">
        <v>4219.45</v>
      </c>
      <c r="F1521" s="15">
        <f>IFERROR(PRD[[#This Row],[VALOR]]/PRD[[#This Row],[KGS]],"")</f>
        <v>5.9458183611639539</v>
      </c>
      <c r="H1521" s="27"/>
    </row>
    <row r="1522" spans="1:8" x14ac:dyDescent="0.25">
      <c r="A1522" s="21">
        <v>4030301</v>
      </c>
      <c r="B1522" s="1">
        <v>45108</v>
      </c>
      <c r="C1522" t="s">
        <v>693</v>
      </c>
      <c r="D1522">
        <v>2519.59</v>
      </c>
      <c r="E1522">
        <v>12547.55</v>
      </c>
      <c r="F1522" s="15">
        <f>IFERROR(PRD[[#This Row],[VALOR]]/PRD[[#This Row],[KGS]],"")</f>
        <v>4.9799967455022438</v>
      </c>
      <c r="H1522" s="27"/>
    </row>
    <row r="1523" spans="1:8" x14ac:dyDescent="0.25">
      <c r="A1523" s="21">
        <v>4030302</v>
      </c>
      <c r="B1523" s="1">
        <v>45108</v>
      </c>
      <c r="C1523" t="s">
        <v>694</v>
      </c>
      <c r="D1523">
        <v>5100.2</v>
      </c>
      <c r="E1523">
        <v>21420.84</v>
      </c>
      <c r="F1523" s="15">
        <f>IFERROR(PRD[[#This Row],[VALOR]]/PRD[[#This Row],[KGS]],"")</f>
        <v>4.2</v>
      </c>
      <c r="H1523" s="27"/>
    </row>
    <row r="1524" spans="1:8" x14ac:dyDescent="0.25">
      <c r="A1524" s="21">
        <v>4030303</v>
      </c>
      <c r="B1524" s="1">
        <v>45108</v>
      </c>
      <c r="C1524" t="s">
        <v>695</v>
      </c>
      <c r="D1524">
        <v>2037.6</v>
      </c>
      <c r="E1524">
        <v>10147.25</v>
      </c>
      <c r="F1524" s="15">
        <f>IFERROR(PRD[[#This Row],[VALOR]]/PRD[[#This Row],[KGS]],"")</f>
        <v>4.9800009815469179</v>
      </c>
      <c r="H1524" s="27"/>
    </row>
    <row r="1525" spans="1:8" x14ac:dyDescent="0.25">
      <c r="A1525" s="21">
        <v>4030311</v>
      </c>
      <c r="B1525" s="1">
        <v>45108</v>
      </c>
      <c r="C1525" t="s">
        <v>311</v>
      </c>
      <c r="D1525">
        <v>297.48</v>
      </c>
      <c r="E1525">
        <v>1996.02</v>
      </c>
      <c r="F1525" s="15">
        <f>IFERROR(PRD[[#This Row],[VALOR]]/PRD[[#This Row],[KGS]],"")</f>
        <v>6.7097620008067764</v>
      </c>
      <c r="H1525" s="27"/>
    </row>
    <row r="1526" spans="1:8" x14ac:dyDescent="0.25">
      <c r="A1526" s="21">
        <v>4030401</v>
      </c>
      <c r="B1526" s="1">
        <v>45108</v>
      </c>
      <c r="C1526" t="s">
        <v>461</v>
      </c>
      <c r="D1526">
        <v>300.69</v>
      </c>
      <c r="E1526">
        <v>1551.38</v>
      </c>
      <c r="F1526" s="15">
        <f>IFERROR(PRD[[#This Row],[VALOR]]/PRD[[#This Row],[KGS]],"")</f>
        <v>5.15940004655958</v>
      </c>
      <c r="H1526" s="27"/>
    </row>
    <row r="1527" spans="1:8" x14ac:dyDescent="0.25">
      <c r="A1527" s="21">
        <v>4030532</v>
      </c>
      <c r="B1527" s="1">
        <v>45108</v>
      </c>
      <c r="C1527" t="s">
        <v>210</v>
      </c>
      <c r="D1527">
        <v>89.61</v>
      </c>
      <c r="E1527">
        <v>449.92</v>
      </c>
      <c r="F1527" s="15">
        <f>IFERROR(PRD[[#This Row],[VALOR]]/PRD[[#This Row],[KGS]],"")</f>
        <v>5.020868206673363</v>
      </c>
      <c r="H1527" s="27"/>
    </row>
    <row r="1528" spans="1:8" x14ac:dyDescent="0.25">
      <c r="A1528" s="21">
        <v>4030600</v>
      </c>
      <c r="B1528" s="1">
        <v>45108</v>
      </c>
      <c r="C1528" t="s">
        <v>212</v>
      </c>
      <c r="D1528">
        <v>754.8</v>
      </c>
      <c r="E1528">
        <v>2329.02</v>
      </c>
      <c r="F1528" s="15">
        <f>IFERROR(PRD[[#This Row],[VALOR]]/PRD[[#This Row],[KGS]],"")</f>
        <v>3.0856120826709064</v>
      </c>
      <c r="H1528" s="27"/>
    </row>
    <row r="1529" spans="1:8" x14ac:dyDescent="0.25">
      <c r="A1529" s="21">
        <v>4030711</v>
      </c>
      <c r="B1529" s="1">
        <v>45108</v>
      </c>
      <c r="C1529" t="s">
        <v>214</v>
      </c>
      <c r="D1529">
        <v>1011.71</v>
      </c>
      <c r="E1529">
        <v>3363.18</v>
      </c>
      <c r="F1529" s="15">
        <f>IFERROR(PRD[[#This Row],[VALOR]]/PRD[[#This Row],[KGS]],"")</f>
        <v>3.3242529974004404</v>
      </c>
      <c r="H1529" s="27"/>
    </row>
    <row r="1530" spans="1:8" x14ac:dyDescent="0.25">
      <c r="A1530" s="21">
        <v>4030811</v>
      </c>
      <c r="B1530" s="1">
        <v>45108</v>
      </c>
      <c r="C1530" t="s">
        <v>216</v>
      </c>
      <c r="D1530">
        <v>2246.46</v>
      </c>
      <c r="E1530">
        <v>7060.12</v>
      </c>
      <c r="F1530" s="15">
        <f>IFERROR(PRD[[#This Row],[VALOR]]/PRD[[#This Row],[KGS]],"")</f>
        <v>3.1427757449498319</v>
      </c>
      <c r="H1530" s="27"/>
    </row>
    <row r="1531" spans="1:8" x14ac:dyDescent="0.25">
      <c r="A1531" s="21">
        <v>4030813</v>
      </c>
      <c r="B1531" s="1">
        <v>45108</v>
      </c>
      <c r="C1531" t="s">
        <v>218</v>
      </c>
      <c r="D1531">
        <v>1449.62</v>
      </c>
      <c r="E1531">
        <v>4329.47</v>
      </c>
      <c r="F1531" s="15">
        <f>IFERROR(PRD[[#This Row],[VALOR]]/PRD[[#This Row],[KGS]],"")</f>
        <v>2.9866240807935878</v>
      </c>
      <c r="H1531" s="27"/>
    </row>
    <row r="1532" spans="1:8" x14ac:dyDescent="0.25">
      <c r="A1532" s="21">
        <v>4030900</v>
      </c>
      <c r="B1532" s="1">
        <v>45108</v>
      </c>
      <c r="C1532" t="s">
        <v>220</v>
      </c>
      <c r="D1532">
        <v>5537</v>
      </c>
      <c r="E1532">
        <v>16716.71</v>
      </c>
      <c r="F1532" s="15">
        <f>IFERROR(PRD[[#This Row],[VALOR]]/PRD[[#This Row],[KGS]],"")</f>
        <v>3.0190915658298718</v>
      </c>
      <c r="H1532" s="27"/>
    </row>
    <row r="1533" spans="1:8" x14ac:dyDescent="0.25">
      <c r="A1533" s="21">
        <v>4030910</v>
      </c>
      <c r="B1533" s="1">
        <v>45108</v>
      </c>
      <c r="C1533" t="s">
        <v>222</v>
      </c>
      <c r="D1533">
        <v>144.19</v>
      </c>
      <c r="E1533">
        <v>469.26</v>
      </c>
      <c r="F1533" s="15">
        <f>IFERROR(PRD[[#This Row],[VALOR]]/PRD[[#This Row],[KGS]],"")</f>
        <v>3.2544559262084749</v>
      </c>
      <c r="H1533" s="27"/>
    </row>
    <row r="1534" spans="1:8" x14ac:dyDescent="0.25">
      <c r="A1534" s="21">
        <v>4031012</v>
      </c>
      <c r="B1534" s="1">
        <v>45108</v>
      </c>
      <c r="C1534" t="s">
        <v>224</v>
      </c>
      <c r="D1534">
        <v>958.97</v>
      </c>
      <c r="E1534">
        <v>2957.64</v>
      </c>
      <c r="F1534" s="15">
        <f>IFERROR(PRD[[#This Row],[VALOR]]/PRD[[#This Row],[KGS]],"")</f>
        <v>3.0841840724944469</v>
      </c>
      <c r="H1534" s="27"/>
    </row>
    <row r="1535" spans="1:8" x14ac:dyDescent="0.25">
      <c r="A1535" s="21">
        <v>4031017</v>
      </c>
      <c r="B1535" s="1">
        <v>45108</v>
      </c>
      <c r="C1535" t="s">
        <v>226</v>
      </c>
      <c r="D1535">
        <v>2195</v>
      </c>
      <c r="E1535">
        <v>1458.15</v>
      </c>
      <c r="F1535" s="15">
        <f>IFERROR(PRD[[#This Row],[VALOR]]/PRD[[#This Row],[KGS]],"")</f>
        <v>0.66430523917995443</v>
      </c>
      <c r="H1535" s="27"/>
    </row>
    <row r="1536" spans="1:8" x14ac:dyDescent="0.25">
      <c r="A1536" s="21">
        <v>4031102</v>
      </c>
      <c r="B1536" s="1">
        <v>45108</v>
      </c>
      <c r="C1536" t="s">
        <v>228</v>
      </c>
      <c r="D1536">
        <v>10440.23</v>
      </c>
      <c r="E1536">
        <v>30201.81</v>
      </c>
      <c r="F1536" s="15">
        <f>IFERROR(PRD[[#This Row],[VALOR]]/PRD[[#This Row],[KGS]],"")</f>
        <v>2.8928299472329635</v>
      </c>
      <c r="H1536" s="27"/>
    </row>
    <row r="1537" spans="1:8" x14ac:dyDescent="0.25">
      <c r="A1537" s="21">
        <v>4031200</v>
      </c>
      <c r="B1537" s="1">
        <v>45108</v>
      </c>
      <c r="C1537" t="s">
        <v>230</v>
      </c>
      <c r="D1537">
        <v>1221.52</v>
      </c>
      <c r="E1537">
        <v>3658.18</v>
      </c>
      <c r="F1537" s="15">
        <f>IFERROR(PRD[[#This Row],[VALOR]]/PRD[[#This Row],[KGS]],"")</f>
        <v>2.9947769991486015</v>
      </c>
      <c r="H1537" s="27"/>
    </row>
    <row r="1538" spans="1:8" x14ac:dyDescent="0.25">
      <c r="A1538" s="21">
        <v>4031304</v>
      </c>
      <c r="B1538" s="1">
        <v>45108</v>
      </c>
      <c r="C1538" t="s">
        <v>232</v>
      </c>
      <c r="D1538">
        <v>1641.96</v>
      </c>
      <c r="E1538">
        <v>4730.9399999999996</v>
      </c>
      <c r="F1538" s="15">
        <f>IFERROR(PRD[[#This Row],[VALOR]]/PRD[[#This Row],[KGS]],"")</f>
        <v>2.8812760359570269</v>
      </c>
      <c r="H1538" s="27"/>
    </row>
    <row r="1539" spans="1:8" x14ac:dyDescent="0.25">
      <c r="A1539" s="21">
        <v>4031411</v>
      </c>
      <c r="B1539" s="1">
        <v>45108</v>
      </c>
      <c r="C1539" t="s">
        <v>234</v>
      </c>
      <c r="D1539">
        <v>78.89</v>
      </c>
      <c r="E1539">
        <v>225.54</v>
      </c>
      <c r="F1539" s="15">
        <f>IFERROR(PRD[[#This Row],[VALOR]]/PRD[[#This Row],[KGS]],"")</f>
        <v>2.8589174800354922</v>
      </c>
      <c r="H1539" s="27"/>
    </row>
    <row r="1540" spans="1:8" x14ac:dyDescent="0.25">
      <c r="A1540" s="21">
        <v>4031500</v>
      </c>
      <c r="B1540" s="1">
        <v>45108</v>
      </c>
      <c r="C1540" t="s">
        <v>236</v>
      </c>
      <c r="D1540">
        <v>6069.15</v>
      </c>
      <c r="E1540">
        <v>17251.64</v>
      </c>
      <c r="F1540" s="15">
        <f>IFERROR(PRD[[#This Row],[VALOR]]/PRD[[#This Row],[KGS]],"")</f>
        <v>2.8425133667811804</v>
      </c>
      <c r="H1540" s="27"/>
    </row>
    <row r="1541" spans="1:8" x14ac:dyDescent="0.25">
      <c r="A1541" s="21">
        <v>4031604</v>
      </c>
      <c r="B1541" s="1">
        <v>45108</v>
      </c>
      <c r="C1541" t="s">
        <v>238</v>
      </c>
      <c r="D1541">
        <v>6253.9</v>
      </c>
      <c r="E1541">
        <v>16838.88</v>
      </c>
      <c r="F1541" s="15">
        <f>IFERROR(PRD[[#This Row],[VALOR]]/PRD[[#This Row],[KGS]],"")</f>
        <v>2.69254065463151</v>
      </c>
      <c r="H1541" s="27"/>
    </row>
    <row r="1542" spans="1:8" x14ac:dyDescent="0.25">
      <c r="A1542" s="21">
        <v>4031605</v>
      </c>
      <c r="B1542" s="1">
        <v>45108</v>
      </c>
      <c r="C1542" t="s">
        <v>240</v>
      </c>
      <c r="D1542">
        <v>46.25</v>
      </c>
      <c r="E1542">
        <v>149.37</v>
      </c>
      <c r="F1542" s="15">
        <f>IFERROR(PRD[[#This Row],[VALOR]]/PRD[[#This Row],[KGS]],"")</f>
        <v>3.2296216216216216</v>
      </c>
      <c r="H1542" s="27"/>
    </row>
    <row r="1543" spans="1:8" x14ac:dyDescent="0.25">
      <c r="A1543" s="21">
        <v>4031700</v>
      </c>
      <c r="B1543" s="1">
        <v>45108</v>
      </c>
      <c r="C1543" t="s">
        <v>242</v>
      </c>
      <c r="D1543">
        <v>728.5</v>
      </c>
      <c r="E1543">
        <v>2174.5</v>
      </c>
      <c r="F1543" s="15">
        <f>IFERROR(PRD[[#This Row],[VALOR]]/PRD[[#This Row],[KGS]],"")</f>
        <v>2.9849004804392587</v>
      </c>
      <c r="H1543" s="27"/>
    </row>
    <row r="1544" spans="1:8" x14ac:dyDescent="0.25">
      <c r="A1544" s="21">
        <v>4031812</v>
      </c>
      <c r="B1544" s="1">
        <v>45108</v>
      </c>
      <c r="C1544" t="s">
        <v>244</v>
      </c>
      <c r="D1544">
        <v>370.06</v>
      </c>
      <c r="E1544">
        <v>1188.8800000000001</v>
      </c>
      <c r="F1544" s="15">
        <f>IFERROR(PRD[[#This Row],[VALOR]]/PRD[[#This Row],[KGS]],"")</f>
        <v>3.2126682159649791</v>
      </c>
      <c r="H1544" s="27"/>
    </row>
    <row r="1545" spans="1:8" x14ac:dyDescent="0.25">
      <c r="A1545" s="21">
        <v>4031813</v>
      </c>
      <c r="B1545" s="1">
        <v>45108</v>
      </c>
      <c r="C1545" t="s">
        <v>464</v>
      </c>
      <c r="D1545">
        <v>350</v>
      </c>
      <c r="E1545">
        <v>234.5</v>
      </c>
      <c r="F1545" s="15">
        <f>IFERROR(PRD[[#This Row],[VALOR]]/PRD[[#This Row],[KGS]],"")</f>
        <v>0.67</v>
      </c>
      <c r="H1545" s="27"/>
    </row>
    <row r="1546" spans="1:8" x14ac:dyDescent="0.25">
      <c r="A1546" s="21">
        <v>4031904</v>
      </c>
      <c r="B1546" s="1">
        <v>45108</v>
      </c>
      <c r="C1546" t="s">
        <v>246</v>
      </c>
      <c r="D1546">
        <v>986.65</v>
      </c>
      <c r="E1546">
        <v>2873.9</v>
      </c>
      <c r="F1546" s="15">
        <f>IFERROR(PRD[[#This Row],[VALOR]]/PRD[[#This Row],[KGS]],"")</f>
        <v>2.9127856889474484</v>
      </c>
      <c r="H1546" s="27"/>
    </row>
    <row r="1547" spans="1:8" x14ac:dyDescent="0.25">
      <c r="A1547" s="21">
        <v>4032111</v>
      </c>
      <c r="B1547" s="1">
        <v>45108</v>
      </c>
      <c r="C1547" t="s">
        <v>314</v>
      </c>
      <c r="D1547">
        <v>17.559999999999999</v>
      </c>
      <c r="E1547">
        <v>93.17</v>
      </c>
      <c r="F1547" s="15">
        <f>IFERROR(PRD[[#This Row],[VALOR]]/PRD[[#This Row],[KGS]],"")</f>
        <v>5.3058086560364472</v>
      </c>
      <c r="H1547" s="27"/>
    </row>
    <row r="1548" spans="1:8" x14ac:dyDescent="0.25">
      <c r="A1548" s="21">
        <v>4032204</v>
      </c>
      <c r="B1548" s="1">
        <v>45108</v>
      </c>
      <c r="C1548" t="s">
        <v>315</v>
      </c>
      <c r="D1548">
        <v>51.3</v>
      </c>
      <c r="E1548">
        <v>260.52</v>
      </c>
      <c r="F1548" s="15">
        <f>IFERROR(PRD[[#This Row],[VALOR]]/PRD[[#This Row],[KGS]],"")</f>
        <v>5.0783625730994153</v>
      </c>
      <c r="H1548" s="27"/>
    </row>
    <row r="1549" spans="1:8" x14ac:dyDescent="0.25">
      <c r="A1549" s="21">
        <v>4032205</v>
      </c>
      <c r="B1549" s="1">
        <v>45108</v>
      </c>
      <c r="C1549" t="s">
        <v>553</v>
      </c>
      <c r="D1549">
        <v>60.43</v>
      </c>
      <c r="E1549">
        <v>314.45</v>
      </c>
      <c r="F1549" s="15">
        <f>IFERROR(PRD[[#This Row],[VALOR]]/PRD[[#This Row],[KGS]],"")</f>
        <v>5.2035412874400127</v>
      </c>
      <c r="H1549" s="27"/>
    </row>
    <row r="1550" spans="1:8" x14ac:dyDescent="0.25">
      <c r="A1550" s="21">
        <v>4032206</v>
      </c>
      <c r="B1550" s="1">
        <v>45108</v>
      </c>
      <c r="C1550" t="s">
        <v>555</v>
      </c>
      <c r="D1550">
        <v>40.29</v>
      </c>
      <c r="E1550">
        <v>216.39</v>
      </c>
      <c r="F1550" s="15">
        <f>IFERROR(PRD[[#This Row],[VALOR]]/PRD[[#This Row],[KGS]],"")</f>
        <v>5.3708116157855548</v>
      </c>
      <c r="H1550" s="27"/>
    </row>
    <row r="1551" spans="1:8" x14ac:dyDescent="0.25">
      <c r="A1551" s="21">
        <v>4032312</v>
      </c>
      <c r="B1551" s="1">
        <v>45108</v>
      </c>
      <c r="C1551" t="s">
        <v>252</v>
      </c>
      <c r="D1551">
        <v>572.16</v>
      </c>
      <c r="E1551">
        <v>2409.17</v>
      </c>
      <c r="F1551" s="15">
        <f>IFERROR(PRD[[#This Row],[VALOR]]/PRD[[#This Row],[KGS]],"")</f>
        <v>4.2106578579418352</v>
      </c>
      <c r="H1551" s="27"/>
    </row>
    <row r="1552" spans="1:8" x14ac:dyDescent="0.25">
      <c r="A1552" s="21">
        <v>4032404</v>
      </c>
      <c r="B1552" s="1">
        <v>45108</v>
      </c>
      <c r="C1552" t="s">
        <v>254</v>
      </c>
      <c r="D1552">
        <v>101.12</v>
      </c>
      <c r="E1552">
        <v>446.22</v>
      </c>
      <c r="F1552" s="15">
        <f>IFERROR(PRD[[#This Row],[VALOR]]/PRD[[#This Row],[KGS]],"")</f>
        <v>4.4127768987341769</v>
      </c>
      <c r="H1552" s="27"/>
    </row>
    <row r="1553" spans="1:8" x14ac:dyDescent="0.25">
      <c r="A1553" s="21">
        <v>4032500</v>
      </c>
      <c r="B1553" s="1">
        <v>45108</v>
      </c>
      <c r="C1553" t="s">
        <v>256</v>
      </c>
      <c r="D1553">
        <v>272.10000000000002</v>
      </c>
      <c r="E1553">
        <v>743.22</v>
      </c>
      <c r="F1553" s="15">
        <f>IFERROR(PRD[[#This Row],[VALOR]]/PRD[[#This Row],[KGS]],"")</f>
        <v>2.7314222712238148</v>
      </c>
      <c r="H1553" s="27"/>
    </row>
    <row r="1554" spans="1:8" x14ac:dyDescent="0.25">
      <c r="A1554" s="21">
        <v>4032611</v>
      </c>
      <c r="B1554" s="1">
        <v>45108</v>
      </c>
      <c r="C1554" t="s">
        <v>258</v>
      </c>
      <c r="D1554">
        <v>41.34</v>
      </c>
      <c r="E1554">
        <v>128.06</v>
      </c>
      <c r="F1554" s="15">
        <f>IFERROR(PRD[[#This Row],[VALOR]]/PRD[[#This Row],[KGS]],"")</f>
        <v>3.0977261731978709</v>
      </c>
      <c r="H1554" s="27"/>
    </row>
    <row r="1555" spans="1:8" x14ac:dyDescent="0.25">
      <c r="A1555" s="21">
        <v>4032704</v>
      </c>
      <c r="B1555" s="1">
        <v>45108</v>
      </c>
      <c r="C1555" t="s">
        <v>260</v>
      </c>
      <c r="D1555">
        <v>238.04</v>
      </c>
      <c r="E1555">
        <v>701.47</v>
      </c>
      <c r="F1555" s="15">
        <f>IFERROR(PRD[[#This Row],[VALOR]]/PRD[[#This Row],[KGS]],"")</f>
        <v>2.9468576709796674</v>
      </c>
      <c r="H1555" s="27"/>
    </row>
    <row r="1556" spans="1:8" x14ac:dyDescent="0.25">
      <c r="A1556" s="21">
        <v>4032800</v>
      </c>
      <c r="B1556" s="1">
        <v>45108</v>
      </c>
      <c r="C1556" t="s">
        <v>262</v>
      </c>
      <c r="D1556">
        <v>101.7</v>
      </c>
      <c r="E1556">
        <v>591.55999999999995</v>
      </c>
      <c r="F1556" s="15">
        <f>IFERROR(PRD[[#This Row],[VALOR]]/PRD[[#This Row],[KGS]],"")</f>
        <v>5.8167158308751219</v>
      </c>
      <c r="H1556" s="27"/>
    </row>
    <row r="1557" spans="1:8" x14ac:dyDescent="0.25">
      <c r="A1557" s="21">
        <v>4032902</v>
      </c>
      <c r="B1557" s="1">
        <v>45108</v>
      </c>
      <c r="C1557" t="s">
        <v>264</v>
      </c>
      <c r="D1557">
        <v>127.18</v>
      </c>
      <c r="E1557">
        <v>653.82000000000005</v>
      </c>
      <c r="F1557" s="15">
        <f>IFERROR(PRD[[#This Row],[VALOR]]/PRD[[#This Row],[KGS]],"")</f>
        <v>5.1409026576505745</v>
      </c>
      <c r="H1557" s="27"/>
    </row>
    <row r="1558" spans="1:8" x14ac:dyDescent="0.25">
      <c r="A1558" s="21">
        <v>4033011</v>
      </c>
      <c r="B1558" s="1">
        <v>45108</v>
      </c>
      <c r="C1558" t="s">
        <v>266</v>
      </c>
      <c r="D1558">
        <v>58.37</v>
      </c>
      <c r="E1558">
        <v>300.61</v>
      </c>
      <c r="F1558" s="15">
        <f>IFERROR(PRD[[#This Row],[VALOR]]/PRD[[#This Row],[KGS]],"")</f>
        <v>5.1500770943978074</v>
      </c>
      <c r="H1558" s="27"/>
    </row>
    <row r="1559" spans="1:8" x14ac:dyDescent="0.25">
      <c r="A1559" s="21">
        <v>4033111</v>
      </c>
      <c r="B1559" s="1">
        <v>45108</v>
      </c>
      <c r="C1559" t="s">
        <v>268</v>
      </c>
      <c r="D1559">
        <v>175.39</v>
      </c>
      <c r="E1559">
        <v>758.07</v>
      </c>
      <c r="F1559" s="15">
        <f>IFERROR(PRD[[#This Row],[VALOR]]/PRD[[#This Row],[KGS]],"")</f>
        <v>4.3221962483607967</v>
      </c>
      <c r="H1559" s="27"/>
    </row>
    <row r="1560" spans="1:8" x14ac:dyDescent="0.25">
      <c r="A1560" s="21">
        <v>4033211</v>
      </c>
      <c r="B1560" s="1">
        <v>45108</v>
      </c>
      <c r="C1560" t="s">
        <v>270</v>
      </c>
      <c r="D1560">
        <v>68.599999999999994</v>
      </c>
      <c r="E1560">
        <v>311.88</v>
      </c>
      <c r="F1560" s="15">
        <f>IFERROR(PRD[[#This Row],[VALOR]]/PRD[[#This Row],[KGS]],"")</f>
        <v>4.5463556851311955</v>
      </c>
      <c r="H1560" s="27"/>
    </row>
    <row r="1561" spans="1:8" x14ac:dyDescent="0.25">
      <c r="A1561" s="21">
        <v>4033311</v>
      </c>
      <c r="B1561" s="1">
        <v>45108</v>
      </c>
      <c r="C1561" t="s">
        <v>272</v>
      </c>
      <c r="D1561">
        <v>6.57</v>
      </c>
      <c r="E1561">
        <v>40.729999999999997</v>
      </c>
      <c r="F1561" s="15">
        <f>IFERROR(PRD[[#This Row],[VALOR]]/PRD[[#This Row],[KGS]],"")</f>
        <v>6.199391171993911</v>
      </c>
      <c r="H1561" s="27"/>
    </row>
    <row r="1562" spans="1:8" x14ac:dyDescent="0.25">
      <c r="A1562" s="21">
        <v>4033400</v>
      </c>
      <c r="B1562" s="1">
        <v>45108</v>
      </c>
      <c r="C1562" t="s">
        <v>274</v>
      </c>
      <c r="D1562">
        <v>757</v>
      </c>
      <c r="E1562">
        <v>2219.83</v>
      </c>
      <c r="F1562" s="15">
        <f>IFERROR(PRD[[#This Row],[VALOR]]/PRD[[#This Row],[KGS]],"")</f>
        <v>2.9324042272126816</v>
      </c>
      <c r="H1562" s="27"/>
    </row>
    <row r="1563" spans="1:8" x14ac:dyDescent="0.25">
      <c r="A1563" s="21">
        <v>4033511</v>
      </c>
      <c r="B1563" s="1">
        <v>45108</v>
      </c>
      <c r="C1563" t="s">
        <v>276</v>
      </c>
      <c r="D1563">
        <v>1205.1099999999999</v>
      </c>
      <c r="E1563">
        <v>3823.82</v>
      </c>
      <c r="F1563" s="15">
        <f>IFERROR(PRD[[#This Row],[VALOR]]/PRD[[#This Row],[KGS]],"")</f>
        <v>3.173004953904623</v>
      </c>
      <c r="H1563" s="27"/>
    </row>
    <row r="1564" spans="1:8" x14ac:dyDescent="0.25">
      <c r="A1564" s="21">
        <v>4033601</v>
      </c>
      <c r="B1564" s="1">
        <v>45108</v>
      </c>
      <c r="C1564" t="s">
        <v>696</v>
      </c>
      <c r="D1564">
        <v>5235.8</v>
      </c>
      <c r="E1564">
        <v>23561.119999999999</v>
      </c>
      <c r="F1564" s="15">
        <f>IFERROR(PRD[[#This Row],[VALOR]]/PRD[[#This Row],[KGS]],"")</f>
        <v>4.5000038198556087</v>
      </c>
      <c r="H1564" s="27"/>
    </row>
    <row r="1565" spans="1:8" x14ac:dyDescent="0.25">
      <c r="A1565" s="21">
        <v>4033900</v>
      </c>
      <c r="B1565" s="1">
        <v>45108</v>
      </c>
      <c r="C1565" t="s">
        <v>278</v>
      </c>
      <c r="D1565">
        <v>17.2</v>
      </c>
      <c r="E1565">
        <v>88.4</v>
      </c>
      <c r="F1565" s="15">
        <f>IFERROR(PRD[[#This Row],[VALOR]]/PRD[[#This Row],[KGS]],"")</f>
        <v>5.1395348837209305</v>
      </c>
      <c r="H1565" s="27"/>
    </row>
    <row r="1566" spans="1:8" x14ac:dyDescent="0.25">
      <c r="A1566" s="21">
        <v>4034011</v>
      </c>
      <c r="B1566" s="1">
        <v>45108</v>
      </c>
      <c r="C1566" t="s">
        <v>280</v>
      </c>
      <c r="D1566">
        <v>784.39</v>
      </c>
      <c r="E1566">
        <v>4028.74</v>
      </c>
      <c r="F1566" s="15">
        <f>IFERROR(PRD[[#This Row],[VALOR]]/PRD[[#This Row],[KGS]],"")</f>
        <v>5.1361440099950277</v>
      </c>
      <c r="H1566" s="27"/>
    </row>
    <row r="1567" spans="1:8" x14ac:dyDescent="0.25">
      <c r="A1567" s="21">
        <v>4034211</v>
      </c>
      <c r="B1567" s="1">
        <v>45108</v>
      </c>
      <c r="C1567" t="s">
        <v>282</v>
      </c>
      <c r="D1567">
        <v>273.38</v>
      </c>
      <c r="E1567">
        <v>1173.22</v>
      </c>
      <c r="F1567" s="15">
        <f>IFERROR(PRD[[#This Row],[VALOR]]/PRD[[#This Row],[KGS]],"")</f>
        <v>4.2915355914843811</v>
      </c>
      <c r="H1567" s="27"/>
    </row>
    <row r="1568" spans="1:8" x14ac:dyDescent="0.25">
      <c r="A1568" s="21">
        <v>4034400</v>
      </c>
      <c r="B1568" s="1">
        <v>45108</v>
      </c>
      <c r="C1568" t="s">
        <v>284</v>
      </c>
      <c r="D1568">
        <v>156.19999999999999</v>
      </c>
      <c r="E1568">
        <v>414.63</v>
      </c>
      <c r="F1568" s="15">
        <f>IFERROR(PRD[[#This Row],[VALOR]]/PRD[[#This Row],[KGS]],"")</f>
        <v>2.6544814340588991</v>
      </c>
      <c r="H1568" s="27"/>
    </row>
    <row r="1569" spans="1:8" x14ac:dyDescent="0.25">
      <c r="A1569" s="21">
        <v>4034502</v>
      </c>
      <c r="B1569" s="1">
        <v>45108</v>
      </c>
      <c r="C1569" t="s">
        <v>286</v>
      </c>
      <c r="D1569">
        <v>33.200000000000003</v>
      </c>
      <c r="E1569">
        <v>96.89</v>
      </c>
      <c r="F1569" s="15">
        <f>IFERROR(PRD[[#This Row],[VALOR]]/PRD[[#This Row],[KGS]],"")</f>
        <v>2.9183734939759032</v>
      </c>
      <c r="H1569" s="27"/>
    </row>
    <row r="1570" spans="1:8" x14ac:dyDescent="0.25">
      <c r="A1570" s="21">
        <v>8030004</v>
      </c>
      <c r="B1570" s="1">
        <v>45108</v>
      </c>
      <c r="C1570" t="s">
        <v>697</v>
      </c>
      <c r="D1570">
        <v>2</v>
      </c>
      <c r="E1570">
        <v>20</v>
      </c>
      <c r="F1570" s="15">
        <f>IFERROR(PRD[[#This Row],[VALOR]]/PRD[[#This Row],[KGS]],"")</f>
        <v>10</v>
      </c>
      <c r="H1570" s="27"/>
    </row>
    <row r="1571" spans="1:8" x14ac:dyDescent="0.25">
      <c r="A1571" s="21">
        <v>8040011</v>
      </c>
      <c r="B1571" s="1">
        <v>45108</v>
      </c>
      <c r="C1571" t="s">
        <v>560</v>
      </c>
      <c r="D1571">
        <v>21</v>
      </c>
      <c r="E1571">
        <v>62.79</v>
      </c>
      <c r="F1571" s="15">
        <f>IFERROR(PRD[[#This Row],[VALOR]]/PRD[[#This Row],[KGS]],"")</f>
        <v>2.9899999999999998</v>
      </c>
      <c r="H1571" s="27"/>
    </row>
    <row r="1572" spans="1:8" x14ac:dyDescent="0.25">
      <c r="A1572" s="21">
        <v>8040039</v>
      </c>
      <c r="B1572" s="1">
        <v>45108</v>
      </c>
      <c r="C1572" t="s">
        <v>564</v>
      </c>
      <c r="D1572">
        <v>2.37</v>
      </c>
      <c r="E1572">
        <v>32.520000000000003</v>
      </c>
      <c r="F1572" s="15">
        <f>IFERROR(PRD[[#This Row],[VALOR]]/PRD[[#This Row],[KGS]],"")</f>
        <v>13.721518987341772</v>
      </c>
      <c r="H1572" s="27"/>
    </row>
    <row r="1573" spans="1:8" x14ac:dyDescent="0.25">
      <c r="A1573" s="21">
        <v>8040040</v>
      </c>
      <c r="B1573" s="1">
        <v>45108</v>
      </c>
      <c r="C1573" t="s">
        <v>698</v>
      </c>
      <c r="D1573">
        <v>2016</v>
      </c>
      <c r="E1573">
        <v>10609.2</v>
      </c>
      <c r="F1573" s="15">
        <f>IFERROR(PRD[[#This Row],[VALOR]]/PRD[[#This Row],[KGS]],"")</f>
        <v>5.2625000000000002</v>
      </c>
      <c r="H1573" s="27"/>
    </row>
    <row r="1574" spans="1:8" x14ac:dyDescent="0.25">
      <c r="A1574" s="21">
        <v>8040048</v>
      </c>
      <c r="B1574" s="1">
        <v>45108</v>
      </c>
      <c r="C1574" t="s">
        <v>699</v>
      </c>
      <c r="D1574">
        <v>32</v>
      </c>
      <c r="E1574">
        <v>82.24</v>
      </c>
      <c r="F1574" s="15">
        <f>IFERROR(PRD[[#This Row],[VALOR]]/PRD[[#This Row],[KGS]],"")</f>
        <v>2.57</v>
      </c>
      <c r="H1574" s="27"/>
    </row>
    <row r="1575" spans="1:8" x14ac:dyDescent="0.25">
      <c r="A1575" s="21">
        <v>8040049</v>
      </c>
      <c r="B1575" s="1">
        <v>45108</v>
      </c>
      <c r="C1575" t="s">
        <v>643</v>
      </c>
      <c r="D1575">
        <v>136</v>
      </c>
      <c r="E1575">
        <v>1548.8</v>
      </c>
      <c r="F1575" s="15">
        <f>IFERROR(PRD[[#This Row],[VALOR]]/PRD[[#This Row],[KGS]],"")</f>
        <v>11.388235294117647</v>
      </c>
      <c r="H1575" s="27"/>
    </row>
    <row r="1576" spans="1:8" x14ac:dyDescent="0.25">
      <c r="A1576" s="21">
        <v>8040052</v>
      </c>
      <c r="B1576" s="1">
        <v>45108</v>
      </c>
      <c r="C1576" t="s">
        <v>700</v>
      </c>
      <c r="D1576">
        <v>6.3</v>
      </c>
      <c r="E1576">
        <v>73.709999999999994</v>
      </c>
      <c r="F1576" s="15">
        <f>IFERROR(PRD[[#This Row],[VALOR]]/PRD[[#This Row],[KGS]],"")</f>
        <v>11.7</v>
      </c>
      <c r="H1576" s="27"/>
    </row>
    <row r="1577" spans="1:8" x14ac:dyDescent="0.25">
      <c r="A1577" s="21">
        <v>8050002</v>
      </c>
      <c r="B1577" s="1">
        <v>45108</v>
      </c>
      <c r="C1577" t="s">
        <v>322</v>
      </c>
      <c r="D1577">
        <v>1</v>
      </c>
      <c r="E1577">
        <v>6.46</v>
      </c>
      <c r="F1577" s="15">
        <f>IFERROR(PRD[[#This Row],[VALOR]]/PRD[[#This Row],[KGS]],"")</f>
        <v>6.46</v>
      </c>
      <c r="H1577" s="27"/>
    </row>
    <row r="1578" spans="1:8" x14ac:dyDescent="0.25">
      <c r="A1578" s="21">
        <v>8070003</v>
      </c>
      <c r="B1578" s="1">
        <v>45108</v>
      </c>
      <c r="C1578" t="s">
        <v>328</v>
      </c>
      <c r="D1578">
        <v>1200</v>
      </c>
      <c r="E1578">
        <v>744</v>
      </c>
      <c r="F1578" s="15">
        <f>IFERROR(PRD[[#This Row],[VALOR]]/PRD[[#This Row],[KGS]],"")</f>
        <v>0.62</v>
      </c>
      <c r="H1578" s="27"/>
    </row>
    <row r="1579" spans="1:8" x14ac:dyDescent="0.25">
      <c r="A1579" s="21">
        <v>8070008</v>
      </c>
      <c r="B1579" s="1">
        <v>45108</v>
      </c>
      <c r="C1579" t="s">
        <v>368</v>
      </c>
      <c r="D1579">
        <v>1360</v>
      </c>
      <c r="E1579">
        <v>13532</v>
      </c>
      <c r="F1579" s="15">
        <f>IFERROR(PRD[[#This Row],[VALOR]]/PRD[[#This Row],[KGS]],"")</f>
        <v>9.9499999999999993</v>
      </c>
      <c r="H1579" s="27"/>
    </row>
    <row r="1580" spans="1:8" x14ac:dyDescent="0.25">
      <c r="A1580" s="21">
        <v>8070053</v>
      </c>
      <c r="B1580" s="1">
        <v>45108</v>
      </c>
      <c r="C1580" t="s">
        <v>661</v>
      </c>
      <c r="D1580">
        <v>524.44000000000005</v>
      </c>
      <c r="E1580">
        <v>796.69</v>
      </c>
      <c r="F1580" s="15">
        <f>IFERROR(PRD[[#This Row],[VALOR]]/PRD[[#This Row],[KGS]],"")</f>
        <v>1.5191251620776447</v>
      </c>
      <c r="H1580" s="27"/>
    </row>
    <row r="1581" spans="1:8" x14ac:dyDescent="0.25">
      <c r="A1581" s="21">
        <v>8070060</v>
      </c>
      <c r="B1581" s="1">
        <v>45108</v>
      </c>
      <c r="C1581" t="s">
        <v>701</v>
      </c>
      <c r="D1581">
        <v>4170</v>
      </c>
      <c r="E1581">
        <v>9384</v>
      </c>
      <c r="F1581" s="15">
        <f>IFERROR(PRD[[#This Row],[VALOR]]/PRD[[#This Row],[KGS]],"")</f>
        <v>2.2503597122302157</v>
      </c>
      <c r="H1581" s="27"/>
    </row>
    <row r="1582" spans="1:8" x14ac:dyDescent="0.25">
      <c r="A1582" s="21">
        <v>8120008</v>
      </c>
      <c r="B1582" s="1">
        <v>45108</v>
      </c>
      <c r="C1582" t="s">
        <v>409</v>
      </c>
      <c r="D1582">
        <v>3</v>
      </c>
      <c r="E1582">
        <v>32.1</v>
      </c>
      <c r="F1582" s="15">
        <f>IFERROR(PRD[[#This Row],[VALOR]]/PRD[[#This Row],[KGS]],"")</f>
        <v>10.700000000000001</v>
      </c>
      <c r="H1582" s="27"/>
    </row>
    <row r="1583" spans="1:8" x14ac:dyDescent="0.25">
      <c r="A1583" s="21">
        <v>8120009</v>
      </c>
      <c r="B1583" s="1">
        <v>45108</v>
      </c>
      <c r="C1583" t="s">
        <v>506</v>
      </c>
      <c r="D1583">
        <v>1387.5</v>
      </c>
      <c r="E1583">
        <v>16238.69</v>
      </c>
      <c r="F1583" s="15">
        <f>IFERROR(PRD[[#This Row],[VALOR]]/PRD[[#This Row],[KGS]],"")</f>
        <v>11.703560360360362</v>
      </c>
      <c r="H1583" s="27"/>
    </row>
    <row r="1584" spans="1:8" x14ac:dyDescent="0.25">
      <c r="A1584" s="21">
        <v>8120011</v>
      </c>
      <c r="B1584" s="1">
        <v>45108</v>
      </c>
      <c r="C1584" t="s">
        <v>379</v>
      </c>
      <c r="D1584">
        <v>786.41</v>
      </c>
      <c r="E1584">
        <v>10380.61</v>
      </c>
      <c r="F1584" s="15">
        <f>IFERROR(PRD[[#This Row],[VALOR]]/PRD[[#This Row],[KGS]],"")</f>
        <v>13.199997456797346</v>
      </c>
      <c r="H1584" s="27"/>
    </row>
    <row r="1585" spans="1:8" x14ac:dyDescent="0.25">
      <c r="A1585" s="21">
        <v>8120014</v>
      </c>
      <c r="B1585" s="1">
        <v>45108</v>
      </c>
      <c r="C1585" t="s">
        <v>411</v>
      </c>
      <c r="D1585">
        <v>374.2</v>
      </c>
      <c r="E1585">
        <v>6960.12</v>
      </c>
      <c r="F1585" s="15">
        <f>IFERROR(PRD[[#This Row],[VALOR]]/PRD[[#This Row],[KGS]],"")</f>
        <v>18.600000000000001</v>
      </c>
      <c r="H1585" s="27"/>
    </row>
    <row r="1586" spans="1:8" x14ac:dyDescent="0.25">
      <c r="A1586" s="21">
        <v>8120015</v>
      </c>
      <c r="B1586" s="1">
        <v>45108</v>
      </c>
      <c r="C1586" t="s">
        <v>412</v>
      </c>
      <c r="D1586">
        <v>1</v>
      </c>
      <c r="E1586">
        <v>4.2300000000000004</v>
      </c>
      <c r="F1586" s="15">
        <f>IFERROR(PRD[[#This Row],[VALOR]]/PRD[[#This Row],[KGS]],"")</f>
        <v>4.2300000000000004</v>
      </c>
      <c r="H1586" s="27"/>
    </row>
    <row r="1587" spans="1:8" x14ac:dyDescent="0.25">
      <c r="A1587" s="21">
        <v>8120016</v>
      </c>
      <c r="B1587" s="1">
        <v>45108</v>
      </c>
      <c r="C1587" t="s">
        <v>510</v>
      </c>
      <c r="D1587">
        <v>1299.54</v>
      </c>
      <c r="E1587">
        <v>8706.92</v>
      </c>
      <c r="F1587" s="15">
        <f>IFERROR(PRD[[#This Row],[VALOR]]/PRD[[#This Row],[KGS]],"")</f>
        <v>6.7000015390061103</v>
      </c>
      <c r="H1587" s="27"/>
    </row>
    <row r="1588" spans="1:8" x14ac:dyDescent="0.25">
      <c r="A1588" s="21">
        <v>8120035</v>
      </c>
      <c r="B1588" s="1">
        <v>45108</v>
      </c>
      <c r="C1588" t="s">
        <v>702</v>
      </c>
      <c r="D1588">
        <v>1980</v>
      </c>
      <c r="E1588">
        <v>9741.6</v>
      </c>
      <c r="F1588" s="15">
        <f>IFERROR(PRD[[#This Row],[VALOR]]/PRD[[#This Row],[KGS]],"")</f>
        <v>4.92</v>
      </c>
      <c r="H1588" s="27"/>
    </row>
    <row r="1589" spans="1:8" x14ac:dyDescent="0.25">
      <c r="A1589" s="21">
        <v>8130001</v>
      </c>
      <c r="B1589" s="1">
        <v>45108</v>
      </c>
      <c r="C1589" t="s">
        <v>380</v>
      </c>
      <c r="D1589">
        <v>3</v>
      </c>
      <c r="E1589">
        <v>7.05</v>
      </c>
      <c r="F1589" s="15">
        <f>IFERROR(PRD[[#This Row],[VALOR]]/PRD[[#This Row],[KGS]],"")</f>
        <v>2.35</v>
      </c>
      <c r="H1589" s="27"/>
    </row>
    <row r="1590" spans="1:8" x14ac:dyDescent="0.25">
      <c r="A1590" s="21">
        <v>8130010</v>
      </c>
      <c r="B1590" s="1">
        <v>45108</v>
      </c>
      <c r="C1590" t="s">
        <v>619</v>
      </c>
      <c r="D1590">
        <v>900</v>
      </c>
      <c r="E1590">
        <v>1305</v>
      </c>
      <c r="F1590" s="15">
        <f>IFERROR(PRD[[#This Row],[VALOR]]/PRD[[#This Row],[KGS]],"")</f>
        <v>1.45</v>
      </c>
      <c r="H1590" s="27"/>
    </row>
    <row r="1591" spans="1:8" x14ac:dyDescent="0.25">
      <c r="A1591" s="21">
        <v>8140001</v>
      </c>
      <c r="B1591" s="1">
        <v>45108</v>
      </c>
      <c r="C1591" t="s">
        <v>381</v>
      </c>
      <c r="D1591">
        <v>572</v>
      </c>
      <c r="E1591">
        <v>2459.6</v>
      </c>
      <c r="F1591" s="15">
        <f>IFERROR(PRD[[#This Row],[VALOR]]/PRD[[#This Row],[KGS]],"")</f>
        <v>4.3</v>
      </c>
      <c r="H1591" s="27"/>
    </row>
    <row r="1592" spans="1:8" x14ac:dyDescent="0.25">
      <c r="A1592" s="21">
        <v>8140006</v>
      </c>
      <c r="B1592" s="1">
        <v>45108</v>
      </c>
      <c r="C1592" t="s">
        <v>423</v>
      </c>
      <c r="D1592">
        <v>3</v>
      </c>
      <c r="E1592">
        <v>6.96</v>
      </c>
      <c r="F1592" s="15">
        <f>IFERROR(PRD[[#This Row],[VALOR]]/PRD[[#This Row],[KGS]],"")</f>
        <v>2.3199999999999998</v>
      </c>
      <c r="H1592" s="27"/>
    </row>
    <row r="1593" spans="1:8" x14ac:dyDescent="0.25">
      <c r="A1593" s="21">
        <v>8140014</v>
      </c>
      <c r="B1593" s="1">
        <v>45108</v>
      </c>
      <c r="C1593" t="s">
        <v>675</v>
      </c>
      <c r="D1593">
        <v>75</v>
      </c>
      <c r="E1593">
        <v>297</v>
      </c>
      <c r="F1593" s="15">
        <f>IFERROR(PRD[[#This Row],[VALOR]]/PRD[[#This Row],[KGS]],"")</f>
        <v>3.96</v>
      </c>
      <c r="H1593" s="27"/>
    </row>
    <row r="1594" spans="1:8" x14ac:dyDescent="0.25">
      <c r="A1594" s="21">
        <v>8140015</v>
      </c>
      <c r="B1594" s="1">
        <v>45108</v>
      </c>
      <c r="C1594" t="s">
        <v>676</v>
      </c>
      <c r="D1594">
        <v>502</v>
      </c>
      <c r="E1594">
        <v>1962.2</v>
      </c>
      <c r="F1594" s="15">
        <f>IFERROR(PRD[[#This Row],[VALOR]]/PRD[[#This Row],[KGS]],"")</f>
        <v>3.9087649402390441</v>
      </c>
      <c r="H1594" s="27"/>
    </row>
    <row r="1595" spans="1:8" x14ac:dyDescent="0.25">
      <c r="A1595" s="21">
        <v>8140016</v>
      </c>
      <c r="B1595" s="1">
        <v>45108</v>
      </c>
      <c r="C1595" t="s">
        <v>677</v>
      </c>
      <c r="D1595">
        <v>1</v>
      </c>
      <c r="E1595">
        <v>4.3099999999999996</v>
      </c>
      <c r="F1595" s="15">
        <f>IFERROR(PRD[[#This Row],[VALOR]]/PRD[[#This Row],[KGS]],"")</f>
        <v>4.3099999999999996</v>
      </c>
      <c r="H1595" s="27"/>
    </row>
    <row r="1596" spans="1:8" x14ac:dyDescent="0.25">
      <c r="A1596" s="21">
        <v>8140020</v>
      </c>
      <c r="B1596" s="1">
        <v>45108</v>
      </c>
      <c r="C1596" t="s">
        <v>703</v>
      </c>
      <c r="D1596">
        <v>1</v>
      </c>
      <c r="E1596">
        <v>17.52</v>
      </c>
      <c r="F1596" s="15">
        <f>IFERROR(PRD[[#This Row],[VALOR]]/PRD[[#This Row],[KGS]],"")</f>
        <v>17.52</v>
      </c>
      <c r="H1596" s="27"/>
    </row>
    <row r="1597" spans="1:8" x14ac:dyDescent="0.25">
      <c r="A1597" s="21">
        <v>8140021</v>
      </c>
      <c r="B1597" s="1">
        <v>45108</v>
      </c>
      <c r="C1597" t="s">
        <v>704</v>
      </c>
      <c r="D1597">
        <v>1</v>
      </c>
      <c r="E1597">
        <v>25.14</v>
      </c>
      <c r="F1597" s="15">
        <f>IFERROR(PRD[[#This Row],[VALOR]]/PRD[[#This Row],[KGS]],"")</f>
        <v>25.14</v>
      </c>
      <c r="H1597" s="27"/>
    </row>
    <row r="1598" spans="1:8" x14ac:dyDescent="0.25">
      <c r="A1598" s="21">
        <v>8150004</v>
      </c>
      <c r="B1598" s="1">
        <v>45108</v>
      </c>
      <c r="C1598" t="s">
        <v>625</v>
      </c>
      <c r="D1598">
        <v>42.5</v>
      </c>
      <c r="E1598">
        <v>348.5</v>
      </c>
      <c r="F1598" s="15">
        <f>IFERROR(PRD[[#This Row],[VALOR]]/PRD[[#This Row],[KGS]],"")</f>
        <v>8.1999999999999993</v>
      </c>
      <c r="H1598" s="27"/>
    </row>
    <row r="1599" spans="1:8" x14ac:dyDescent="0.25">
      <c r="A1599" s="21">
        <v>8150009</v>
      </c>
      <c r="B1599" s="1">
        <v>45108</v>
      </c>
      <c r="C1599" t="s">
        <v>678</v>
      </c>
      <c r="D1599">
        <v>463</v>
      </c>
      <c r="E1599">
        <v>8733.4</v>
      </c>
      <c r="F1599" s="15">
        <f>IFERROR(PRD[[#This Row],[VALOR]]/PRD[[#This Row],[KGS]],"")</f>
        <v>18.862634989200863</v>
      </c>
      <c r="H1599" s="27"/>
    </row>
    <row r="1600" spans="1:8" x14ac:dyDescent="0.25">
      <c r="A1600" s="21">
        <v>8150010</v>
      </c>
      <c r="B1600" s="1">
        <v>45108</v>
      </c>
      <c r="C1600" t="s">
        <v>705</v>
      </c>
      <c r="D1600">
        <v>600</v>
      </c>
      <c r="E1600">
        <v>9780</v>
      </c>
      <c r="F1600" s="15">
        <f>IFERROR(PRD[[#This Row],[VALOR]]/PRD[[#This Row],[KGS]],"")</f>
        <v>16.3</v>
      </c>
      <c r="H1600" s="27"/>
    </row>
    <row r="1601" spans="1:8" x14ac:dyDescent="0.25">
      <c r="A1601" s="21">
        <v>8150015</v>
      </c>
      <c r="B1601" s="1">
        <v>45108</v>
      </c>
      <c r="C1601" t="s">
        <v>628</v>
      </c>
      <c r="D1601">
        <v>1920</v>
      </c>
      <c r="E1601">
        <v>7200</v>
      </c>
      <c r="F1601" s="15">
        <f>IFERROR(PRD[[#This Row],[VALOR]]/PRD[[#This Row],[KGS]],"")</f>
        <v>3.75</v>
      </c>
      <c r="H1601" s="27"/>
    </row>
    <row r="1602" spans="1:8" x14ac:dyDescent="0.25">
      <c r="A1602" s="21">
        <v>8150020</v>
      </c>
      <c r="B1602" s="1">
        <v>45108</v>
      </c>
      <c r="C1602" t="s">
        <v>706</v>
      </c>
      <c r="D1602">
        <v>2</v>
      </c>
      <c r="E1602">
        <v>17.899999999999999</v>
      </c>
      <c r="F1602" s="15">
        <f>IFERROR(PRD[[#This Row],[VALOR]]/PRD[[#This Row],[KGS]],"")</f>
        <v>8.9499999999999993</v>
      </c>
      <c r="H1602" s="27"/>
    </row>
    <row r="1603" spans="1:8" x14ac:dyDescent="0.25">
      <c r="A1603" s="21">
        <v>8160002</v>
      </c>
      <c r="B1603" s="1">
        <v>45108</v>
      </c>
      <c r="C1603" t="s">
        <v>707</v>
      </c>
      <c r="D1603">
        <v>4492.4399999999996</v>
      </c>
      <c r="E1603">
        <v>31447.08</v>
      </c>
      <c r="F1603" s="15">
        <f>IFERROR(PRD[[#This Row],[VALOR]]/PRD[[#This Row],[KGS]],"")</f>
        <v>7.0000000000000009</v>
      </c>
      <c r="H1603" s="27"/>
    </row>
    <row r="1604" spans="1:8" x14ac:dyDescent="0.25">
      <c r="A1604" s="21">
        <v>8160003</v>
      </c>
      <c r="B1604" s="1">
        <v>45108</v>
      </c>
      <c r="C1604" t="s">
        <v>708</v>
      </c>
      <c r="D1604">
        <v>621.16</v>
      </c>
      <c r="E1604">
        <v>4348.12</v>
      </c>
      <c r="F1604" s="15">
        <f>IFERROR(PRD[[#This Row],[VALOR]]/PRD[[#This Row],[KGS]],"")</f>
        <v>7</v>
      </c>
      <c r="H1604" s="27"/>
    </row>
    <row r="1605" spans="1:8" x14ac:dyDescent="0.25">
      <c r="A1605" s="21">
        <v>1010100</v>
      </c>
      <c r="B1605" s="1">
        <v>45139</v>
      </c>
      <c r="C1605" t="s">
        <v>709</v>
      </c>
      <c r="D1605">
        <v>4.5999999999999996</v>
      </c>
      <c r="E1605">
        <v>17.25</v>
      </c>
      <c r="F1605" s="15">
        <f>IFERROR(PRD[[#This Row],[VALOR]]/PRD[[#This Row],[KGS]],"")</f>
        <v>3.7500000000000004</v>
      </c>
      <c r="H1605" s="27"/>
    </row>
    <row r="1606" spans="1:8" x14ac:dyDescent="0.25">
      <c r="A1606" s="21">
        <v>1010200</v>
      </c>
      <c r="B1606" s="1">
        <v>45139</v>
      </c>
      <c r="C1606" t="s">
        <v>331</v>
      </c>
      <c r="D1606">
        <v>829.8</v>
      </c>
      <c r="E1606">
        <v>248.94</v>
      </c>
      <c r="F1606" s="15">
        <f>IFERROR(PRD[[#This Row],[VALOR]]/PRD[[#This Row],[KGS]],"")</f>
        <v>0.3</v>
      </c>
      <c r="H1606" s="27"/>
    </row>
    <row r="1607" spans="1:8" x14ac:dyDescent="0.25">
      <c r="A1607" s="21">
        <v>1010300</v>
      </c>
      <c r="B1607" s="1">
        <v>45139</v>
      </c>
      <c r="C1607" t="s">
        <v>333</v>
      </c>
      <c r="D1607">
        <v>346.9</v>
      </c>
      <c r="E1607">
        <v>104.07</v>
      </c>
      <c r="F1607" s="15">
        <f>IFERROR(PRD[[#This Row],[VALOR]]/PRD[[#This Row],[KGS]],"")</f>
        <v>0.3</v>
      </c>
      <c r="H1607" s="27"/>
    </row>
    <row r="1608" spans="1:8" x14ac:dyDescent="0.25">
      <c r="A1608" s="21">
        <v>1010500</v>
      </c>
      <c r="B1608" s="1">
        <v>45139</v>
      </c>
      <c r="C1608" t="s">
        <v>6</v>
      </c>
      <c r="D1608">
        <v>1113.18</v>
      </c>
      <c r="E1608">
        <v>730.57</v>
      </c>
      <c r="F1608" s="15">
        <f>IFERROR(PRD[[#This Row],[VALOR]]/PRD[[#This Row],[KGS]],"")</f>
        <v>0.65629098618372594</v>
      </c>
      <c r="H1608" s="27"/>
    </row>
    <row r="1609" spans="1:8" x14ac:dyDescent="0.25">
      <c r="A1609" s="21">
        <v>1010600</v>
      </c>
      <c r="B1609" s="1">
        <v>45139</v>
      </c>
      <c r="C1609" t="s">
        <v>334</v>
      </c>
      <c r="D1609">
        <v>13478.5</v>
      </c>
      <c r="E1609">
        <v>8818.66</v>
      </c>
      <c r="F1609" s="15">
        <f>IFERROR(PRD[[#This Row],[VALOR]]/PRD[[#This Row],[KGS]],"")</f>
        <v>0.65427606929554472</v>
      </c>
      <c r="H1609" s="27"/>
    </row>
    <row r="1610" spans="1:8" x14ac:dyDescent="0.25">
      <c r="A1610" s="21">
        <v>1010700</v>
      </c>
      <c r="B1610" s="1">
        <v>45139</v>
      </c>
      <c r="C1610" t="s">
        <v>10</v>
      </c>
      <c r="D1610">
        <v>380.38</v>
      </c>
      <c r="E1610">
        <v>787.77</v>
      </c>
      <c r="F1610" s="15">
        <f>IFERROR(PRD[[#This Row],[VALOR]]/PRD[[#This Row],[KGS]],"")</f>
        <v>2.0710079394289922</v>
      </c>
      <c r="H1610" s="27"/>
    </row>
    <row r="1611" spans="1:8" x14ac:dyDescent="0.25">
      <c r="A1611" s="21">
        <v>1010701</v>
      </c>
      <c r="B1611" s="1">
        <v>45139</v>
      </c>
      <c r="C1611" t="s">
        <v>12</v>
      </c>
      <c r="D1611">
        <v>77.099999999999994</v>
      </c>
      <c r="E1611">
        <v>598.38</v>
      </c>
      <c r="F1611" s="15">
        <f>IFERROR(PRD[[#This Row],[VALOR]]/PRD[[#This Row],[KGS]],"")</f>
        <v>7.761089494163425</v>
      </c>
      <c r="H1611" s="27"/>
    </row>
    <row r="1612" spans="1:8" x14ac:dyDescent="0.25">
      <c r="A1612" s="21">
        <v>1010900</v>
      </c>
      <c r="B1612" s="1">
        <v>45139</v>
      </c>
      <c r="C1612" t="s">
        <v>336</v>
      </c>
      <c r="D1612">
        <v>5.9</v>
      </c>
      <c r="E1612">
        <v>8.5399999999999991</v>
      </c>
      <c r="F1612" s="15">
        <f>IFERROR(PRD[[#This Row],[VALOR]]/PRD[[#This Row],[KGS]],"")</f>
        <v>1.4474576271186439</v>
      </c>
      <c r="H1612" s="27"/>
    </row>
    <row r="1613" spans="1:8" x14ac:dyDescent="0.25">
      <c r="A1613" s="21">
        <v>1010902</v>
      </c>
      <c r="B1613" s="1">
        <v>45139</v>
      </c>
      <c r="C1613" t="s">
        <v>711</v>
      </c>
      <c r="D1613">
        <v>382.42</v>
      </c>
      <c r="E1613">
        <v>503.51</v>
      </c>
      <c r="F1613" s="15">
        <f>IFERROR(PRD[[#This Row],[VALOR]]/PRD[[#This Row],[KGS]],"")</f>
        <v>1.3166413890486899</v>
      </c>
      <c r="H1613" s="27"/>
    </row>
    <row r="1614" spans="1:8" x14ac:dyDescent="0.25">
      <c r="A1614" s="21">
        <v>1010903</v>
      </c>
      <c r="B1614" s="1">
        <v>45139</v>
      </c>
      <c r="C1614" t="s">
        <v>629</v>
      </c>
      <c r="D1614">
        <v>39.4</v>
      </c>
      <c r="E1614">
        <v>38.770000000000003</v>
      </c>
      <c r="F1614" s="15">
        <f>IFERROR(PRD[[#This Row],[VALOR]]/PRD[[#This Row],[KGS]],"")</f>
        <v>0.98401015228426403</v>
      </c>
      <c r="H1614" s="27"/>
    </row>
    <row r="1615" spans="1:8" x14ac:dyDescent="0.25">
      <c r="A1615" s="21">
        <v>1011000</v>
      </c>
      <c r="B1615" s="1">
        <v>45139</v>
      </c>
      <c r="C1615" t="s">
        <v>20</v>
      </c>
      <c r="D1615">
        <v>1176.8800000000001</v>
      </c>
      <c r="E1615">
        <v>856.91</v>
      </c>
      <c r="F1615" s="15">
        <f>IFERROR(PRD[[#This Row],[VALOR]]/PRD[[#This Row],[KGS]],"")</f>
        <v>0.72812011420025824</v>
      </c>
      <c r="H1615" s="27"/>
    </row>
    <row r="1616" spans="1:8" x14ac:dyDescent="0.25">
      <c r="A1616" s="21">
        <v>1011100</v>
      </c>
      <c r="B1616" s="1">
        <v>45139</v>
      </c>
      <c r="C1616" t="s">
        <v>22</v>
      </c>
      <c r="D1616">
        <v>36</v>
      </c>
      <c r="E1616">
        <v>18.149999999999999</v>
      </c>
      <c r="F1616" s="15">
        <f>IFERROR(PRD[[#This Row],[VALOR]]/PRD[[#This Row],[KGS]],"")</f>
        <v>0.50416666666666665</v>
      </c>
      <c r="H1616" s="27"/>
    </row>
    <row r="1617" spans="1:8" x14ac:dyDescent="0.25">
      <c r="A1617" s="21">
        <v>1011200</v>
      </c>
      <c r="B1617" s="1">
        <v>45139</v>
      </c>
      <c r="C1617" t="s">
        <v>712</v>
      </c>
      <c r="D1617">
        <v>47.8</v>
      </c>
      <c r="E1617">
        <v>64.849999999999994</v>
      </c>
      <c r="F1617" s="15">
        <f>IFERROR(PRD[[#This Row],[VALOR]]/PRD[[#This Row],[KGS]],"")</f>
        <v>1.356694560669456</v>
      </c>
      <c r="H1617" s="27"/>
    </row>
    <row r="1618" spans="1:8" x14ac:dyDescent="0.25">
      <c r="A1618" s="21">
        <v>1011201</v>
      </c>
      <c r="B1618" s="1">
        <v>45139</v>
      </c>
      <c r="C1618" t="s">
        <v>338</v>
      </c>
      <c r="D1618">
        <v>113.6</v>
      </c>
      <c r="E1618">
        <v>306.72000000000003</v>
      </c>
      <c r="F1618" s="15">
        <f>IFERROR(PRD[[#This Row],[VALOR]]/PRD[[#This Row],[KGS]],"")</f>
        <v>2.7</v>
      </c>
      <c r="H1618" s="27"/>
    </row>
    <row r="1619" spans="1:8" x14ac:dyDescent="0.25">
      <c r="A1619" s="21">
        <v>1011202</v>
      </c>
      <c r="B1619" s="1">
        <v>45139</v>
      </c>
      <c r="C1619" t="s">
        <v>340</v>
      </c>
      <c r="D1619">
        <v>426.8</v>
      </c>
      <c r="E1619">
        <v>85.36</v>
      </c>
      <c r="F1619" s="15">
        <f>IFERROR(PRD[[#This Row],[VALOR]]/PRD[[#This Row],[KGS]],"")</f>
        <v>0.19999999999999998</v>
      </c>
      <c r="H1619" s="27"/>
    </row>
    <row r="1620" spans="1:8" x14ac:dyDescent="0.25">
      <c r="A1620" s="21">
        <v>1011203</v>
      </c>
      <c r="B1620" s="1">
        <v>45139</v>
      </c>
      <c r="C1620" t="s">
        <v>342</v>
      </c>
      <c r="D1620">
        <v>137.30000000000001</v>
      </c>
      <c r="E1620">
        <v>82.38</v>
      </c>
      <c r="F1620" s="15">
        <f>IFERROR(PRD[[#This Row],[VALOR]]/PRD[[#This Row],[KGS]],"")</f>
        <v>0.59999999999999987</v>
      </c>
      <c r="H1620" s="27"/>
    </row>
    <row r="1621" spans="1:8" x14ac:dyDescent="0.25">
      <c r="A1621" s="21">
        <v>1011204</v>
      </c>
      <c r="B1621" s="1">
        <v>45139</v>
      </c>
      <c r="C1621" t="s">
        <v>344</v>
      </c>
      <c r="D1621">
        <v>105.1</v>
      </c>
      <c r="E1621">
        <v>178.67</v>
      </c>
      <c r="F1621" s="15">
        <f>IFERROR(PRD[[#This Row],[VALOR]]/PRD[[#This Row],[KGS]],"")</f>
        <v>1.7</v>
      </c>
      <c r="H1621" s="27"/>
    </row>
    <row r="1622" spans="1:8" x14ac:dyDescent="0.25">
      <c r="A1622" s="21">
        <v>1011211</v>
      </c>
      <c r="B1622" s="1">
        <v>45139</v>
      </c>
      <c r="C1622" t="s">
        <v>685</v>
      </c>
      <c r="D1622">
        <v>254.6</v>
      </c>
      <c r="E1622">
        <v>89.13</v>
      </c>
      <c r="F1622" s="15">
        <f>IFERROR(PRD[[#This Row],[VALOR]]/PRD[[#This Row],[KGS]],"")</f>
        <v>0.35007855459544385</v>
      </c>
      <c r="H1622" s="27"/>
    </row>
    <row r="1623" spans="1:8" x14ac:dyDescent="0.25">
      <c r="A1623" s="21">
        <v>1011300</v>
      </c>
      <c r="B1623" s="1">
        <v>45139</v>
      </c>
      <c r="C1623" t="s">
        <v>295</v>
      </c>
      <c r="D1623">
        <v>7890.6</v>
      </c>
      <c r="E1623">
        <v>3990.97</v>
      </c>
      <c r="F1623" s="15">
        <f>IFERROR(PRD[[#This Row],[VALOR]]/PRD[[#This Row],[KGS]],"")</f>
        <v>0.50578789952601821</v>
      </c>
      <c r="H1623" s="27"/>
    </row>
    <row r="1624" spans="1:8" x14ac:dyDescent="0.25">
      <c r="A1624" s="21">
        <v>1011400</v>
      </c>
      <c r="B1624" s="1">
        <v>45139</v>
      </c>
      <c r="C1624" t="s">
        <v>25</v>
      </c>
      <c r="D1624">
        <v>5.4</v>
      </c>
      <c r="E1624">
        <v>13.5</v>
      </c>
      <c r="F1624" s="15">
        <f>IFERROR(PRD[[#This Row],[VALOR]]/PRD[[#This Row],[KGS]],"")</f>
        <v>2.5</v>
      </c>
      <c r="H1624" s="27"/>
    </row>
    <row r="1625" spans="1:8" x14ac:dyDescent="0.25">
      <c r="A1625" s="21">
        <v>1011500</v>
      </c>
      <c r="B1625" s="1">
        <v>45139</v>
      </c>
      <c r="C1625" t="s">
        <v>27</v>
      </c>
      <c r="D1625">
        <v>1705.5</v>
      </c>
      <c r="E1625">
        <v>1343.14</v>
      </c>
      <c r="F1625" s="15">
        <f>IFERROR(PRD[[#This Row],[VALOR]]/PRD[[#This Row],[KGS]],"")</f>
        <v>0.78753444737613609</v>
      </c>
      <c r="H1625" s="27"/>
    </row>
    <row r="1626" spans="1:8" x14ac:dyDescent="0.25">
      <c r="A1626" s="21">
        <v>1011501</v>
      </c>
      <c r="B1626" s="1">
        <v>45139</v>
      </c>
      <c r="C1626" t="s">
        <v>297</v>
      </c>
      <c r="D1626">
        <v>1808</v>
      </c>
      <c r="E1626">
        <v>723.2</v>
      </c>
      <c r="F1626" s="15">
        <f>IFERROR(PRD[[#This Row],[VALOR]]/PRD[[#This Row],[KGS]],"")</f>
        <v>0.4</v>
      </c>
      <c r="H1626" s="27"/>
    </row>
    <row r="1627" spans="1:8" x14ac:dyDescent="0.25">
      <c r="A1627" s="21">
        <v>1011604</v>
      </c>
      <c r="B1627" s="1">
        <v>45139</v>
      </c>
      <c r="C1627" t="s">
        <v>29</v>
      </c>
      <c r="D1627">
        <v>21854</v>
      </c>
      <c r="E1627">
        <v>1748.32</v>
      </c>
      <c r="F1627" s="15">
        <f>IFERROR(PRD[[#This Row],[VALOR]]/PRD[[#This Row],[KGS]],"")</f>
        <v>0.08</v>
      </c>
      <c r="H1627" s="27"/>
    </row>
    <row r="1628" spans="1:8" x14ac:dyDescent="0.25">
      <c r="A1628" s="21">
        <v>1011700</v>
      </c>
      <c r="B1628" s="1">
        <v>45139</v>
      </c>
      <c r="C1628" t="s">
        <v>31</v>
      </c>
      <c r="D1628">
        <v>153.22</v>
      </c>
      <c r="E1628">
        <v>248.95</v>
      </c>
      <c r="F1628" s="15">
        <f>IFERROR(PRD[[#This Row],[VALOR]]/PRD[[#This Row],[KGS]],"")</f>
        <v>1.6247878866988643</v>
      </c>
      <c r="H1628" s="27"/>
    </row>
    <row r="1629" spans="1:8" x14ac:dyDescent="0.25">
      <c r="A1629" s="21">
        <v>1011800</v>
      </c>
      <c r="B1629" s="1">
        <v>45139</v>
      </c>
      <c r="C1629" t="s">
        <v>713</v>
      </c>
      <c r="D1629">
        <v>1336.61</v>
      </c>
      <c r="E1629">
        <v>2451.8200000000002</v>
      </c>
      <c r="F1629" s="15">
        <f>IFERROR(PRD[[#This Row],[VALOR]]/PRD[[#This Row],[KGS]],"")</f>
        <v>1.8343570675066028</v>
      </c>
      <c r="H1629" s="27"/>
    </row>
    <row r="1630" spans="1:8" x14ac:dyDescent="0.25">
      <c r="A1630" s="21">
        <v>1011801</v>
      </c>
      <c r="B1630" s="1">
        <v>45139</v>
      </c>
      <c r="C1630" t="s">
        <v>714</v>
      </c>
      <c r="D1630">
        <v>109.26</v>
      </c>
      <c r="E1630">
        <v>163.89</v>
      </c>
      <c r="F1630" s="15">
        <f>IFERROR(PRD[[#This Row],[VALOR]]/PRD[[#This Row],[KGS]],"")</f>
        <v>1.4999999999999998</v>
      </c>
      <c r="H1630" s="27"/>
    </row>
    <row r="1631" spans="1:8" x14ac:dyDescent="0.25">
      <c r="A1631" s="21">
        <v>1011901</v>
      </c>
      <c r="B1631" s="1">
        <v>45139</v>
      </c>
      <c r="C1631" t="s">
        <v>715</v>
      </c>
      <c r="D1631">
        <v>37.4</v>
      </c>
      <c r="E1631">
        <v>37.4</v>
      </c>
      <c r="F1631" s="15">
        <f>IFERROR(PRD[[#This Row],[VALOR]]/PRD[[#This Row],[KGS]],"")</f>
        <v>1</v>
      </c>
      <c r="H1631" s="27"/>
    </row>
    <row r="1632" spans="1:8" x14ac:dyDescent="0.25">
      <c r="A1632" s="21">
        <v>1012100</v>
      </c>
      <c r="B1632" s="1">
        <v>45139</v>
      </c>
      <c r="C1632" t="s">
        <v>302</v>
      </c>
      <c r="D1632">
        <v>428.7</v>
      </c>
      <c r="E1632">
        <v>1200.3599999999999</v>
      </c>
      <c r="F1632" s="15">
        <f>IFERROR(PRD[[#This Row],[VALOR]]/PRD[[#This Row],[KGS]],"")</f>
        <v>2.8</v>
      </c>
      <c r="H1632" s="27"/>
    </row>
    <row r="1633" spans="1:8" x14ac:dyDescent="0.25">
      <c r="A1633" s="21">
        <v>1012200</v>
      </c>
      <c r="B1633" s="1">
        <v>45139</v>
      </c>
      <c r="C1633" t="s">
        <v>39</v>
      </c>
      <c r="D1633">
        <v>652.4</v>
      </c>
      <c r="E1633">
        <v>1060.69</v>
      </c>
      <c r="F1633" s="15">
        <f>IFERROR(PRD[[#This Row],[VALOR]]/PRD[[#This Row],[KGS]],"")</f>
        <v>1.6258277130594729</v>
      </c>
      <c r="H1633" s="27"/>
    </row>
    <row r="1634" spans="1:8" x14ac:dyDescent="0.25">
      <c r="A1634" s="21">
        <v>1012201</v>
      </c>
      <c r="B1634" s="1">
        <v>45139</v>
      </c>
      <c r="C1634" t="s">
        <v>716</v>
      </c>
      <c r="D1634">
        <v>700.9</v>
      </c>
      <c r="E1634">
        <v>1280.23</v>
      </c>
      <c r="F1634" s="15">
        <f>IFERROR(PRD[[#This Row],[VALOR]]/PRD[[#This Row],[KGS]],"")</f>
        <v>1.8265515765444429</v>
      </c>
      <c r="H1634" s="27"/>
    </row>
    <row r="1635" spans="1:8" x14ac:dyDescent="0.25">
      <c r="A1635" s="21">
        <v>1012203</v>
      </c>
      <c r="B1635" s="1">
        <v>45139</v>
      </c>
      <c r="C1635" t="s">
        <v>43</v>
      </c>
      <c r="D1635">
        <v>1816.1</v>
      </c>
      <c r="E1635">
        <v>3083.06</v>
      </c>
      <c r="F1635" s="15">
        <f>IFERROR(PRD[[#This Row],[VALOR]]/PRD[[#This Row],[KGS]],"")</f>
        <v>1.6976267826661529</v>
      </c>
      <c r="H1635" s="27"/>
    </row>
    <row r="1636" spans="1:8" x14ac:dyDescent="0.25">
      <c r="A1636" s="21">
        <v>1012300</v>
      </c>
      <c r="B1636" s="1">
        <v>45139</v>
      </c>
      <c r="C1636" t="s">
        <v>45</v>
      </c>
      <c r="D1636">
        <v>223.9</v>
      </c>
      <c r="E1636">
        <v>333.32</v>
      </c>
      <c r="F1636" s="15">
        <f>IFERROR(PRD[[#This Row],[VALOR]]/PRD[[#This Row],[KGS]],"")</f>
        <v>1.4887003126395713</v>
      </c>
      <c r="H1636" s="27"/>
    </row>
    <row r="1637" spans="1:8" x14ac:dyDescent="0.25">
      <c r="A1637" s="21">
        <v>1012301</v>
      </c>
      <c r="B1637" s="1">
        <v>45139</v>
      </c>
      <c r="C1637" t="s">
        <v>47</v>
      </c>
      <c r="D1637">
        <v>50</v>
      </c>
      <c r="E1637">
        <v>62.5</v>
      </c>
      <c r="F1637" s="15">
        <f>IFERROR(PRD[[#This Row],[VALOR]]/PRD[[#This Row],[KGS]],"")</f>
        <v>1.25</v>
      </c>
      <c r="H1637" s="27"/>
    </row>
    <row r="1638" spans="1:8" x14ac:dyDescent="0.25">
      <c r="A1638" s="21">
        <v>1012400</v>
      </c>
      <c r="B1638" s="1">
        <v>45139</v>
      </c>
      <c r="C1638" t="s">
        <v>49</v>
      </c>
      <c r="D1638">
        <v>865.6</v>
      </c>
      <c r="E1638">
        <v>1397.99</v>
      </c>
      <c r="F1638" s="15">
        <f>IFERROR(PRD[[#This Row],[VALOR]]/PRD[[#This Row],[KGS]],"")</f>
        <v>1.6150531423290202</v>
      </c>
      <c r="H1638" s="27"/>
    </row>
    <row r="1639" spans="1:8" x14ac:dyDescent="0.25">
      <c r="A1639" s="21">
        <v>1012401</v>
      </c>
      <c r="B1639" s="1">
        <v>45139</v>
      </c>
      <c r="C1639" t="s">
        <v>51</v>
      </c>
      <c r="D1639">
        <v>138.61000000000001</v>
      </c>
      <c r="E1639">
        <v>188.04</v>
      </c>
      <c r="F1639" s="15">
        <f>IFERROR(PRD[[#This Row],[VALOR]]/PRD[[#This Row],[KGS]],"")</f>
        <v>1.3566120770507177</v>
      </c>
      <c r="H1639" s="27"/>
    </row>
    <row r="1640" spans="1:8" x14ac:dyDescent="0.25">
      <c r="A1640" s="21">
        <v>1012500</v>
      </c>
      <c r="B1640" s="1">
        <v>45139</v>
      </c>
      <c r="C1640" t="s">
        <v>53</v>
      </c>
      <c r="D1640">
        <v>1118.3</v>
      </c>
      <c r="E1640">
        <v>447.77</v>
      </c>
      <c r="F1640" s="15">
        <f>IFERROR(PRD[[#This Row],[VALOR]]/PRD[[#This Row],[KGS]],"")</f>
        <v>0.4004023964946794</v>
      </c>
      <c r="H1640" s="27"/>
    </row>
    <row r="1641" spans="1:8" x14ac:dyDescent="0.25">
      <c r="A1641" s="21">
        <v>1012601</v>
      </c>
      <c r="B1641" s="1">
        <v>45139</v>
      </c>
      <c r="C1641" t="s">
        <v>55</v>
      </c>
      <c r="D1641">
        <v>113</v>
      </c>
      <c r="E1641">
        <v>113</v>
      </c>
      <c r="F1641" s="15">
        <f>IFERROR(PRD[[#This Row],[VALOR]]/PRD[[#This Row],[KGS]],"")</f>
        <v>1</v>
      </c>
      <c r="H1641" s="27"/>
    </row>
    <row r="1642" spans="1:8" x14ac:dyDescent="0.25">
      <c r="A1642" s="21">
        <v>1012700</v>
      </c>
      <c r="B1642" s="1">
        <v>45139</v>
      </c>
      <c r="C1642" t="s">
        <v>630</v>
      </c>
      <c r="D1642">
        <v>43.5</v>
      </c>
      <c r="E1642">
        <v>56.55</v>
      </c>
      <c r="F1642" s="15">
        <f>IFERROR(PRD[[#This Row],[VALOR]]/PRD[[#This Row],[KGS]],"")</f>
        <v>1.3</v>
      </c>
      <c r="H1642" s="27"/>
    </row>
    <row r="1643" spans="1:8" x14ac:dyDescent="0.25">
      <c r="A1643" s="21">
        <v>1012800</v>
      </c>
      <c r="B1643" s="1">
        <v>45139</v>
      </c>
      <c r="C1643" t="s">
        <v>439</v>
      </c>
      <c r="D1643">
        <v>44.6</v>
      </c>
      <c r="E1643">
        <v>66.900000000000006</v>
      </c>
      <c r="F1643" s="15">
        <f>IFERROR(PRD[[#This Row],[VALOR]]/PRD[[#This Row],[KGS]],"")</f>
        <v>1.5</v>
      </c>
      <c r="H1643" s="27"/>
    </row>
    <row r="1644" spans="1:8" x14ac:dyDescent="0.25">
      <c r="A1644" s="21">
        <v>1013100</v>
      </c>
      <c r="B1644" s="1">
        <v>45139</v>
      </c>
      <c r="C1644" t="s">
        <v>57</v>
      </c>
      <c r="D1644">
        <v>48.64</v>
      </c>
      <c r="E1644">
        <v>65.06</v>
      </c>
      <c r="F1644" s="15">
        <f>IFERROR(PRD[[#This Row],[VALOR]]/PRD[[#This Row],[KGS]],"")</f>
        <v>1.3375822368421053</v>
      </c>
      <c r="H1644" s="27"/>
    </row>
    <row r="1645" spans="1:8" x14ac:dyDescent="0.25">
      <c r="A1645" s="21">
        <v>1013101</v>
      </c>
      <c r="B1645" s="1">
        <v>45139</v>
      </c>
      <c r="C1645" t="s">
        <v>717</v>
      </c>
      <c r="D1645">
        <v>4374</v>
      </c>
      <c r="E1645">
        <v>8748</v>
      </c>
      <c r="F1645" s="15">
        <f>IFERROR(PRD[[#This Row],[VALOR]]/PRD[[#This Row],[KGS]],"")</f>
        <v>2</v>
      </c>
      <c r="H1645" s="27"/>
    </row>
    <row r="1646" spans="1:8" x14ac:dyDescent="0.25">
      <c r="A1646" s="21">
        <v>1013200</v>
      </c>
      <c r="B1646" s="1">
        <v>45139</v>
      </c>
      <c r="C1646" t="s">
        <v>59</v>
      </c>
      <c r="D1646">
        <v>518.5</v>
      </c>
      <c r="E1646">
        <v>557.54999999999995</v>
      </c>
      <c r="F1646" s="15">
        <f>IFERROR(PRD[[#This Row],[VALOR]]/PRD[[#This Row],[KGS]],"")</f>
        <v>1.0753134040501446</v>
      </c>
      <c r="H1646" s="27"/>
    </row>
    <row r="1647" spans="1:8" x14ac:dyDescent="0.25">
      <c r="A1647" s="21">
        <v>1013201</v>
      </c>
      <c r="B1647" s="1">
        <v>45139</v>
      </c>
      <c r="C1647" t="s">
        <v>347</v>
      </c>
      <c r="D1647">
        <v>624</v>
      </c>
      <c r="E1647">
        <v>774</v>
      </c>
      <c r="F1647" s="15">
        <f>IFERROR(PRD[[#This Row],[VALOR]]/PRD[[#This Row],[KGS]],"")</f>
        <v>1.2403846153846154</v>
      </c>
      <c r="H1647" s="27"/>
    </row>
    <row r="1648" spans="1:8" x14ac:dyDescent="0.25">
      <c r="A1648" s="21">
        <v>1013300</v>
      </c>
      <c r="B1648" s="1">
        <v>45139</v>
      </c>
      <c r="C1648" t="s">
        <v>348</v>
      </c>
      <c r="D1648">
        <v>611.20000000000005</v>
      </c>
      <c r="E1648">
        <v>183.36</v>
      </c>
      <c r="F1648" s="15">
        <f>IFERROR(PRD[[#This Row],[VALOR]]/PRD[[#This Row],[KGS]],"")</f>
        <v>0.3</v>
      </c>
      <c r="H1648" s="27"/>
    </row>
    <row r="1649" spans="1:8" x14ac:dyDescent="0.25">
      <c r="A1649" s="21">
        <v>1013500</v>
      </c>
      <c r="B1649" s="1">
        <v>45139</v>
      </c>
      <c r="C1649" t="s">
        <v>61</v>
      </c>
      <c r="D1649">
        <v>59.5</v>
      </c>
      <c r="E1649">
        <v>29.75</v>
      </c>
      <c r="F1649" s="15">
        <f>IFERROR(PRD[[#This Row],[VALOR]]/PRD[[#This Row],[KGS]],"")</f>
        <v>0.5</v>
      </c>
      <c r="H1649" s="27"/>
    </row>
    <row r="1650" spans="1:8" x14ac:dyDescent="0.25">
      <c r="A1650" s="21">
        <v>1100100</v>
      </c>
      <c r="B1650" s="1">
        <v>45139</v>
      </c>
      <c r="C1650" t="s">
        <v>63</v>
      </c>
      <c r="D1650">
        <v>65981.740000000005</v>
      </c>
      <c r="E1650">
        <v>195538.51</v>
      </c>
      <c r="F1650" s="15">
        <f>IFERROR(PRD[[#This Row],[VALOR]]/PRD[[#This Row],[KGS]],"")</f>
        <v>2.9635246054438698</v>
      </c>
      <c r="H1650" s="27"/>
    </row>
    <row r="1651" spans="1:8" x14ac:dyDescent="0.25">
      <c r="A1651" s="21">
        <v>1100101</v>
      </c>
      <c r="B1651" s="1">
        <v>45139</v>
      </c>
      <c r="C1651" t="s">
        <v>65</v>
      </c>
      <c r="D1651">
        <v>531.20000000000005</v>
      </c>
      <c r="E1651">
        <v>1628.21</v>
      </c>
      <c r="F1651" s="15">
        <f>IFERROR(PRD[[#This Row],[VALOR]]/PRD[[#This Row],[KGS]],"")</f>
        <v>3.0651543674698791</v>
      </c>
      <c r="H1651" s="27"/>
    </row>
    <row r="1652" spans="1:8" x14ac:dyDescent="0.25">
      <c r="A1652" s="21">
        <v>1100200</v>
      </c>
      <c r="B1652" s="1">
        <v>45139</v>
      </c>
      <c r="C1652" t="s">
        <v>67</v>
      </c>
      <c r="D1652">
        <v>65481.04</v>
      </c>
      <c r="E1652">
        <v>214800.37</v>
      </c>
      <c r="F1652" s="15">
        <f>IFERROR(PRD[[#This Row],[VALOR]]/PRD[[#This Row],[KGS]],"")</f>
        <v>3.2803445088837928</v>
      </c>
      <c r="H1652" s="27"/>
    </row>
    <row r="1653" spans="1:8" x14ac:dyDescent="0.25">
      <c r="A1653" s="21">
        <v>1100300</v>
      </c>
      <c r="B1653" s="1">
        <v>45139</v>
      </c>
      <c r="C1653" t="s">
        <v>69</v>
      </c>
      <c r="D1653">
        <v>12492.39</v>
      </c>
      <c r="E1653">
        <v>40786.980000000003</v>
      </c>
      <c r="F1653" s="15">
        <f>IFERROR(PRD[[#This Row],[VALOR]]/PRD[[#This Row],[KGS]],"")</f>
        <v>3.2649460991851842</v>
      </c>
      <c r="H1653" s="27"/>
    </row>
    <row r="1654" spans="1:8" x14ac:dyDescent="0.25">
      <c r="A1654" s="21">
        <v>1100301</v>
      </c>
      <c r="B1654" s="1">
        <v>45139</v>
      </c>
      <c r="C1654" t="s">
        <v>71</v>
      </c>
      <c r="D1654">
        <v>1972.5</v>
      </c>
      <c r="E1654">
        <v>6669.16</v>
      </c>
      <c r="F1654" s="15">
        <f>IFERROR(PRD[[#This Row],[VALOR]]/PRD[[#This Row],[KGS]],"")</f>
        <v>3.3810697084917618</v>
      </c>
      <c r="H1654" s="27"/>
    </row>
    <row r="1655" spans="1:8" x14ac:dyDescent="0.25">
      <c r="A1655" s="21">
        <v>1100400</v>
      </c>
      <c r="B1655" s="1">
        <v>45139</v>
      </c>
      <c r="C1655" t="s">
        <v>73</v>
      </c>
      <c r="D1655">
        <v>15118.79</v>
      </c>
      <c r="E1655">
        <v>45539.62</v>
      </c>
      <c r="F1655" s="15">
        <f>IFERROR(PRD[[#This Row],[VALOR]]/PRD[[#This Row],[KGS]],"")</f>
        <v>3.0121206789696795</v>
      </c>
      <c r="H1655" s="27"/>
    </row>
    <row r="1656" spans="1:8" x14ac:dyDescent="0.25">
      <c r="A1656" s="21">
        <v>1100500</v>
      </c>
      <c r="B1656" s="1">
        <v>45139</v>
      </c>
      <c r="C1656" t="s">
        <v>75</v>
      </c>
      <c r="D1656">
        <v>212.99</v>
      </c>
      <c r="E1656">
        <v>678.63</v>
      </c>
      <c r="F1656" s="15">
        <f>IFERROR(PRD[[#This Row],[VALOR]]/PRD[[#This Row],[KGS]],"")</f>
        <v>3.1862059251608055</v>
      </c>
      <c r="H1656" s="27"/>
    </row>
    <row r="1657" spans="1:8" x14ac:dyDescent="0.25">
      <c r="A1657" s="21">
        <v>1100600</v>
      </c>
      <c r="B1657" s="1">
        <v>45139</v>
      </c>
      <c r="C1657" t="s">
        <v>77</v>
      </c>
      <c r="D1657">
        <v>11561.74</v>
      </c>
      <c r="E1657">
        <v>42841.93</v>
      </c>
      <c r="F1657" s="15">
        <f>IFERROR(PRD[[#This Row],[VALOR]]/PRD[[#This Row],[KGS]],"")</f>
        <v>3.7054915609588179</v>
      </c>
      <c r="H1657" s="27"/>
    </row>
    <row r="1658" spans="1:8" x14ac:dyDescent="0.25">
      <c r="A1658" s="21">
        <v>1100602</v>
      </c>
      <c r="B1658" s="1">
        <v>45139</v>
      </c>
      <c r="C1658" t="s">
        <v>79</v>
      </c>
      <c r="D1658">
        <v>510.55</v>
      </c>
      <c r="E1658">
        <v>2973.26</v>
      </c>
      <c r="F1658" s="15">
        <f>IFERROR(PRD[[#This Row],[VALOR]]/PRD[[#This Row],[KGS]],"")</f>
        <v>5.8236411712858684</v>
      </c>
      <c r="H1658" s="27"/>
    </row>
    <row r="1659" spans="1:8" x14ac:dyDescent="0.25">
      <c r="A1659" s="21">
        <v>1100603</v>
      </c>
      <c r="B1659" s="1">
        <v>45139</v>
      </c>
      <c r="C1659" t="s">
        <v>304</v>
      </c>
      <c r="D1659">
        <v>160</v>
      </c>
      <c r="E1659">
        <v>806</v>
      </c>
      <c r="F1659" s="15">
        <f>IFERROR(PRD[[#This Row],[VALOR]]/PRD[[#This Row],[KGS]],"")</f>
        <v>5.0374999999999996</v>
      </c>
      <c r="H1659" s="27"/>
    </row>
    <row r="1660" spans="1:8" x14ac:dyDescent="0.25">
      <c r="A1660" s="21">
        <v>1100605</v>
      </c>
      <c r="B1660" s="1">
        <v>45139</v>
      </c>
      <c r="C1660" t="s">
        <v>631</v>
      </c>
      <c r="D1660">
        <v>2022.83</v>
      </c>
      <c r="E1660">
        <v>7288.39</v>
      </c>
      <c r="F1660" s="15">
        <f>IFERROR(PRD[[#This Row],[VALOR]]/PRD[[#This Row],[KGS]],"")</f>
        <v>3.6030660015918294</v>
      </c>
      <c r="H1660" s="27"/>
    </row>
    <row r="1661" spans="1:8" x14ac:dyDescent="0.25">
      <c r="A1661" s="21">
        <v>1100608</v>
      </c>
      <c r="B1661" s="1">
        <v>45139</v>
      </c>
      <c r="C1661" t="s">
        <v>349</v>
      </c>
      <c r="D1661">
        <v>13607.25</v>
      </c>
      <c r="E1661">
        <v>49116.49</v>
      </c>
      <c r="F1661" s="15">
        <f>IFERROR(PRD[[#This Row],[VALOR]]/PRD[[#This Row],[KGS]],"")</f>
        <v>3.6095823917396976</v>
      </c>
      <c r="H1661" s="27"/>
    </row>
    <row r="1662" spans="1:8" x14ac:dyDescent="0.25">
      <c r="A1662" s="21">
        <v>1100700</v>
      </c>
      <c r="B1662" s="1">
        <v>45139</v>
      </c>
      <c r="C1662" t="s">
        <v>83</v>
      </c>
      <c r="D1662">
        <v>20720.349999999999</v>
      </c>
      <c r="E1662">
        <v>74378.679999999993</v>
      </c>
      <c r="F1662" s="15">
        <f>IFERROR(PRD[[#This Row],[VALOR]]/PRD[[#This Row],[KGS]],"")</f>
        <v>3.5896439973262999</v>
      </c>
      <c r="H1662" s="27"/>
    </row>
    <row r="1663" spans="1:8" x14ac:dyDescent="0.25">
      <c r="A1663" s="21">
        <v>1100701</v>
      </c>
      <c r="B1663" s="1">
        <v>45139</v>
      </c>
      <c r="C1663" t="s">
        <v>84</v>
      </c>
      <c r="D1663">
        <v>571.1</v>
      </c>
      <c r="E1663">
        <v>2448.06</v>
      </c>
      <c r="F1663" s="15">
        <f>IFERROR(PRD[[#This Row],[VALOR]]/PRD[[#This Row],[KGS]],"")</f>
        <v>4.2865697776221321</v>
      </c>
      <c r="H1663" s="27"/>
    </row>
    <row r="1664" spans="1:8" x14ac:dyDescent="0.25">
      <c r="A1664" s="21">
        <v>1100703</v>
      </c>
      <c r="B1664" s="1">
        <v>45139</v>
      </c>
      <c r="C1664" t="s">
        <v>86</v>
      </c>
      <c r="D1664">
        <v>2454.62</v>
      </c>
      <c r="E1664">
        <v>10388.700000000001</v>
      </c>
      <c r="F1664" s="15">
        <f>IFERROR(PRD[[#This Row],[VALOR]]/PRD[[#This Row],[KGS]],"")</f>
        <v>4.2323047966691387</v>
      </c>
      <c r="H1664" s="27"/>
    </row>
    <row r="1665" spans="1:8" x14ac:dyDescent="0.25">
      <c r="A1665" s="21">
        <v>1100704</v>
      </c>
      <c r="B1665" s="1">
        <v>45139</v>
      </c>
      <c r="C1665" t="s">
        <v>718</v>
      </c>
      <c r="D1665">
        <v>5.2</v>
      </c>
      <c r="E1665">
        <v>15.6</v>
      </c>
      <c r="F1665" s="15">
        <f>IFERROR(PRD[[#This Row],[VALOR]]/PRD[[#This Row],[KGS]],"")</f>
        <v>3</v>
      </c>
      <c r="H1665" s="27"/>
    </row>
    <row r="1666" spans="1:8" x14ac:dyDescent="0.25">
      <c r="A1666" s="21">
        <v>1100705</v>
      </c>
      <c r="B1666" s="1">
        <v>45139</v>
      </c>
      <c r="C1666" t="s">
        <v>88</v>
      </c>
      <c r="D1666">
        <v>167.66</v>
      </c>
      <c r="E1666">
        <v>264.98</v>
      </c>
      <c r="F1666" s="15">
        <f>IFERROR(PRD[[#This Row],[VALOR]]/PRD[[#This Row],[KGS]],"")</f>
        <v>1.5804604556841229</v>
      </c>
      <c r="H1666" s="27"/>
    </row>
    <row r="1667" spans="1:8" x14ac:dyDescent="0.25">
      <c r="A1667" s="21">
        <v>1100707</v>
      </c>
      <c r="B1667" s="1">
        <v>45139</v>
      </c>
      <c r="C1667" t="s">
        <v>686</v>
      </c>
      <c r="D1667">
        <v>39.299999999999997</v>
      </c>
      <c r="E1667">
        <v>184.71</v>
      </c>
      <c r="F1667" s="15">
        <f>IFERROR(PRD[[#This Row],[VALOR]]/PRD[[#This Row],[KGS]],"")</f>
        <v>4.7</v>
      </c>
      <c r="H1667" s="27"/>
    </row>
    <row r="1668" spans="1:8" x14ac:dyDescent="0.25">
      <c r="A1668" s="21">
        <v>1100800</v>
      </c>
      <c r="B1668" s="1">
        <v>45139</v>
      </c>
      <c r="C1668" t="s">
        <v>90</v>
      </c>
      <c r="D1668">
        <v>13358.18</v>
      </c>
      <c r="E1668">
        <v>45489.42</v>
      </c>
      <c r="F1668" s="15">
        <f>IFERROR(PRD[[#This Row],[VALOR]]/PRD[[#This Row],[KGS]],"")</f>
        <v>3.4053606105023286</v>
      </c>
      <c r="H1668" s="27"/>
    </row>
    <row r="1669" spans="1:8" x14ac:dyDescent="0.25">
      <c r="A1669" s="21">
        <v>1100802</v>
      </c>
      <c r="B1669" s="1">
        <v>45139</v>
      </c>
      <c r="C1669" t="s">
        <v>306</v>
      </c>
      <c r="D1669">
        <v>197.3</v>
      </c>
      <c r="E1669">
        <v>667.21</v>
      </c>
      <c r="F1669" s="15">
        <f>IFERROR(PRD[[#This Row],[VALOR]]/PRD[[#This Row],[KGS]],"")</f>
        <v>3.3817029903699951</v>
      </c>
      <c r="H1669" s="27"/>
    </row>
    <row r="1670" spans="1:8" x14ac:dyDescent="0.25">
      <c r="A1670" s="21">
        <v>1100900</v>
      </c>
      <c r="B1670" s="1">
        <v>45139</v>
      </c>
      <c r="C1670" t="s">
        <v>94</v>
      </c>
      <c r="D1670">
        <v>615.04999999999995</v>
      </c>
      <c r="E1670">
        <v>3613.92</v>
      </c>
      <c r="F1670" s="15">
        <f>IFERROR(PRD[[#This Row],[VALOR]]/PRD[[#This Row],[KGS]],"")</f>
        <v>5.875814974392326</v>
      </c>
      <c r="H1670" s="27"/>
    </row>
    <row r="1671" spans="1:8" x14ac:dyDescent="0.25">
      <c r="A1671" s="21">
        <v>1101000</v>
      </c>
      <c r="B1671" s="1">
        <v>45139</v>
      </c>
      <c r="C1671" t="s">
        <v>96</v>
      </c>
      <c r="D1671">
        <v>10947.19</v>
      </c>
      <c r="E1671">
        <v>42510</v>
      </c>
      <c r="F1671" s="15">
        <f>IFERROR(PRD[[#This Row],[VALOR]]/PRD[[#This Row],[KGS]],"")</f>
        <v>3.8831882885014326</v>
      </c>
      <c r="H1671" s="27"/>
    </row>
    <row r="1672" spans="1:8" x14ac:dyDescent="0.25">
      <c r="A1672" s="21">
        <v>1101001</v>
      </c>
      <c r="B1672" s="1">
        <v>45139</v>
      </c>
      <c r="C1672" t="s">
        <v>98</v>
      </c>
      <c r="D1672">
        <v>464.1</v>
      </c>
      <c r="E1672">
        <v>1984.18</v>
      </c>
      <c r="F1672" s="15">
        <f>IFERROR(PRD[[#This Row],[VALOR]]/PRD[[#This Row],[KGS]],"")</f>
        <v>4.2753285929756517</v>
      </c>
      <c r="H1672" s="27"/>
    </row>
    <row r="1673" spans="1:8" x14ac:dyDescent="0.25">
      <c r="A1673" s="21">
        <v>1101002</v>
      </c>
      <c r="B1673" s="1">
        <v>45139</v>
      </c>
      <c r="C1673" t="s">
        <v>687</v>
      </c>
      <c r="D1673">
        <v>1330.53</v>
      </c>
      <c r="E1673">
        <v>5758.17</v>
      </c>
      <c r="F1673" s="15">
        <f>IFERROR(PRD[[#This Row],[VALOR]]/PRD[[#This Row],[KGS]],"")</f>
        <v>4.3277265450609912</v>
      </c>
      <c r="H1673" s="27"/>
    </row>
    <row r="1674" spans="1:8" x14ac:dyDescent="0.25">
      <c r="A1674" s="21">
        <v>1101100</v>
      </c>
      <c r="B1674" s="1">
        <v>45139</v>
      </c>
      <c r="C1674" t="s">
        <v>100</v>
      </c>
      <c r="D1674">
        <v>46050.26</v>
      </c>
      <c r="E1674">
        <v>170951.4</v>
      </c>
      <c r="F1674" s="15">
        <f>IFERROR(PRD[[#This Row],[VALOR]]/PRD[[#This Row],[KGS]],"")</f>
        <v>3.7122787146044343</v>
      </c>
      <c r="H1674" s="27"/>
    </row>
    <row r="1675" spans="1:8" x14ac:dyDescent="0.25">
      <c r="A1675" s="21">
        <v>1101105</v>
      </c>
      <c r="B1675" s="1">
        <v>45139</v>
      </c>
      <c r="C1675" t="s">
        <v>542</v>
      </c>
      <c r="D1675">
        <v>188.08</v>
      </c>
      <c r="E1675">
        <v>827.55</v>
      </c>
      <c r="F1675" s="15">
        <f>IFERROR(PRD[[#This Row],[VALOR]]/PRD[[#This Row],[KGS]],"")</f>
        <v>4.3999893662271372</v>
      </c>
      <c r="H1675" s="27"/>
    </row>
    <row r="1676" spans="1:8" x14ac:dyDescent="0.25">
      <c r="A1676" s="21">
        <v>1101107</v>
      </c>
      <c r="B1676" s="1">
        <v>45139</v>
      </c>
      <c r="C1676" t="s">
        <v>719</v>
      </c>
      <c r="D1676">
        <v>1349.79</v>
      </c>
      <c r="E1676">
        <v>4600.08</v>
      </c>
      <c r="F1676" s="15">
        <f>IFERROR(PRD[[#This Row],[VALOR]]/PRD[[#This Row],[KGS]],"")</f>
        <v>3.4079967995021447</v>
      </c>
      <c r="H1676" s="27"/>
    </row>
    <row r="1677" spans="1:8" x14ac:dyDescent="0.25">
      <c r="A1677" s="21">
        <v>1101300</v>
      </c>
      <c r="B1677" s="1">
        <v>45139</v>
      </c>
      <c r="C1677" t="s">
        <v>102</v>
      </c>
      <c r="D1677">
        <v>274.10000000000002</v>
      </c>
      <c r="E1677">
        <v>1107.22</v>
      </c>
      <c r="F1677" s="15">
        <f>IFERROR(PRD[[#This Row],[VALOR]]/PRD[[#This Row],[KGS]],"")</f>
        <v>4.0394746442904044</v>
      </c>
      <c r="H1677" s="27"/>
    </row>
    <row r="1678" spans="1:8" x14ac:dyDescent="0.25">
      <c r="A1678" s="21">
        <v>1101400</v>
      </c>
      <c r="B1678" s="1">
        <v>45139</v>
      </c>
      <c r="C1678" t="s">
        <v>104</v>
      </c>
      <c r="D1678">
        <v>19714.439999999999</v>
      </c>
      <c r="E1678">
        <v>58037.19</v>
      </c>
      <c r="F1678" s="15">
        <f>IFERROR(PRD[[#This Row],[VALOR]]/PRD[[#This Row],[KGS]],"")</f>
        <v>2.9438923956247303</v>
      </c>
      <c r="H1678" s="27"/>
    </row>
    <row r="1679" spans="1:8" x14ac:dyDescent="0.25">
      <c r="A1679" s="21">
        <v>1101500</v>
      </c>
      <c r="B1679" s="1">
        <v>45139</v>
      </c>
      <c r="C1679" t="s">
        <v>106</v>
      </c>
      <c r="D1679">
        <v>598.08000000000004</v>
      </c>
      <c r="E1679">
        <v>1791.65</v>
      </c>
      <c r="F1679" s="15">
        <f>IFERROR(PRD[[#This Row],[VALOR]]/PRD[[#This Row],[KGS]],"")</f>
        <v>2.9956694756554305</v>
      </c>
      <c r="H1679" s="27"/>
    </row>
    <row r="1680" spans="1:8" x14ac:dyDescent="0.25">
      <c r="A1680" s="21">
        <v>1101600</v>
      </c>
      <c r="B1680" s="1">
        <v>45139</v>
      </c>
      <c r="C1680" t="s">
        <v>720</v>
      </c>
      <c r="D1680">
        <v>127.7</v>
      </c>
      <c r="E1680">
        <v>391.01</v>
      </c>
      <c r="F1680" s="15">
        <f>IFERROR(PRD[[#This Row],[VALOR]]/PRD[[#This Row],[KGS]],"")</f>
        <v>3.0619420516836335</v>
      </c>
      <c r="H1680" s="27"/>
    </row>
    <row r="1681" spans="1:8" x14ac:dyDescent="0.25">
      <c r="A1681" s="21">
        <v>1101700</v>
      </c>
      <c r="B1681" s="1">
        <v>45139</v>
      </c>
      <c r="C1681" t="s">
        <v>110</v>
      </c>
      <c r="D1681">
        <v>3970.5</v>
      </c>
      <c r="E1681">
        <v>11723.66</v>
      </c>
      <c r="F1681" s="15">
        <f>IFERROR(PRD[[#This Row],[VALOR]]/PRD[[#This Row],[KGS]],"")</f>
        <v>2.9526910968391888</v>
      </c>
      <c r="H1681" s="27"/>
    </row>
    <row r="1682" spans="1:8" x14ac:dyDescent="0.25">
      <c r="A1682" s="21">
        <v>1101801</v>
      </c>
      <c r="B1682" s="1">
        <v>45139</v>
      </c>
      <c r="C1682" t="s">
        <v>112</v>
      </c>
      <c r="D1682">
        <v>1379.21</v>
      </c>
      <c r="E1682">
        <v>3937.52</v>
      </c>
      <c r="F1682" s="15">
        <f>IFERROR(PRD[[#This Row],[VALOR]]/PRD[[#This Row],[KGS]],"")</f>
        <v>2.8549096946802881</v>
      </c>
      <c r="H1682" s="27"/>
    </row>
    <row r="1683" spans="1:8" x14ac:dyDescent="0.25">
      <c r="A1683" s="21">
        <v>1101900</v>
      </c>
      <c r="B1683" s="1">
        <v>45139</v>
      </c>
      <c r="C1683" t="s">
        <v>114</v>
      </c>
      <c r="D1683">
        <v>15310.73</v>
      </c>
      <c r="E1683">
        <v>53449.3</v>
      </c>
      <c r="F1683" s="15">
        <f>IFERROR(PRD[[#This Row],[VALOR]]/PRD[[#This Row],[KGS]],"")</f>
        <v>3.4909700582532643</v>
      </c>
      <c r="H1683" s="27"/>
    </row>
    <row r="1684" spans="1:8" x14ac:dyDescent="0.25">
      <c r="A1684" s="21">
        <v>1101901</v>
      </c>
      <c r="B1684" s="1">
        <v>45139</v>
      </c>
      <c r="C1684" t="s">
        <v>448</v>
      </c>
      <c r="D1684">
        <v>1894.91</v>
      </c>
      <c r="E1684">
        <v>6495.49</v>
      </c>
      <c r="F1684" s="15">
        <f>IFERROR(PRD[[#This Row],[VALOR]]/PRD[[#This Row],[KGS]],"")</f>
        <v>3.4278620092774852</v>
      </c>
      <c r="H1684" s="27"/>
    </row>
    <row r="1685" spans="1:8" x14ac:dyDescent="0.25">
      <c r="A1685" s="21">
        <v>1101902</v>
      </c>
      <c r="B1685" s="1">
        <v>45139</v>
      </c>
      <c r="C1685" t="s">
        <v>351</v>
      </c>
      <c r="D1685">
        <v>1274.94</v>
      </c>
      <c r="E1685">
        <v>5396.49</v>
      </c>
      <c r="F1685" s="15">
        <f>IFERROR(PRD[[#This Row],[VALOR]]/PRD[[#This Row],[KGS]],"")</f>
        <v>4.2327403642524351</v>
      </c>
      <c r="H1685" s="27"/>
    </row>
    <row r="1686" spans="1:8" x14ac:dyDescent="0.25">
      <c r="A1686" s="21">
        <v>1102000</v>
      </c>
      <c r="B1686" s="1">
        <v>45139</v>
      </c>
      <c r="C1686" t="s">
        <v>115</v>
      </c>
      <c r="D1686">
        <v>26.2</v>
      </c>
      <c r="E1686">
        <v>112.66</v>
      </c>
      <c r="F1686" s="15">
        <f>IFERROR(PRD[[#This Row],[VALOR]]/PRD[[#This Row],[KGS]],"")</f>
        <v>4.3</v>
      </c>
      <c r="H1686" s="27"/>
    </row>
    <row r="1687" spans="1:8" x14ac:dyDescent="0.25">
      <c r="A1687" s="21">
        <v>1102200</v>
      </c>
      <c r="B1687" s="1">
        <v>45139</v>
      </c>
      <c r="C1687" t="s">
        <v>117</v>
      </c>
      <c r="D1687">
        <v>25.6</v>
      </c>
      <c r="E1687">
        <v>93.44</v>
      </c>
      <c r="F1687" s="15">
        <f>IFERROR(PRD[[#This Row],[VALOR]]/PRD[[#This Row],[KGS]],"")</f>
        <v>3.65</v>
      </c>
      <c r="H1687" s="27"/>
    </row>
    <row r="1688" spans="1:8" x14ac:dyDescent="0.25">
      <c r="A1688" s="21">
        <v>1102300</v>
      </c>
      <c r="B1688" s="1">
        <v>45139</v>
      </c>
      <c r="C1688" t="s">
        <v>119</v>
      </c>
      <c r="D1688">
        <v>7592.1</v>
      </c>
      <c r="E1688">
        <v>24443.33</v>
      </c>
      <c r="F1688" s="15">
        <f>IFERROR(PRD[[#This Row],[VALOR]]/PRD[[#This Row],[KGS]],"")</f>
        <v>3.2195742943322667</v>
      </c>
      <c r="H1688" s="27"/>
    </row>
    <row r="1689" spans="1:8" x14ac:dyDescent="0.25">
      <c r="A1689" s="21">
        <v>1103000</v>
      </c>
      <c r="B1689" s="1">
        <v>45139</v>
      </c>
      <c r="C1689" t="s">
        <v>121</v>
      </c>
      <c r="D1689">
        <v>701.11</v>
      </c>
      <c r="E1689">
        <v>1418.29</v>
      </c>
      <c r="F1689" s="15">
        <f>IFERROR(PRD[[#This Row],[VALOR]]/PRD[[#This Row],[KGS]],"")</f>
        <v>2.0229207970218654</v>
      </c>
      <c r="H1689" s="27"/>
    </row>
    <row r="1690" spans="1:8" x14ac:dyDescent="0.25">
      <c r="A1690" s="21">
        <v>1103001</v>
      </c>
      <c r="B1690" s="1">
        <v>45139</v>
      </c>
      <c r="C1690" t="s">
        <v>123</v>
      </c>
      <c r="D1690">
        <v>51.95</v>
      </c>
      <c r="E1690">
        <v>105.36</v>
      </c>
      <c r="F1690" s="15">
        <f>IFERROR(PRD[[#This Row],[VALOR]]/PRD[[#This Row],[KGS]],"")</f>
        <v>2.0281039461020209</v>
      </c>
      <c r="H1690" s="27"/>
    </row>
    <row r="1691" spans="1:8" x14ac:dyDescent="0.25">
      <c r="A1691" s="21">
        <v>2010902</v>
      </c>
      <c r="B1691" s="1">
        <v>45139</v>
      </c>
      <c r="C1691" t="s">
        <v>127</v>
      </c>
      <c r="D1691">
        <v>7.5</v>
      </c>
      <c r="E1691">
        <v>6.75</v>
      </c>
      <c r="F1691" s="15">
        <f>IFERROR(PRD[[#This Row],[VALOR]]/PRD[[#This Row],[KGS]],"")</f>
        <v>0.9</v>
      </c>
      <c r="H1691" s="27"/>
    </row>
    <row r="1692" spans="1:8" x14ac:dyDescent="0.25">
      <c r="A1692" s="21">
        <v>2010904</v>
      </c>
      <c r="B1692" s="1">
        <v>45139</v>
      </c>
      <c r="C1692" t="s">
        <v>721</v>
      </c>
      <c r="D1692">
        <v>507.5</v>
      </c>
      <c r="E1692">
        <v>527.75</v>
      </c>
      <c r="F1692" s="15">
        <f>IFERROR(PRD[[#This Row],[VALOR]]/PRD[[#This Row],[KGS]],"")</f>
        <v>1.0399014778325124</v>
      </c>
      <c r="H1692" s="27"/>
    </row>
    <row r="1693" spans="1:8" x14ac:dyDescent="0.25">
      <c r="A1693" s="21">
        <v>2010905</v>
      </c>
      <c r="B1693" s="1">
        <v>45139</v>
      </c>
      <c r="C1693" t="s">
        <v>544</v>
      </c>
      <c r="D1693">
        <v>165</v>
      </c>
      <c r="E1693">
        <v>128.25</v>
      </c>
      <c r="F1693" s="15">
        <f>IFERROR(PRD[[#This Row],[VALOR]]/PRD[[#This Row],[KGS]],"")</f>
        <v>0.77727272727272723</v>
      </c>
      <c r="H1693" s="27"/>
    </row>
    <row r="1694" spans="1:8" x14ac:dyDescent="0.25">
      <c r="A1694" s="21">
        <v>2011700</v>
      </c>
      <c r="B1694" s="1">
        <v>45139</v>
      </c>
      <c r="C1694" t="s">
        <v>129</v>
      </c>
      <c r="D1694">
        <v>35.9</v>
      </c>
      <c r="E1694">
        <v>96.34</v>
      </c>
      <c r="F1694" s="15">
        <f>IFERROR(PRD[[#This Row],[VALOR]]/PRD[[#This Row],[KGS]],"")</f>
        <v>2.683565459610028</v>
      </c>
      <c r="H1694" s="27"/>
    </row>
    <row r="1695" spans="1:8" x14ac:dyDescent="0.25">
      <c r="A1695" s="21">
        <v>2090002</v>
      </c>
      <c r="B1695" s="1">
        <v>45139</v>
      </c>
      <c r="C1695" t="s">
        <v>451</v>
      </c>
      <c r="D1695">
        <v>161.84</v>
      </c>
      <c r="E1695">
        <v>828.31</v>
      </c>
      <c r="F1695" s="15">
        <f>IFERROR(PRD[[#This Row],[VALOR]]/PRD[[#This Row],[KGS]],"")</f>
        <v>5.118079584775086</v>
      </c>
      <c r="H1695" s="27"/>
    </row>
    <row r="1696" spans="1:8" x14ac:dyDescent="0.25">
      <c r="A1696" s="21">
        <v>2101100</v>
      </c>
      <c r="B1696" s="1">
        <v>45139</v>
      </c>
      <c r="C1696" t="s">
        <v>453</v>
      </c>
      <c r="D1696">
        <v>207.1</v>
      </c>
      <c r="E1696">
        <v>931.95</v>
      </c>
      <c r="F1696" s="15">
        <f>IFERROR(PRD[[#This Row],[VALOR]]/PRD[[#This Row],[KGS]],"")</f>
        <v>4.5</v>
      </c>
      <c r="H1696" s="27"/>
    </row>
    <row r="1697" spans="1:8" x14ac:dyDescent="0.25">
      <c r="A1697" s="21">
        <v>3020103</v>
      </c>
      <c r="B1697" s="1">
        <v>45139</v>
      </c>
      <c r="C1697" t="s">
        <v>131</v>
      </c>
      <c r="D1697">
        <v>8830.56</v>
      </c>
      <c r="E1697">
        <v>29383.62</v>
      </c>
      <c r="F1697" s="15">
        <f>IFERROR(PRD[[#This Row],[VALOR]]/PRD[[#This Row],[KGS]],"")</f>
        <v>3.3274922541718759</v>
      </c>
      <c r="H1697" s="27"/>
    </row>
    <row r="1698" spans="1:8" x14ac:dyDescent="0.25">
      <c r="A1698" s="21">
        <v>3020212</v>
      </c>
      <c r="B1698" s="1">
        <v>45139</v>
      </c>
      <c r="C1698" t="s">
        <v>133</v>
      </c>
      <c r="D1698">
        <v>2488.48</v>
      </c>
      <c r="E1698">
        <v>9222.5300000000007</v>
      </c>
      <c r="F1698" s="15">
        <f>IFERROR(PRD[[#This Row],[VALOR]]/PRD[[#This Row],[KGS]],"")</f>
        <v>3.7060896611586189</v>
      </c>
      <c r="H1698" s="27"/>
    </row>
    <row r="1699" spans="1:8" x14ac:dyDescent="0.25">
      <c r="A1699" s="21">
        <v>3020214</v>
      </c>
      <c r="B1699" s="1">
        <v>45139</v>
      </c>
      <c r="C1699" t="s">
        <v>135</v>
      </c>
      <c r="D1699">
        <v>1292.3599999999999</v>
      </c>
      <c r="E1699">
        <v>4598.53</v>
      </c>
      <c r="F1699" s="15">
        <f>IFERROR(PRD[[#This Row],[VALOR]]/PRD[[#This Row],[KGS]],"")</f>
        <v>3.5582422854313038</v>
      </c>
      <c r="H1699" s="27"/>
    </row>
    <row r="1700" spans="1:8" x14ac:dyDescent="0.25">
      <c r="A1700" s="21">
        <v>3020315</v>
      </c>
      <c r="B1700" s="1">
        <v>45139</v>
      </c>
      <c r="C1700" t="s">
        <v>137</v>
      </c>
      <c r="D1700">
        <v>4494.92</v>
      </c>
      <c r="E1700">
        <v>15982.23</v>
      </c>
      <c r="F1700" s="15">
        <f>IFERROR(PRD[[#This Row],[VALOR]]/PRD[[#This Row],[KGS]],"")</f>
        <v>3.5556205672181038</v>
      </c>
      <c r="H1700" s="27"/>
    </row>
    <row r="1701" spans="1:8" x14ac:dyDescent="0.25">
      <c r="A1701" s="21">
        <v>3020316</v>
      </c>
      <c r="B1701" s="1">
        <v>45139</v>
      </c>
      <c r="C1701" t="s">
        <v>139</v>
      </c>
      <c r="D1701">
        <v>232.3</v>
      </c>
      <c r="E1701">
        <v>738.72</v>
      </c>
      <c r="F1701" s="15">
        <f>IFERROR(PRD[[#This Row],[VALOR]]/PRD[[#This Row],[KGS]],"")</f>
        <v>3.1800258286698235</v>
      </c>
      <c r="H1701" s="27"/>
    </row>
    <row r="1702" spans="1:8" x14ac:dyDescent="0.25">
      <c r="A1702" s="21">
        <v>3020402</v>
      </c>
      <c r="B1702" s="1">
        <v>45139</v>
      </c>
      <c r="C1702" t="s">
        <v>141</v>
      </c>
      <c r="D1702">
        <v>4025.37</v>
      </c>
      <c r="E1702">
        <v>14737.46</v>
      </c>
      <c r="F1702" s="15">
        <f>IFERROR(PRD[[#This Row],[VALOR]]/PRD[[#This Row],[KGS]],"")</f>
        <v>3.6611441929561752</v>
      </c>
      <c r="H1702" s="27"/>
    </row>
    <row r="1703" spans="1:8" x14ac:dyDescent="0.25">
      <c r="A1703" s="21">
        <v>3020504</v>
      </c>
      <c r="B1703" s="1">
        <v>45139</v>
      </c>
      <c r="C1703" t="s">
        <v>143</v>
      </c>
      <c r="D1703">
        <v>879.96</v>
      </c>
      <c r="E1703">
        <v>3327.06</v>
      </c>
      <c r="F1703" s="15">
        <f>IFERROR(PRD[[#This Row],[VALOR]]/PRD[[#This Row],[KGS]],"")</f>
        <v>3.7809218600845491</v>
      </c>
      <c r="H1703" s="27"/>
    </row>
    <row r="1704" spans="1:8" x14ac:dyDescent="0.25">
      <c r="A1704" s="21">
        <v>3020622</v>
      </c>
      <c r="B1704" s="1">
        <v>45139</v>
      </c>
      <c r="C1704" t="s">
        <v>145</v>
      </c>
      <c r="D1704">
        <v>5960.16</v>
      </c>
      <c r="E1704">
        <v>22136.48</v>
      </c>
      <c r="F1704" s="15">
        <f>IFERROR(PRD[[#This Row],[VALOR]]/PRD[[#This Row],[KGS]],"")</f>
        <v>3.7140747899385254</v>
      </c>
      <c r="H1704" s="27"/>
    </row>
    <row r="1705" spans="1:8" x14ac:dyDescent="0.25">
      <c r="A1705" s="21">
        <v>3020623</v>
      </c>
      <c r="B1705" s="1">
        <v>45139</v>
      </c>
      <c r="C1705" t="s">
        <v>147</v>
      </c>
      <c r="D1705">
        <v>1290.05</v>
      </c>
      <c r="E1705">
        <v>4987.2299999999996</v>
      </c>
      <c r="F1705" s="15">
        <f>IFERROR(PRD[[#This Row],[VALOR]]/PRD[[#This Row],[KGS]],"")</f>
        <v>3.8659199255842793</v>
      </c>
      <c r="H1705" s="27"/>
    </row>
    <row r="1706" spans="1:8" x14ac:dyDescent="0.25">
      <c r="A1706" s="21">
        <v>3020725</v>
      </c>
      <c r="B1706" s="1">
        <v>45139</v>
      </c>
      <c r="C1706" t="s">
        <v>149</v>
      </c>
      <c r="D1706">
        <v>418.63</v>
      </c>
      <c r="E1706">
        <v>1587.39</v>
      </c>
      <c r="F1706" s="15">
        <f>IFERROR(PRD[[#This Row],[VALOR]]/PRD[[#This Row],[KGS]],"")</f>
        <v>3.7918687146167263</v>
      </c>
      <c r="H1706" s="27"/>
    </row>
    <row r="1707" spans="1:8" x14ac:dyDescent="0.25">
      <c r="A1707" s="21">
        <v>3020823</v>
      </c>
      <c r="B1707" s="1">
        <v>45139</v>
      </c>
      <c r="C1707" t="s">
        <v>151</v>
      </c>
      <c r="D1707">
        <v>2043.64</v>
      </c>
      <c r="E1707">
        <v>7711.65</v>
      </c>
      <c r="F1707" s="15">
        <f>IFERROR(PRD[[#This Row],[VALOR]]/PRD[[#This Row],[KGS]],"")</f>
        <v>3.773487502691276</v>
      </c>
      <c r="H1707" s="27"/>
    </row>
    <row r="1708" spans="1:8" x14ac:dyDescent="0.25">
      <c r="A1708" s="21">
        <v>3020824</v>
      </c>
      <c r="B1708" s="1">
        <v>45139</v>
      </c>
      <c r="C1708" t="s">
        <v>153</v>
      </c>
      <c r="D1708">
        <v>2497.34</v>
      </c>
      <c r="E1708">
        <v>9388.89</v>
      </c>
      <c r="F1708" s="15">
        <f>IFERROR(PRD[[#This Row],[VALOR]]/PRD[[#This Row],[KGS]],"")</f>
        <v>3.7595561677624989</v>
      </c>
      <c r="H1708" s="27"/>
    </row>
    <row r="1709" spans="1:8" x14ac:dyDescent="0.25">
      <c r="A1709" s="21">
        <v>3020825</v>
      </c>
      <c r="B1709" s="1">
        <v>45139</v>
      </c>
      <c r="C1709" t="s">
        <v>455</v>
      </c>
      <c r="D1709">
        <v>220.51</v>
      </c>
      <c r="E1709">
        <v>904.08</v>
      </c>
      <c r="F1709" s="15">
        <f>IFERROR(PRD[[#This Row],[VALOR]]/PRD[[#This Row],[KGS]],"")</f>
        <v>4.0999501156410147</v>
      </c>
      <c r="H1709" s="27"/>
    </row>
    <row r="1710" spans="1:8" x14ac:dyDescent="0.25">
      <c r="A1710" s="21">
        <v>3020924</v>
      </c>
      <c r="B1710" s="1">
        <v>45139</v>
      </c>
      <c r="C1710" t="s">
        <v>155</v>
      </c>
      <c r="D1710">
        <v>1636.1</v>
      </c>
      <c r="E1710">
        <v>6224.47</v>
      </c>
      <c r="F1710" s="15">
        <f>IFERROR(PRD[[#This Row],[VALOR]]/PRD[[#This Row],[KGS]],"")</f>
        <v>3.8044557178656566</v>
      </c>
      <c r="H1710" s="27"/>
    </row>
    <row r="1711" spans="1:8" x14ac:dyDescent="0.25">
      <c r="A1711" s="21">
        <v>3020925</v>
      </c>
      <c r="B1711" s="1">
        <v>45139</v>
      </c>
      <c r="C1711" t="s">
        <v>157</v>
      </c>
      <c r="D1711">
        <v>3907.87</v>
      </c>
      <c r="E1711">
        <v>14943.1</v>
      </c>
      <c r="F1711" s="15">
        <f>IFERROR(PRD[[#This Row],[VALOR]]/PRD[[#This Row],[KGS]],"")</f>
        <v>3.8238477738512286</v>
      </c>
      <c r="H1711" s="27"/>
    </row>
    <row r="1712" spans="1:8" x14ac:dyDescent="0.25">
      <c r="A1712" s="21">
        <v>3021436</v>
      </c>
      <c r="B1712" s="1">
        <v>45139</v>
      </c>
      <c r="C1712" t="s">
        <v>546</v>
      </c>
      <c r="D1712">
        <v>931.88</v>
      </c>
      <c r="E1712">
        <v>3026.27</v>
      </c>
      <c r="F1712" s="15">
        <f>IFERROR(PRD[[#This Row],[VALOR]]/PRD[[#This Row],[KGS]],"")</f>
        <v>3.2474889470747308</v>
      </c>
      <c r="H1712" s="27"/>
    </row>
    <row r="1713" spans="1:8" x14ac:dyDescent="0.25">
      <c r="A1713" s="21">
        <v>3021537</v>
      </c>
      <c r="B1713" s="1">
        <v>45139</v>
      </c>
      <c r="C1713" t="s">
        <v>161</v>
      </c>
      <c r="D1713">
        <v>7.63</v>
      </c>
      <c r="E1713">
        <v>25.18</v>
      </c>
      <c r="F1713" s="15">
        <f>IFERROR(PRD[[#This Row],[VALOR]]/PRD[[#This Row],[KGS]],"")</f>
        <v>3.3001310615989516</v>
      </c>
      <c r="H1713" s="27"/>
    </row>
    <row r="1714" spans="1:8" x14ac:dyDescent="0.25">
      <c r="A1714" s="21">
        <v>3021538</v>
      </c>
      <c r="B1714" s="1">
        <v>45139</v>
      </c>
      <c r="C1714" t="s">
        <v>548</v>
      </c>
      <c r="D1714">
        <v>75.61</v>
      </c>
      <c r="E1714">
        <v>226.25</v>
      </c>
      <c r="F1714" s="15">
        <f>IFERROR(PRD[[#This Row],[VALOR]]/PRD[[#This Row],[KGS]],"")</f>
        <v>2.9923290570030421</v>
      </c>
      <c r="H1714" s="27"/>
    </row>
    <row r="1715" spans="1:8" x14ac:dyDescent="0.25">
      <c r="A1715" s="21">
        <v>3021639</v>
      </c>
      <c r="B1715" s="1">
        <v>45139</v>
      </c>
      <c r="C1715" t="s">
        <v>457</v>
      </c>
      <c r="D1715">
        <v>40.799999999999997</v>
      </c>
      <c r="E1715">
        <v>122.64</v>
      </c>
      <c r="F1715" s="15">
        <f>IFERROR(PRD[[#This Row],[VALOR]]/PRD[[#This Row],[KGS]],"")</f>
        <v>3.0058823529411769</v>
      </c>
      <c r="H1715" s="27"/>
    </row>
    <row r="1716" spans="1:8" x14ac:dyDescent="0.25">
      <c r="A1716" s="21">
        <v>3021739</v>
      </c>
      <c r="B1716" s="1">
        <v>45139</v>
      </c>
      <c r="C1716" t="s">
        <v>165</v>
      </c>
      <c r="D1716">
        <v>689.92</v>
      </c>
      <c r="E1716">
        <v>1931.77</v>
      </c>
      <c r="F1716" s="15">
        <f>IFERROR(PRD[[#This Row],[VALOR]]/PRD[[#This Row],[KGS]],"")</f>
        <v>2.7999913033395178</v>
      </c>
      <c r="H1716" s="27"/>
    </row>
    <row r="1717" spans="1:8" x14ac:dyDescent="0.25">
      <c r="A1717" s="21">
        <v>3021740</v>
      </c>
      <c r="B1717" s="1">
        <v>45139</v>
      </c>
      <c r="C1717" t="s">
        <v>459</v>
      </c>
      <c r="D1717">
        <v>1177.68</v>
      </c>
      <c r="E1717">
        <v>3145.87</v>
      </c>
      <c r="F1717" s="15">
        <f>IFERROR(PRD[[#This Row],[VALOR]]/PRD[[#This Row],[KGS]],"")</f>
        <v>2.6712434617213501</v>
      </c>
      <c r="H1717" s="27"/>
    </row>
    <row r="1718" spans="1:8" x14ac:dyDescent="0.25">
      <c r="A1718" s="21">
        <v>3021760</v>
      </c>
      <c r="B1718" s="1">
        <v>45139</v>
      </c>
      <c r="C1718" t="s">
        <v>167</v>
      </c>
      <c r="D1718">
        <v>592.62</v>
      </c>
      <c r="E1718">
        <v>1484.6</v>
      </c>
      <c r="F1718" s="15">
        <f>IFERROR(PRD[[#This Row],[VALOR]]/PRD[[#This Row],[KGS]],"")</f>
        <v>2.50514663696804</v>
      </c>
      <c r="H1718" s="27"/>
    </row>
    <row r="1719" spans="1:8" x14ac:dyDescent="0.25">
      <c r="A1719" s="21">
        <v>3021811</v>
      </c>
      <c r="B1719" s="1">
        <v>45139</v>
      </c>
      <c r="C1719" t="s">
        <v>169</v>
      </c>
      <c r="D1719">
        <v>1013.57</v>
      </c>
      <c r="E1719">
        <v>2533.44</v>
      </c>
      <c r="F1719" s="15">
        <f>IFERROR(PRD[[#This Row],[VALOR]]/PRD[[#This Row],[KGS]],"")</f>
        <v>2.4995214933354379</v>
      </c>
      <c r="H1719" s="27"/>
    </row>
    <row r="1720" spans="1:8" x14ac:dyDescent="0.25">
      <c r="A1720" s="21">
        <v>3021812</v>
      </c>
      <c r="B1720" s="1">
        <v>45139</v>
      </c>
      <c r="C1720" t="s">
        <v>171</v>
      </c>
      <c r="D1720">
        <v>1331.74</v>
      </c>
      <c r="E1720">
        <v>3124.61</v>
      </c>
      <c r="F1720" s="15">
        <f>IFERROR(PRD[[#This Row],[VALOR]]/PRD[[#This Row],[KGS]],"")</f>
        <v>2.3462612822322675</v>
      </c>
      <c r="H1720" s="27"/>
    </row>
    <row r="1721" spans="1:8" x14ac:dyDescent="0.25">
      <c r="A1721" s="21">
        <v>3022100</v>
      </c>
      <c r="B1721" s="1">
        <v>45139</v>
      </c>
      <c r="C1721" t="s">
        <v>173</v>
      </c>
      <c r="D1721">
        <v>468.75</v>
      </c>
      <c r="E1721">
        <v>1793.64</v>
      </c>
      <c r="F1721" s="15">
        <f>IFERROR(PRD[[#This Row],[VALOR]]/PRD[[#This Row],[KGS]],"")</f>
        <v>3.8264320000000001</v>
      </c>
      <c r="H1721" s="27"/>
    </row>
    <row r="1722" spans="1:8" x14ac:dyDescent="0.25">
      <c r="A1722" s="21">
        <v>3022208</v>
      </c>
      <c r="B1722" s="1">
        <v>45139</v>
      </c>
      <c r="C1722" t="s">
        <v>307</v>
      </c>
      <c r="D1722">
        <v>806.53</v>
      </c>
      <c r="E1722">
        <v>3080.84</v>
      </c>
      <c r="F1722" s="15">
        <f>IFERROR(PRD[[#This Row],[VALOR]]/PRD[[#This Row],[KGS]],"")</f>
        <v>3.8198703086060037</v>
      </c>
      <c r="H1722" s="27"/>
    </row>
    <row r="1723" spans="1:8" x14ac:dyDescent="0.25">
      <c r="A1723" s="21">
        <v>3022311</v>
      </c>
      <c r="B1723" s="1">
        <v>45139</v>
      </c>
      <c r="C1723" t="s">
        <v>176</v>
      </c>
      <c r="D1723">
        <v>2954.68</v>
      </c>
      <c r="E1723">
        <v>7050.33</v>
      </c>
      <c r="F1723" s="15">
        <f>IFERROR(PRD[[#This Row],[VALOR]]/PRD[[#This Row],[KGS]],"")</f>
        <v>2.3861568765483909</v>
      </c>
      <c r="H1723" s="27"/>
    </row>
    <row r="1724" spans="1:8" x14ac:dyDescent="0.25">
      <c r="A1724" s="21">
        <v>3022312</v>
      </c>
      <c r="B1724" s="1">
        <v>45139</v>
      </c>
      <c r="C1724" t="s">
        <v>308</v>
      </c>
      <c r="D1724">
        <v>77.08</v>
      </c>
      <c r="E1724">
        <v>215.82</v>
      </c>
      <c r="F1724" s="15">
        <f>IFERROR(PRD[[#This Row],[VALOR]]/PRD[[#This Row],[KGS]],"")</f>
        <v>2.7999481058640372</v>
      </c>
      <c r="H1724" s="27"/>
    </row>
    <row r="1725" spans="1:8" x14ac:dyDescent="0.25">
      <c r="A1725" s="21">
        <v>3022411</v>
      </c>
      <c r="B1725" s="1">
        <v>45139</v>
      </c>
      <c r="C1725" t="s">
        <v>178</v>
      </c>
      <c r="D1725">
        <v>77.67</v>
      </c>
      <c r="E1725">
        <v>206.57</v>
      </c>
      <c r="F1725" s="15">
        <f>IFERROR(PRD[[#This Row],[VALOR]]/PRD[[#This Row],[KGS]],"")</f>
        <v>2.6595854255182179</v>
      </c>
      <c r="H1725" s="27"/>
    </row>
    <row r="1726" spans="1:8" x14ac:dyDescent="0.25">
      <c r="A1726" s="21">
        <v>3022511</v>
      </c>
      <c r="B1726" s="1">
        <v>45139</v>
      </c>
      <c r="C1726" t="s">
        <v>180</v>
      </c>
      <c r="D1726">
        <v>10.85</v>
      </c>
      <c r="E1726">
        <v>29.64</v>
      </c>
      <c r="F1726" s="15">
        <f>IFERROR(PRD[[#This Row],[VALOR]]/PRD[[#This Row],[KGS]],"")</f>
        <v>2.7317972350230417</v>
      </c>
      <c r="H1726" s="27"/>
    </row>
    <row r="1727" spans="1:8" x14ac:dyDescent="0.25">
      <c r="A1727" s="21">
        <v>3022601</v>
      </c>
      <c r="B1727" s="1">
        <v>45139</v>
      </c>
      <c r="C1727" t="s">
        <v>182</v>
      </c>
      <c r="D1727">
        <v>279.5</v>
      </c>
      <c r="E1727">
        <v>1141.31</v>
      </c>
      <c r="F1727" s="15">
        <f>IFERROR(PRD[[#This Row],[VALOR]]/PRD[[#This Row],[KGS]],"")</f>
        <v>4.0833989266547404</v>
      </c>
      <c r="H1727" s="27"/>
    </row>
    <row r="1728" spans="1:8" x14ac:dyDescent="0.25">
      <c r="A1728" s="21">
        <v>3022703</v>
      </c>
      <c r="B1728" s="1">
        <v>45139</v>
      </c>
      <c r="C1728" t="s">
        <v>309</v>
      </c>
      <c r="D1728">
        <v>841</v>
      </c>
      <c r="E1728">
        <v>2306.5500000000002</v>
      </c>
      <c r="F1728" s="15">
        <f>IFERROR(PRD[[#This Row],[VALOR]]/PRD[[#This Row],[KGS]],"")</f>
        <v>2.7426278240190252</v>
      </c>
      <c r="H1728" s="27"/>
    </row>
    <row r="1729" spans="1:8" x14ac:dyDescent="0.25">
      <c r="A1729" s="21">
        <v>3022805</v>
      </c>
      <c r="B1729" s="1">
        <v>45139</v>
      </c>
      <c r="C1729" t="s">
        <v>186</v>
      </c>
      <c r="D1729">
        <v>2090</v>
      </c>
      <c r="E1729">
        <v>4372.8500000000004</v>
      </c>
      <c r="F1729" s="15">
        <f>IFERROR(PRD[[#This Row],[VALOR]]/PRD[[#This Row],[KGS]],"")</f>
        <v>2.0922727272727273</v>
      </c>
      <c r="H1729" s="27"/>
    </row>
    <row r="1730" spans="1:8" x14ac:dyDescent="0.25">
      <c r="A1730" s="21">
        <v>3022906</v>
      </c>
      <c r="B1730" s="1">
        <v>45139</v>
      </c>
      <c r="C1730" t="s">
        <v>188</v>
      </c>
      <c r="D1730">
        <v>5420</v>
      </c>
      <c r="E1730">
        <v>11033.31</v>
      </c>
      <c r="F1730" s="15">
        <f>IFERROR(PRD[[#This Row],[VALOR]]/PRD[[#This Row],[KGS]],"")</f>
        <v>2.0356660516605167</v>
      </c>
      <c r="H1730" s="27"/>
    </row>
    <row r="1731" spans="1:8" x14ac:dyDescent="0.25">
      <c r="A1731" s="21">
        <v>3023007</v>
      </c>
      <c r="B1731" s="1">
        <v>45139</v>
      </c>
      <c r="C1731" t="s">
        <v>190</v>
      </c>
      <c r="D1731">
        <v>1260</v>
      </c>
      <c r="E1731">
        <v>2574.9</v>
      </c>
      <c r="F1731" s="15">
        <f>IFERROR(PRD[[#This Row],[VALOR]]/PRD[[#This Row],[KGS]],"")</f>
        <v>2.0435714285714286</v>
      </c>
      <c r="H1731" s="27"/>
    </row>
    <row r="1732" spans="1:8" x14ac:dyDescent="0.25">
      <c r="A1732" s="21">
        <v>3024001</v>
      </c>
      <c r="B1732" s="1">
        <v>45139</v>
      </c>
      <c r="C1732" t="s">
        <v>192</v>
      </c>
      <c r="D1732">
        <v>1455.76</v>
      </c>
      <c r="E1732">
        <v>5561.79</v>
      </c>
      <c r="F1732" s="15">
        <f>IFERROR(PRD[[#This Row],[VALOR]]/PRD[[#This Row],[KGS]],"")</f>
        <v>3.8205404737044568</v>
      </c>
      <c r="H1732" s="27"/>
    </row>
    <row r="1733" spans="1:8" x14ac:dyDescent="0.25">
      <c r="A1733" s="21">
        <v>3024003</v>
      </c>
      <c r="B1733" s="1">
        <v>45139</v>
      </c>
      <c r="C1733" t="s">
        <v>196</v>
      </c>
      <c r="D1733">
        <v>402.26</v>
      </c>
      <c r="E1733">
        <v>1132.6099999999999</v>
      </c>
      <c r="F1733" s="15">
        <f>IFERROR(PRD[[#This Row],[VALOR]]/PRD[[#This Row],[KGS]],"")</f>
        <v>2.8156167652761894</v>
      </c>
      <c r="H1733" s="27"/>
    </row>
    <row r="1734" spans="1:8" x14ac:dyDescent="0.25">
      <c r="A1734" s="21">
        <v>3024004</v>
      </c>
      <c r="B1734" s="1">
        <v>45139</v>
      </c>
      <c r="C1734" t="s">
        <v>198</v>
      </c>
      <c r="D1734">
        <v>1195.8399999999999</v>
      </c>
      <c r="E1734">
        <v>1199.0999999999999</v>
      </c>
      <c r="F1734" s="15">
        <f>IFERROR(PRD[[#This Row],[VALOR]]/PRD[[#This Row],[KGS]],"")</f>
        <v>1.0027261172063153</v>
      </c>
      <c r="H1734" s="27"/>
    </row>
    <row r="1735" spans="1:8" x14ac:dyDescent="0.25">
      <c r="A1735" s="21">
        <v>4030100</v>
      </c>
      <c r="B1735" s="1">
        <v>45139</v>
      </c>
      <c r="C1735" t="s">
        <v>200</v>
      </c>
      <c r="D1735">
        <v>436.5</v>
      </c>
      <c r="E1735">
        <v>2694.12</v>
      </c>
      <c r="F1735" s="15">
        <f>IFERROR(PRD[[#This Row],[VALOR]]/PRD[[#This Row],[KGS]],"")</f>
        <v>6.1720962199312712</v>
      </c>
      <c r="H1735" s="27"/>
    </row>
    <row r="1736" spans="1:8" x14ac:dyDescent="0.25">
      <c r="A1736" s="21">
        <v>4030211</v>
      </c>
      <c r="B1736" s="1">
        <v>45139</v>
      </c>
      <c r="C1736" t="s">
        <v>202</v>
      </c>
      <c r="D1736">
        <v>1220.52</v>
      </c>
      <c r="E1736">
        <v>7002.24</v>
      </c>
      <c r="F1736" s="15">
        <f>IFERROR(PRD[[#This Row],[VALOR]]/PRD[[#This Row],[KGS]],"")</f>
        <v>5.7370956641431521</v>
      </c>
      <c r="H1736" s="27"/>
    </row>
    <row r="1737" spans="1:8" x14ac:dyDescent="0.25">
      <c r="A1737" s="21">
        <v>4030311</v>
      </c>
      <c r="B1737" s="1">
        <v>45139</v>
      </c>
      <c r="C1737" t="s">
        <v>311</v>
      </c>
      <c r="D1737">
        <v>267.99</v>
      </c>
      <c r="E1737">
        <v>1825.53</v>
      </c>
      <c r="F1737" s="15">
        <f>IFERROR(PRD[[#This Row],[VALOR]]/PRD[[#This Row],[KGS]],"")</f>
        <v>6.8119332810925775</v>
      </c>
      <c r="H1737" s="27"/>
    </row>
    <row r="1738" spans="1:8" x14ac:dyDescent="0.25">
      <c r="A1738" s="21">
        <v>4030401</v>
      </c>
      <c r="B1738" s="1">
        <v>45139</v>
      </c>
      <c r="C1738" t="s">
        <v>461</v>
      </c>
      <c r="D1738">
        <v>563.64</v>
      </c>
      <c r="E1738">
        <v>2913.63</v>
      </c>
      <c r="F1738" s="15">
        <f>IFERROR(PRD[[#This Row],[VALOR]]/PRD[[#This Row],[KGS]],"")</f>
        <v>5.1693101979987226</v>
      </c>
      <c r="H1738" s="27"/>
    </row>
    <row r="1739" spans="1:8" x14ac:dyDescent="0.25">
      <c r="A1739" s="21">
        <v>4030511</v>
      </c>
      <c r="B1739" s="1">
        <v>45139</v>
      </c>
      <c r="C1739" t="s">
        <v>208</v>
      </c>
      <c r="D1739">
        <v>19.25</v>
      </c>
      <c r="E1739">
        <v>114.57</v>
      </c>
      <c r="F1739" s="15">
        <f>IFERROR(PRD[[#This Row],[VALOR]]/PRD[[#This Row],[KGS]],"")</f>
        <v>5.9516883116883115</v>
      </c>
      <c r="H1739" s="27"/>
    </row>
    <row r="1740" spans="1:8" x14ac:dyDescent="0.25">
      <c r="A1740" s="21">
        <v>4030532</v>
      </c>
      <c r="B1740" s="1">
        <v>45139</v>
      </c>
      <c r="C1740" t="s">
        <v>210</v>
      </c>
      <c r="D1740">
        <v>25.5</v>
      </c>
      <c r="E1740">
        <v>150.29</v>
      </c>
      <c r="F1740" s="15">
        <f>IFERROR(PRD[[#This Row],[VALOR]]/PRD[[#This Row],[KGS]],"")</f>
        <v>5.8937254901960783</v>
      </c>
      <c r="H1740" s="27"/>
    </row>
    <row r="1741" spans="1:8" x14ac:dyDescent="0.25">
      <c r="A1741" s="21">
        <v>4030600</v>
      </c>
      <c r="B1741" s="1">
        <v>45139</v>
      </c>
      <c r="C1741" t="s">
        <v>212</v>
      </c>
      <c r="D1741">
        <v>613.20000000000005</v>
      </c>
      <c r="E1741">
        <v>1932.79</v>
      </c>
      <c r="F1741" s="15">
        <f>IFERROR(PRD[[#This Row],[VALOR]]/PRD[[#This Row],[KGS]],"")</f>
        <v>3.1519732550554465</v>
      </c>
      <c r="H1741" s="27"/>
    </row>
    <row r="1742" spans="1:8" x14ac:dyDescent="0.25">
      <c r="A1742" s="21">
        <v>4030711</v>
      </c>
      <c r="B1742" s="1">
        <v>45139</v>
      </c>
      <c r="C1742" t="s">
        <v>214</v>
      </c>
      <c r="D1742">
        <v>1368.91</v>
      </c>
      <c r="E1742">
        <v>4584.43</v>
      </c>
      <c r="F1742" s="15">
        <f>IFERROR(PRD[[#This Row],[VALOR]]/PRD[[#This Row],[KGS]],"")</f>
        <v>3.3489637740976397</v>
      </c>
      <c r="H1742" s="27"/>
    </row>
    <row r="1743" spans="1:8" x14ac:dyDescent="0.25">
      <c r="A1743" s="21">
        <v>4030811</v>
      </c>
      <c r="B1743" s="1">
        <v>45139</v>
      </c>
      <c r="C1743" t="s">
        <v>722</v>
      </c>
      <c r="D1743">
        <v>1948.46</v>
      </c>
      <c r="E1743">
        <v>6158.37</v>
      </c>
      <c r="F1743" s="15">
        <f>IFERROR(PRD[[#This Row],[VALOR]]/PRD[[#This Row],[KGS]],"")</f>
        <v>3.160634552415754</v>
      </c>
      <c r="H1743" s="27"/>
    </row>
    <row r="1744" spans="1:8" x14ac:dyDescent="0.25">
      <c r="A1744" s="21">
        <v>4030813</v>
      </c>
      <c r="B1744" s="1">
        <v>45139</v>
      </c>
      <c r="C1744" t="s">
        <v>218</v>
      </c>
      <c r="D1744">
        <v>977.45</v>
      </c>
      <c r="E1744">
        <v>2894.54</v>
      </c>
      <c r="F1744" s="15">
        <f>IFERROR(PRD[[#This Row],[VALOR]]/PRD[[#This Row],[KGS]],"")</f>
        <v>2.9613177144610976</v>
      </c>
      <c r="H1744" s="27"/>
    </row>
    <row r="1745" spans="1:8" x14ac:dyDescent="0.25">
      <c r="A1745" s="21">
        <v>4030900</v>
      </c>
      <c r="B1745" s="1">
        <v>45139</v>
      </c>
      <c r="C1745" t="s">
        <v>220</v>
      </c>
      <c r="D1745">
        <v>6423.34</v>
      </c>
      <c r="E1745">
        <v>19479.349999999999</v>
      </c>
      <c r="F1745" s="15">
        <f>IFERROR(PRD[[#This Row],[VALOR]]/PRD[[#This Row],[KGS]],"")</f>
        <v>3.0325889646196522</v>
      </c>
      <c r="H1745" s="27"/>
    </row>
    <row r="1746" spans="1:8" x14ac:dyDescent="0.25">
      <c r="A1746" s="21">
        <v>4030910</v>
      </c>
      <c r="B1746" s="1">
        <v>45139</v>
      </c>
      <c r="C1746" t="s">
        <v>724</v>
      </c>
      <c r="D1746">
        <v>136.4</v>
      </c>
      <c r="E1746">
        <v>444.23</v>
      </c>
      <c r="F1746" s="15">
        <f>IFERROR(PRD[[#This Row],[VALOR]]/PRD[[#This Row],[KGS]],"")</f>
        <v>3.2568181818181818</v>
      </c>
      <c r="H1746" s="27"/>
    </row>
    <row r="1747" spans="1:8" x14ac:dyDescent="0.25">
      <c r="A1747" s="21">
        <v>4031012</v>
      </c>
      <c r="B1747" s="1">
        <v>45139</v>
      </c>
      <c r="C1747" t="s">
        <v>224</v>
      </c>
      <c r="D1747">
        <v>1185.49</v>
      </c>
      <c r="E1747">
        <v>3690.19</v>
      </c>
      <c r="F1747" s="15">
        <f>IFERROR(PRD[[#This Row],[VALOR]]/PRD[[#This Row],[KGS]],"")</f>
        <v>3.112797239959848</v>
      </c>
      <c r="H1747" s="27"/>
    </row>
    <row r="1748" spans="1:8" x14ac:dyDescent="0.25">
      <c r="A1748" s="21">
        <v>4031017</v>
      </c>
      <c r="B1748" s="1">
        <v>45139</v>
      </c>
      <c r="C1748" t="s">
        <v>226</v>
      </c>
      <c r="D1748">
        <v>2923</v>
      </c>
      <c r="E1748">
        <v>1950.18</v>
      </c>
      <c r="F1748" s="15">
        <f>IFERROR(PRD[[#This Row],[VALOR]]/PRD[[#This Row],[KGS]],"")</f>
        <v>0.66718439958946285</v>
      </c>
      <c r="H1748" s="27"/>
    </row>
    <row r="1749" spans="1:8" x14ac:dyDescent="0.25">
      <c r="A1749" s="21">
        <v>4031102</v>
      </c>
      <c r="B1749" s="1">
        <v>45139</v>
      </c>
      <c r="C1749" t="s">
        <v>228</v>
      </c>
      <c r="D1749">
        <v>12694.64</v>
      </c>
      <c r="E1749">
        <v>37235.67</v>
      </c>
      <c r="F1749" s="15">
        <f>IFERROR(PRD[[#This Row],[VALOR]]/PRD[[#This Row],[KGS]],"")</f>
        <v>2.9331804604147891</v>
      </c>
      <c r="H1749" s="27"/>
    </row>
    <row r="1750" spans="1:8" x14ac:dyDescent="0.25">
      <c r="A1750" s="21">
        <v>4031200</v>
      </c>
      <c r="B1750" s="1">
        <v>45139</v>
      </c>
      <c r="C1750" t="s">
        <v>230</v>
      </c>
      <c r="D1750">
        <v>1240.28</v>
      </c>
      <c r="E1750">
        <v>3726.61</v>
      </c>
      <c r="F1750" s="15">
        <f>IFERROR(PRD[[#This Row],[VALOR]]/PRD[[#This Row],[KGS]],"")</f>
        <v>3.0046521753152517</v>
      </c>
      <c r="H1750" s="27"/>
    </row>
    <row r="1751" spans="1:8" x14ac:dyDescent="0.25">
      <c r="A1751" s="21">
        <v>4031304</v>
      </c>
      <c r="B1751" s="1">
        <v>45139</v>
      </c>
      <c r="C1751" t="s">
        <v>232</v>
      </c>
      <c r="D1751">
        <v>1835.47</v>
      </c>
      <c r="E1751">
        <v>5325.53</v>
      </c>
      <c r="F1751" s="15">
        <f>IFERROR(PRD[[#This Row],[VALOR]]/PRD[[#This Row],[KGS]],"")</f>
        <v>2.9014530338278477</v>
      </c>
      <c r="H1751" s="27"/>
    </row>
    <row r="1752" spans="1:8" x14ac:dyDescent="0.25">
      <c r="A1752" s="21">
        <v>4031411</v>
      </c>
      <c r="B1752" s="1">
        <v>45139</v>
      </c>
      <c r="C1752" t="s">
        <v>234</v>
      </c>
      <c r="D1752">
        <v>24.99</v>
      </c>
      <c r="E1752">
        <v>81.150000000000006</v>
      </c>
      <c r="F1752" s="15">
        <f>IFERROR(PRD[[#This Row],[VALOR]]/PRD[[#This Row],[KGS]],"")</f>
        <v>3.2472989195678275</v>
      </c>
      <c r="H1752" s="27"/>
    </row>
    <row r="1753" spans="1:8" x14ac:dyDescent="0.25">
      <c r="A1753" s="21">
        <v>4031500</v>
      </c>
      <c r="B1753" s="1">
        <v>45139</v>
      </c>
      <c r="C1753" t="s">
        <v>236</v>
      </c>
      <c r="D1753">
        <v>6550.8</v>
      </c>
      <c r="E1753">
        <v>18551.34</v>
      </c>
      <c r="F1753" s="15">
        <f>IFERROR(PRD[[#This Row],[VALOR]]/PRD[[#This Row],[KGS]],"")</f>
        <v>2.8319197655248214</v>
      </c>
      <c r="H1753" s="27"/>
    </row>
    <row r="1754" spans="1:8" x14ac:dyDescent="0.25">
      <c r="A1754" s="21">
        <v>4031604</v>
      </c>
      <c r="B1754" s="1">
        <v>45139</v>
      </c>
      <c r="C1754" t="s">
        <v>238</v>
      </c>
      <c r="D1754">
        <v>8040.57</v>
      </c>
      <c r="E1754">
        <v>21929.32</v>
      </c>
      <c r="F1754" s="15">
        <f>IFERROR(PRD[[#This Row],[VALOR]]/PRD[[#This Row],[KGS]],"")</f>
        <v>2.7273340074148971</v>
      </c>
      <c r="H1754" s="27"/>
    </row>
    <row r="1755" spans="1:8" x14ac:dyDescent="0.25">
      <c r="A1755" s="21">
        <v>4031605</v>
      </c>
      <c r="B1755" s="1">
        <v>45139</v>
      </c>
      <c r="C1755" t="s">
        <v>240</v>
      </c>
      <c r="D1755">
        <v>5.78</v>
      </c>
      <c r="E1755">
        <v>19.649999999999999</v>
      </c>
      <c r="F1755" s="15">
        <f>IFERROR(PRD[[#This Row],[VALOR]]/PRD[[#This Row],[KGS]],"")</f>
        <v>3.3996539792387539</v>
      </c>
      <c r="H1755" s="27"/>
    </row>
    <row r="1756" spans="1:8" x14ac:dyDescent="0.25">
      <c r="A1756" s="21">
        <v>4031700</v>
      </c>
      <c r="B1756" s="1">
        <v>45139</v>
      </c>
      <c r="C1756" t="s">
        <v>242</v>
      </c>
      <c r="D1756">
        <v>725.6</v>
      </c>
      <c r="E1756">
        <v>2164.34</v>
      </c>
      <c r="F1756" s="15">
        <f>IFERROR(PRD[[#This Row],[VALOR]]/PRD[[#This Row],[KGS]],"")</f>
        <v>2.9828280044101434</v>
      </c>
      <c r="H1756" s="27"/>
    </row>
    <row r="1757" spans="1:8" x14ac:dyDescent="0.25">
      <c r="A1757" s="21">
        <v>4031812</v>
      </c>
      <c r="B1757" s="1">
        <v>45139</v>
      </c>
      <c r="C1757" t="s">
        <v>244</v>
      </c>
      <c r="D1757">
        <v>612.48</v>
      </c>
      <c r="E1757">
        <v>1860.92</v>
      </c>
      <c r="F1757" s="15">
        <f>IFERROR(PRD[[#This Row],[VALOR]]/PRD[[#This Row],[KGS]],"")</f>
        <v>3.0383359456635319</v>
      </c>
      <c r="H1757" s="27"/>
    </row>
    <row r="1758" spans="1:8" x14ac:dyDescent="0.25">
      <c r="A1758" s="21">
        <v>4031813</v>
      </c>
      <c r="B1758" s="1">
        <v>45139</v>
      </c>
      <c r="C1758" t="s">
        <v>464</v>
      </c>
      <c r="D1758">
        <v>350</v>
      </c>
      <c r="E1758">
        <v>234.5</v>
      </c>
      <c r="F1758" s="15">
        <f>IFERROR(PRD[[#This Row],[VALOR]]/PRD[[#This Row],[KGS]],"")</f>
        <v>0.67</v>
      </c>
      <c r="H1758" s="27"/>
    </row>
    <row r="1759" spans="1:8" x14ac:dyDescent="0.25">
      <c r="A1759" s="21">
        <v>4031904</v>
      </c>
      <c r="B1759" s="1">
        <v>45139</v>
      </c>
      <c r="C1759" t="s">
        <v>246</v>
      </c>
      <c r="D1759">
        <v>1284.51</v>
      </c>
      <c r="E1759">
        <v>3777.48</v>
      </c>
      <c r="F1759" s="15">
        <f>IFERROR(PRD[[#This Row],[VALOR]]/PRD[[#This Row],[KGS]],"")</f>
        <v>2.9407945442230892</v>
      </c>
      <c r="H1759" s="27"/>
    </row>
    <row r="1760" spans="1:8" x14ac:dyDescent="0.25">
      <c r="A1760" s="21">
        <v>4032111</v>
      </c>
      <c r="B1760" s="1">
        <v>45139</v>
      </c>
      <c r="C1760" t="s">
        <v>314</v>
      </c>
      <c r="D1760">
        <v>4.4000000000000004</v>
      </c>
      <c r="E1760">
        <v>22.66</v>
      </c>
      <c r="F1760" s="15">
        <f>IFERROR(PRD[[#This Row],[VALOR]]/PRD[[#This Row],[KGS]],"")</f>
        <v>5.1499999999999995</v>
      </c>
      <c r="H1760" s="27"/>
    </row>
    <row r="1761" spans="1:8" x14ac:dyDescent="0.25">
      <c r="A1761" s="21">
        <v>4032204</v>
      </c>
      <c r="B1761" s="1">
        <v>45139</v>
      </c>
      <c r="C1761" t="s">
        <v>315</v>
      </c>
      <c r="D1761">
        <v>15.12</v>
      </c>
      <c r="E1761">
        <v>77.510000000000005</v>
      </c>
      <c r="F1761" s="15">
        <f>IFERROR(PRD[[#This Row],[VALOR]]/PRD[[#This Row],[KGS]],"")</f>
        <v>5.1263227513227516</v>
      </c>
      <c r="H1761" s="27"/>
    </row>
    <row r="1762" spans="1:8" x14ac:dyDescent="0.25">
      <c r="A1762" s="21">
        <v>4032205</v>
      </c>
      <c r="B1762" s="1">
        <v>45139</v>
      </c>
      <c r="C1762" t="s">
        <v>553</v>
      </c>
      <c r="D1762">
        <v>219.9</v>
      </c>
      <c r="E1762">
        <v>1118.1300000000001</v>
      </c>
      <c r="F1762" s="15">
        <f>IFERROR(PRD[[#This Row],[VALOR]]/PRD[[#This Row],[KGS]],"")</f>
        <v>5.0847203274215556</v>
      </c>
      <c r="H1762" s="27"/>
    </row>
    <row r="1763" spans="1:8" x14ac:dyDescent="0.25">
      <c r="A1763" s="21">
        <v>4032206</v>
      </c>
      <c r="B1763" s="1">
        <v>45139</v>
      </c>
      <c r="C1763" t="s">
        <v>555</v>
      </c>
      <c r="D1763">
        <v>45.77</v>
      </c>
      <c r="E1763">
        <v>243.5</v>
      </c>
      <c r="F1763" s="15">
        <f>IFERROR(PRD[[#This Row],[VALOR]]/PRD[[#This Row],[KGS]],"")</f>
        <v>5.320078654140266</v>
      </c>
      <c r="H1763" s="27"/>
    </row>
    <row r="1764" spans="1:8" x14ac:dyDescent="0.25">
      <c r="A1764" s="21">
        <v>4032312</v>
      </c>
      <c r="B1764" s="1">
        <v>45139</v>
      </c>
      <c r="C1764" t="s">
        <v>252</v>
      </c>
      <c r="D1764">
        <v>601.92999999999995</v>
      </c>
      <c r="E1764">
        <v>2548.63</v>
      </c>
      <c r="F1764" s="15">
        <f>IFERROR(PRD[[#This Row],[VALOR]]/PRD[[#This Row],[KGS]],"")</f>
        <v>4.2340969880218635</v>
      </c>
      <c r="H1764" s="27"/>
    </row>
    <row r="1765" spans="1:8" x14ac:dyDescent="0.25">
      <c r="A1765" s="21">
        <v>4032404</v>
      </c>
      <c r="B1765" s="1">
        <v>45139</v>
      </c>
      <c r="C1765" t="s">
        <v>254</v>
      </c>
      <c r="D1765">
        <v>148.88</v>
      </c>
      <c r="E1765">
        <v>661.97</v>
      </c>
      <c r="F1765" s="15">
        <f>IFERROR(PRD[[#This Row],[VALOR]]/PRD[[#This Row],[KGS]],"")</f>
        <v>4.4463326168726498</v>
      </c>
      <c r="H1765" s="27"/>
    </row>
    <row r="1766" spans="1:8" x14ac:dyDescent="0.25">
      <c r="A1766" s="21">
        <v>4032500</v>
      </c>
      <c r="B1766" s="1">
        <v>45139</v>
      </c>
      <c r="C1766" t="s">
        <v>256</v>
      </c>
      <c r="D1766">
        <v>426.6</v>
      </c>
      <c r="E1766">
        <v>1166.27</v>
      </c>
      <c r="F1766" s="15">
        <f>IFERROR(PRD[[#This Row],[VALOR]]/PRD[[#This Row],[KGS]],"")</f>
        <v>2.7338724800750116</v>
      </c>
      <c r="H1766" s="27"/>
    </row>
    <row r="1767" spans="1:8" x14ac:dyDescent="0.25">
      <c r="A1767" s="21">
        <v>4032611</v>
      </c>
      <c r="B1767" s="1">
        <v>45139</v>
      </c>
      <c r="C1767" t="s">
        <v>258</v>
      </c>
      <c r="D1767">
        <v>396.25</v>
      </c>
      <c r="E1767">
        <v>1095.33</v>
      </c>
      <c r="F1767" s="15">
        <f>IFERROR(PRD[[#This Row],[VALOR]]/PRD[[#This Row],[KGS]],"")</f>
        <v>2.7642397476340692</v>
      </c>
      <c r="H1767" s="27"/>
    </row>
    <row r="1768" spans="1:8" x14ac:dyDescent="0.25">
      <c r="A1768" s="21">
        <v>4032704</v>
      </c>
      <c r="B1768" s="1">
        <v>45139</v>
      </c>
      <c r="C1768" t="s">
        <v>260</v>
      </c>
      <c r="D1768">
        <v>332.11</v>
      </c>
      <c r="E1768">
        <v>972.18</v>
      </c>
      <c r="F1768" s="15">
        <f>IFERROR(PRD[[#This Row],[VALOR]]/PRD[[#This Row],[KGS]],"")</f>
        <v>2.9272831290837371</v>
      </c>
      <c r="H1768" s="27"/>
    </row>
    <row r="1769" spans="1:8" x14ac:dyDescent="0.25">
      <c r="A1769" s="21">
        <v>4032800</v>
      </c>
      <c r="B1769" s="1">
        <v>45139</v>
      </c>
      <c r="C1769" t="s">
        <v>262</v>
      </c>
      <c r="D1769">
        <v>127.3</v>
      </c>
      <c r="E1769">
        <v>715.61</v>
      </c>
      <c r="F1769" s="15">
        <f>IFERROR(PRD[[#This Row],[VALOR]]/PRD[[#This Row],[KGS]],"")</f>
        <v>5.6214454045561668</v>
      </c>
      <c r="H1769" s="27"/>
    </row>
    <row r="1770" spans="1:8" x14ac:dyDescent="0.25">
      <c r="A1770" s="21">
        <v>4032902</v>
      </c>
      <c r="B1770" s="1">
        <v>45139</v>
      </c>
      <c r="C1770" t="s">
        <v>264</v>
      </c>
      <c r="D1770">
        <v>278.93</v>
      </c>
      <c r="E1770">
        <v>1439.61</v>
      </c>
      <c r="F1770" s="15">
        <f>IFERROR(PRD[[#This Row],[VALOR]]/PRD[[#This Row],[KGS]],"")</f>
        <v>5.1611873946868387</v>
      </c>
      <c r="H1770" s="27"/>
    </row>
    <row r="1771" spans="1:8" x14ac:dyDescent="0.25">
      <c r="A1771" s="21">
        <v>4033011</v>
      </c>
      <c r="B1771" s="1">
        <v>45139</v>
      </c>
      <c r="C1771" t="s">
        <v>266</v>
      </c>
      <c r="D1771">
        <v>42.37</v>
      </c>
      <c r="E1771">
        <v>218.2</v>
      </c>
      <c r="F1771" s="15">
        <f>IFERROR(PRD[[#This Row],[VALOR]]/PRD[[#This Row],[KGS]],"")</f>
        <v>5.149870191173</v>
      </c>
      <c r="H1771" s="27"/>
    </row>
    <row r="1772" spans="1:8" x14ac:dyDescent="0.25">
      <c r="A1772" s="21">
        <v>4033111</v>
      </c>
      <c r="B1772" s="1">
        <v>45139</v>
      </c>
      <c r="C1772" t="s">
        <v>268</v>
      </c>
      <c r="D1772">
        <v>770.7</v>
      </c>
      <c r="E1772">
        <v>3287.39</v>
      </c>
      <c r="F1772" s="15">
        <f>IFERROR(PRD[[#This Row],[VALOR]]/PRD[[#This Row],[KGS]],"")</f>
        <v>4.2654599714545212</v>
      </c>
      <c r="H1772" s="27"/>
    </row>
    <row r="1773" spans="1:8" x14ac:dyDescent="0.25">
      <c r="A1773" s="21">
        <v>4033211</v>
      </c>
      <c r="B1773" s="1">
        <v>45139</v>
      </c>
      <c r="C1773" t="s">
        <v>270</v>
      </c>
      <c r="D1773">
        <v>15.97</v>
      </c>
      <c r="E1773">
        <v>73.22</v>
      </c>
      <c r="F1773" s="15">
        <f>IFERROR(PRD[[#This Row],[VALOR]]/PRD[[#This Row],[KGS]],"")</f>
        <v>4.5848465873512838</v>
      </c>
      <c r="H1773" s="27"/>
    </row>
    <row r="1774" spans="1:8" x14ac:dyDescent="0.25">
      <c r="A1774" s="21">
        <v>4033311</v>
      </c>
      <c r="B1774" s="1">
        <v>45139</v>
      </c>
      <c r="C1774" t="s">
        <v>272</v>
      </c>
      <c r="D1774">
        <v>10.14</v>
      </c>
      <c r="E1774">
        <v>63.76</v>
      </c>
      <c r="F1774" s="15">
        <f>IFERROR(PRD[[#This Row],[VALOR]]/PRD[[#This Row],[KGS]],"")</f>
        <v>6.2879684418145949</v>
      </c>
      <c r="H1774" s="27"/>
    </row>
    <row r="1775" spans="1:8" x14ac:dyDescent="0.25">
      <c r="A1775" s="21">
        <v>4033400</v>
      </c>
      <c r="B1775" s="1">
        <v>45139</v>
      </c>
      <c r="C1775" t="s">
        <v>274</v>
      </c>
      <c r="D1775">
        <v>551.79999999999995</v>
      </c>
      <c r="E1775">
        <v>1683.88</v>
      </c>
      <c r="F1775" s="15">
        <f>IFERROR(PRD[[#This Row],[VALOR]]/PRD[[#This Row],[KGS]],"")</f>
        <v>3.051612903225807</v>
      </c>
      <c r="H1775" s="27"/>
    </row>
    <row r="1776" spans="1:8" x14ac:dyDescent="0.25">
      <c r="A1776" s="21">
        <v>4033511</v>
      </c>
      <c r="B1776" s="1">
        <v>45139</v>
      </c>
      <c r="C1776" t="s">
        <v>276</v>
      </c>
      <c r="D1776">
        <v>1378.33</v>
      </c>
      <c r="E1776">
        <v>4378.53</v>
      </c>
      <c r="F1776" s="15">
        <f>IFERROR(PRD[[#This Row],[VALOR]]/PRD[[#This Row],[KGS]],"")</f>
        <v>3.1766920838986308</v>
      </c>
      <c r="H1776" s="27"/>
    </row>
    <row r="1777" spans="1:8" x14ac:dyDescent="0.25">
      <c r="A1777" s="21">
        <v>4033900</v>
      </c>
      <c r="B1777" s="1">
        <v>45139</v>
      </c>
      <c r="C1777" t="s">
        <v>725</v>
      </c>
      <c r="D1777">
        <v>58.93</v>
      </c>
      <c r="E1777">
        <v>292.56</v>
      </c>
      <c r="F1777" s="15">
        <f>IFERROR(PRD[[#This Row],[VALOR]]/PRD[[#This Row],[KGS]],"")</f>
        <v>4.9645341931104703</v>
      </c>
      <c r="H1777" s="27"/>
    </row>
    <row r="1778" spans="1:8" x14ac:dyDescent="0.25">
      <c r="A1778" s="21">
        <v>4034011</v>
      </c>
      <c r="B1778" s="1">
        <v>45139</v>
      </c>
      <c r="C1778" t="s">
        <v>726</v>
      </c>
      <c r="D1778">
        <v>1501.02</v>
      </c>
      <c r="E1778">
        <v>7739.4</v>
      </c>
      <c r="F1778" s="15">
        <f>IFERROR(PRD[[#This Row],[VALOR]]/PRD[[#This Row],[KGS]],"")</f>
        <v>5.1560938561777991</v>
      </c>
      <c r="H1778" s="27"/>
    </row>
    <row r="1779" spans="1:8" x14ac:dyDescent="0.25">
      <c r="A1779" s="21">
        <v>4034116</v>
      </c>
      <c r="B1779" s="1">
        <v>45139</v>
      </c>
      <c r="C1779" t="s">
        <v>727</v>
      </c>
      <c r="D1779">
        <v>7.04</v>
      </c>
      <c r="E1779">
        <v>23.94</v>
      </c>
      <c r="F1779" s="15">
        <f>IFERROR(PRD[[#This Row],[VALOR]]/PRD[[#This Row],[KGS]],"")</f>
        <v>3.4005681818181821</v>
      </c>
      <c r="H1779" s="27"/>
    </row>
    <row r="1780" spans="1:8" x14ac:dyDescent="0.25">
      <c r="A1780" s="21">
        <v>4034211</v>
      </c>
      <c r="B1780" s="1">
        <v>45139</v>
      </c>
      <c r="C1780" t="s">
        <v>728</v>
      </c>
      <c r="D1780">
        <v>145.43</v>
      </c>
      <c r="E1780">
        <v>627.85</v>
      </c>
      <c r="F1780" s="15">
        <f>IFERROR(PRD[[#This Row],[VALOR]]/PRD[[#This Row],[KGS]],"")</f>
        <v>4.3171972770405009</v>
      </c>
      <c r="H1780" s="27"/>
    </row>
    <row r="1781" spans="1:8" x14ac:dyDescent="0.25">
      <c r="A1781" s="21">
        <v>4034400</v>
      </c>
      <c r="B1781" s="1">
        <v>45139</v>
      </c>
      <c r="C1781" t="s">
        <v>284</v>
      </c>
      <c r="D1781">
        <v>75.7</v>
      </c>
      <c r="E1781">
        <v>204.23</v>
      </c>
      <c r="F1781" s="15">
        <f>IFERROR(PRD[[#This Row],[VALOR]]/PRD[[#This Row],[KGS]],"")</f>
        <v>2.6978863936591808</v>
      </c>
      <c r="H1781" s="27"/>
    </row>
    <row r="1782" spans="1:8" x14ac:dyDescent="0.25">
      <c r="A1782" s="21">
        <v>4034502</v>
      </c>
      <c r="B1782" s="1">
        <v>45139</v>
      </c>
      <c r="C1782" t="s">
        <v>286</v>
      </c>
      <c r="D1782">
        <v>71.64</v>
      </c>
      <c r="E1782">
        <v>202.33</v>
      </c>
      <c r="F1782" s="15">
        <f>IFERROR(PRD[[#This Row],[VALOR]]/PRD[[#This Row],[KGS]],"")</f>
        <v>2.8242601898380792</v>
      </c>
      <c r="H1782" s="27"/>
    </row>
    <row r="1783" spans="1:8" x14ac:dyDescent="0.25">
      <c r="A1783" s="21">
        <v>8030004</v>
      </c>
      <c r="B1783" s="1">
        <v>45139</v>
      </c>
      <c r="C1783" t="s">
        <v>697</v>
      </c>
      <c r="D1783">
        <v>9</v>
      </c>
      <c r="E1783">
        <v>90</v>
      </c>
      <c r="F1783" s="15">
        <f>IFERROR(PRD[[#This Row],[VALOR]]/PRD[[#This Row],[KGS]],"")</f>
        <v>10</v>
      </c>
      <c r="H1783" s="27"/>
    </row>
    <row r="1784" spans="1:8" x14ac:dyDescent="0.25">
      <c r="A1784" s="21">
        <v>8040001</v>
      </c>
      <c r="B1784" s="1">
        <v>45139</v>
      </c>
      <c r="C1784" t="s">
        <v>557</v>
      </c>
      <c r="D1784">
        <v>9</v>
      </c>
      <c r="E1784">
        <v>59.4</v>
      </c>
      <c r="F1784" s="15">
        <f>IFERROR(PRD[[#This Row],[VALOR]]/PRD[[#This Row],[KGS]],"")</f>
        <v>6.6</v>
      </c>
      <c r="H1784" s="27"/>
    </row>
    <row r="1785" spans="1:8" x14ac:dyDescent="0.25">
      <c r="A1785" s="21">
        <v>8040008</v>
      </c>
      <c r="B1785" s="1">
        <v>45139</v>
      </c>
      <c r="C1785" t="s">
        <v>318</v>
      </c>
      <c r="D1785">
        <v>32</v>
      </c>
      <c r="E1785">
        <v>432</v>
      </c>
      <c r="F1785" s="15">
        <f>IFERROR(PRD[[#This Row],[VALOR]]/PRD[[#This Row],[KGS]],"")</f>
        <v>13.5</v>
      </c>
      <c r="H1785" s="27"/>
    </row>
    <row r="1786" spans="1:8" x14ac:dyDescent="0.25">
      <c r="A1786" s="21">
        <v>8040009</v>
      </c>
      <c r="B1786" s="1">
        <v>45139</v>
      </c>
      <c r="C1786" t="s">
        <v>729</v>
      </c>
      <c r="D1786">
        <v>912</v>
      </c>
      <c r="E1786">
        <v>5617.2</v>
      </c>
      <c r="F1786" s="15">
        <f>IFERROR(PRD[[#This Row],[VALOR]]/PRD[[#This Row],[KGS]],"")</f>
        <v>6.159210526315789</v>
      </c>
      <c r="H1786" s="27"/>
    </row>
    <row r="1787" spans="1:8" x14ac:dyDescent="0.25">
      <c r="A1787" s="21">
        <v>8040011</v>
      </c>
      <c r="B1787" s="1">
        <v>45139</v>
      </c>
      <c r="C1787" t="s">
        <v>560</v>
      </c>
      <c r="D1787">
        <v>19</v>
      </c>
      <c r="E1787">
        <v>56.81</v>
      </c>
      <c r="F1787" s="15">
        <f>IFERROR(PRD[[#This Row],[VALOR]]/PRD[[#This Row],[KGS]],"")</f>
        <v>2.99</v>
      </c>
      <c r="H1787" s="27"/>
    </row>
    <row r="1788" spans="1:8" x14ac:dyDescent="0.25">
      <c r="A1788" s="21">
        <v>8040030</v>
      </c>
      <c r="B1788" s="1">
        <v>45139</v>
      </c>
      <c r="C1788" t="s">
        <v>730</v>
      </c>
      <c r="D1788">
        <v>6300</v>
      </c>
      <c r="E1788">
        <v>29610</v>
      </c>
      <c r="F1788" s="15">
        <f>IFERROR(PRD[[#This Row],[VALOR]]/PRD[[#This Row],[KGS]],"")</f>
        <v>4.7</v>
      </c>
      <c r="H1788" s="27"/>
    </row>
    <row r="1789" spans="1:8" x14ac:dyDescent="0.25">
      <c r="A1789" s="21">
        <v>8040031</v>
      </c>
      <c r="B1789" s="1">
        <v>45139</v>
      </c>
      <c r="C1789" t="s">
        <v>731</v>
      </c>
      <c r="D1789">
        <v>5040</v>
      </c>
      <c r="E1789">
        <v>14414</v>
      </c>
      <c r="F1789" s="15">
        <f>IFERROR(PRD[[#This Row],[VALOR]]/PRD[[#This Row],[KGS]],"")</f>
        <v>2.859920634920635</v>
      </c>
      <c r="H1789" s="27"/>
    </row>
    <row r="1790" spans="1:8" x14ac:dyDescent="0.25">
      <c r="A1790" s="21">
        <v>8040032</v>
      </c>
      <c r="B1790" s="1">
        <v>45139</v>
      </c>
      <c r="C1790" t="s">
        <v>732</v>
      </c>
      <c r="D1790">
        <v>3360</v>
      </c>
      <c r="E1790">
        <v>24057.599999999999</v>
      </c>
      <c r="F1790" s="15">
        <f>IFERROR(PRD[[#This Row],[VALOR]]/PRD[[#This Row],[KGS]],"")</f>
        <v>7.1599999999999993</v>
      </c>
      <c r="H1790" s="27"/>
    </row>
    <row r="1791" spans="1:8" x14ac:dyDescent="0.25">
      <c r="A1791" s="21">
        <v>8040039</v>
      </c>
      <c r="B1791" s="1">
        <v>45139</v>
      </c>
      <c r="C1791" t="s">
        <v>564</v>
      </c>
      <c r="D1791">
        <v>6.54</v>
      </c>
      <c r="E1791">
        <v>89.65</v>
      </c>
      <c r="F1791" s="15">
        <f>IFERROR(PRD[[#This Row],[VALOR]]/PRD[[#This Row],[KGS]],"")</f>
        <v>13.707951070336392</v>
      </c>
      <c r="H1791" s="27"/>
    </row>
    <row r="1792" spans="1:8" x14ac:dyDescent="0.25">
      <c r="A1792" s="21">
        <v>8040040</v>
      </c>
      <c r="B1792" s="1">
        <v>45139</v>
      </c>
      <c r="C1792" t="s">
        <v>698</v>
      </c>
      <c r="D1792">
        <v>1008</v>
      </c>
      <c r="E1792">
        <v>5241.6000000000004</v>
      </c>
      <c r="F1792" s="15">
        <f>IFERROR(PRD[[#This Row],[VALOR]]/PRD[[#This Row],[KGS]],"")</f>
        <v>5.2</v>
      </c>
      <c r="H1792" s="27"/>
    </row>
    <row r="1793" spans="1:8" x14ac:dyDescent="0.25">
      <c r="A1793" s="21">
        <v>8040046</v>
      </c>
      <c r="B1793" s="1">
        <v>45139</v>
      </c>
      <c r="C1793" t="s">
        <v>733</v>
      </c>
      <c r="D1793">
        <v>0.86</v>
      </c>
      <c r="E1793">
        <v>0</v>
      </c>
      <c r="F1793" s="15">
        <f>IFERROR(PRD[[#This Row],[VALOR]]/PRD[[#This Row],[KGS]],"")</f>
        <v>0</v>
      </c>
      <c r="H1793" s="27"/>
    </row>
    <row r="1794" spans="1:8" x14ac:dyDescent="0.25">
      <c r="A1794" s="21">
        <v>8040048</v>
      </c>
      <c r="B1794" s="1">
        <v>45139</v>
      </c>
      <c r="C1794" t="s">
        <v>699</v>
      </c>
      <c r="D1794">
        <v>64</v>
      </c>
      <c r="E1794">
        <v>150.4</v>
      </c>
      <c r="F1794" s="15">
        <f>IFERROR(PRD[[#This Row],[VALOR]]/PRD[[#This Row],[KGS]],"")</f>
        <v>2.35</v>
      </c>
      <c r="H1794" s="27"/>
    </row>
    <row r="1795" spans="1:8" x14ac:dyDescent="0.25">
      <c r="A1795" s="21">
        <v>8040049</v>
      </c>
      <c r="B1795" s="1">
        <v>45139</v>
      </c>
      <c r="C1795" t="s">
        <v>643</v>
      </c>
      <c r="D1795">
        <v>0.69</v>
      </c>
      <c r="E1795">
        <v>0</v>
      </c>
      <c r="F1795" s="15">
        <f>IFERROR(PRD[[#This Row],[VALOR]]/PRD[[#This Row],[KGS]],"")</f>
        <v>0</v>
      </c>
      <c r="H1795" s="27"/>
    </row>
    <row r="1796" spans="1:8" x14ac:dyDescent="0.25">
      <c r="A1796" s="21">
        <v>8040051</v>
      </c>
      <c r="B1796" s="1">
        <v>45139</v>
      </c>
      <c r="C1796" t="s">
        <v>644</v>
      </c>
      <c r="D1796">
        <v>2755.15</v>
      </c>
      <c r="E1796">
        <v>29459.27</v>
      </c>
      <c r="F1796" s="15">
        <f>IFERROR(PRD[[#This Row],[VALOR]]/PRD[[#This Row],[KGS]],"")</f>
        <v>10.692437798304992</v>
      </c>
      <c r="H1796" s="27"/>
    </row>
    <row r="1797" spans="1:8" x14ac:dyDescent="0.25">
      <c r="A1797" s="21">
        <v>8040052</v>
      </c>
      <c r="B1797" s="1">
        <v>45139</v>
      </c>
      <c r="C1797" t="s">
        <v>700</v>
      </c>
      <c r="D1797">
        <v>14</v>
      </c>
      <c r="E1797">
        <v>163.80000000000001</v>
      </c>
      <c r="F1797" s="15">
        <f>IFERROR(PRD[[#This Row],[VALOR]]/PRD[[#This Row],[KGS]],"")</f>
        <v>11.700000000000001</v>
      </c>
      <c r="H1797" s="27"/>
    </row>
    <row r="1798" spans="1:8" x14ac:dyDescent="0.25">
      <c r="A1798" s="21">
        <v>8040057</v>
      </c>
      <c r="B1798" s="1">
        <v>45139</v>
      </c>
      <c r="C1798" t="s">
        <v>734</v>
      </c>
      <c r="D1798">
        <v>4</v>
      </c>
      <c r="E1798">
        <v>19.2</v>
      </c>
      <c r="F1798" s="15">
        <f>IFERROR(PRD[[#This Row],[VALOR]]/PRD[[#This Row],[KGS]],"")</f>
        <v>4.8</v>
      </c>
      <c r="H1798" s="27"/>
    </row>
    <row r="1799" spans="1:8" x14ac:dyDescent="0.25">
      <c r="A1799" s="21">
        <v>8050002</v>
      </c>
      <c r="B1799" s="1">
        <v>45139</v>
      </c>
      <c r="C1799" t="s">
        <v>322</v>
      </c>
      <c r="D1799">
        <v>7</v>
      </c>
      <c r="E1799">
        <v>45.22</v>
      </c>
      <c r="F1799" s="15">
        <f>IFERROR(PRD[[#This Row],[VALOR]]/PRD[[#This Row],[KGS]],"")</f>
        <v>6.46</v>
      </c>
      <c r="H1799" s="27"/>
    </row>
    <row r="1800" spans="1:8" x14ac:dyDescent="0.25">
      <c r="A1800" s="21">
        <v>8050005</v>
      </c>
      <c r="B1800" s="1">
        <v>45139</v>
      </c>
      <c r="C1800" t="s">
        <v>648</v>
      </c>
      <c r="D1800">
        <v>10</v>
      </c>
      <c r="E1800">
        <v>50.4</v>
      </c>
      <c r="F1800" s="15">
        <f>IFERROR(PRD[[#This Row],[VALOR]]/PRD[[#This Row],[KGS]],"")</f>
        <v>5.04</v>
      </c>
      <c r="H1800" s="27"/>
    </row>
    <row r="1801" spans="1:8" x14ac:dyDescent="0.25">
      <c r="A1801" s="21">
        <v>8070009</v>
      </c>
      <c r="B1801" s="1">
        <v>45139</v>
      </c>
      <c r="C1801" t="s">
        <v>581</v>
      </c>
      <c r="D1801">
        <v>56</v>
      </c>
      <c r="E1801">
        <v>173.6</v>
      </c>
      <c r="F1801" s="15">
        <f>IFERROR(PRD[[#This Row],[VALOR]]/PRD[[#This Row],[KGS]],"")</f>
        <v>3.1</v>
      </c>
      <c r="H1801" s="27"/>
    </row>
    <row r="1802" spans="1:8" x14ac:dyDescent="0.25">
      <c r="A1802" s="21">
        <v>8070016</v>
      </c>
      <c r="B1802" s="1">
        <v>45139</v>
      </c>
      <c r="C1802" t="s">
        <v>395</v>
      </c>
      <c r="D1802">
        <v>9</v>
      </c>
      <c r="E1802">
        <v>59.4</v>
      </c>
      <c r="F1802" s="15">
        <f>IFERROR(PRD[[#This Row],[VALOR]]/PRD[[#This Row],[KGS]],"")</f>
        <v>6.6</v>
      </c>
      <c r="H1802" s="27"/>
    </row>
    <row r="1803" spans="1:8" x14ac:dyDescent="0.25">
      <c r="A1803" s="21">
        <v>8070019</v>
      </c>
      <c r="B1803" s="1">
        <v>45139</v>
      </c>
      <c r="C1803" t="s">
        <v>398</v>
      </c>
      <c r="D1803">
        <v>3108</v>
      </c>
      <c r="E1803">
        <v>11188.8</v>
      </c>
      <c r="F1803" s="15">
        <f>IFERROR(PRD[[#This Row],[VALOR]]/PRD[[#This Row],[KGS]],"")</f>
        <v>3.5999999999999996</v>
      </c>
      <c r="H1803" s="27"/>
    </row>
    <row r="1804" spans="1:8" x14ac:dyDescent="0.25">
      <c r="A1804" s="21">
        <v>8070025</v>
      </c>
      <c r="B1804" s="1">
        <v>45139</v>
      </c>
      <c r="C1804" t="s">
        <v>655</v>
      </c>
      <c r="D1804">
        <v>21</v>
      </c>
      <c r="E1804">
        <v>54.14</v>
      </c>
      <c r="F1804" s="15">
        <f>IFERROR(PRD[[#This Row],[VALOR]]/PRD[[#This Row],[KGS]],"")</f>
        <v>2.578095238095238</v>
      </c>
      <c r="H1804" s="27"/>
    </row>
    <row r="1805" spans="1:8" x14ac:dyDescent="0.25">
      <c r="A1805" s="21">
        <v>8070026</v>
      </c>
      <c r="B1805" s="1">
        <v>45139</v>
      </c>
      <c r="C1805" t="s">
        <v>584</v>
      </c>
      <c r="D1805">
        <v>250</v>
      </c>
      <c r="E1805">
        <v>825</v>
      </c>
      <c r="F1805" s="15">
        <f>IFERROR(PRD[[#This Row],[VALOR]]/PRD[[#This Row],[KGS]],"")</f>
        <v>3.3</v>
      </c>
      <c r="H1805" s="27"/>
    </row>
    <row r="1806" spans="1:8" x14ac:dyDescent="0.25">
      <c r="A1806" s="21">
        <v>8070029</v>
      </c>
      <c r="B1806" s="1">
        <v>45139</v>
      </c>
      <c r="C1806" t="s">
        <v>491</v>
      </c>
      <c r="D1806">
        <v>250</v>
      </c>
      <c r="E1806">
        <v>925</v>
      </c>
      <c r="F1806" s="15">
        <f>IFERROR(PRD[[#This Row],[VALOR]]/PRD[[#This Row],[KGS]],"")</f>
        <v>3.7</v>
      </c>
      <c r="H1806" s="27"/>
    </row>
    <row r="1807" spans="1:8" x14ac:dyDescent="0.25">
      <c r="A1807" s="21">
        <v>8070053</v>
      </c>
      <c r="B1807" s="1">
        <v>45139</v>
      </c>
      <c r="C1807" t="s">
        <v>661</v>
      </c>
      <c r="D1807">
        <v>18.3</v>
      </c>
      <c r="E1807">
        <v>36.42</v>
      </c>
      <c r="F1807" s="15">
        <f>IFERROR(PRD[[#This Row],[VALOR]]/PRD[[#This Row],[KGS]],"")</f>
        <v>1.9901639344262296</v>
      </c>
      <c r="H1807" s="27"/>
    </row>
    <row r="1808" spans="1:8" x14ac:dyDescent="0.25">
      <c r="A1808" s="21">
        <v>8070060</v>
      </c>
      <c r="B1808" s="1">
        <v>45139</v>
      </c>
      <c r="C1808" t="s">
        <v>701</v>
      </c>
      <c r="D1808">
        <v>0</v>
      </c>
      <c r="E1808">
        <v>0</v>
      </c>
      <c r="F1808" s="15" t="str">
        <f>IFERROR(PRD[[#This Row],[VALOR]]/PRD[[#This Row],[KGS]],"")</f>
        <v/>
      </c>
      <c r="H1808" s="27"/>
    </row>
    <row r="1809" spans="1:8" x14ac:dyDescent="0.25">
      <c r="A1809" s="21">
        <v>8120003</v>
      </c>
      <c r="B1809" s="1">
        <v>45139</v>
      </c>
      <c r="C1809" t="s">
        <v>376</v>
      </c>
      <c r="D1809">
        <v>1008</v>
      </c>
      <c r="E1809">
        <v>2772</v>
      </c>
      <c r="F1809" s="15">
        <f>IFERROR(PRD[[#This Row],[VALOR]]/PRD[[#This Row],[KGS]],"")</f>
        <v>2.75</v>
      </c>
      <c r="H1809" s="27"/>
    </row>
    <row r="1810" spans="1:8" x14ac:dyDescent="0.25">
      <c r="A1810" s="21">
        <v>8120006</v>
      </c>
      <c r="B1810" s="1">
        <v>45139</v>
      </c>
      <c r="C1810" t="s">
        <v>408</v>
      </c>
      <c r="D1810">
        <v>150.61000000000001</v>
      </c>
      <c r="E1810">
        <v>1046.74</v>
      </c>
      <c r="F1810" s="15">
        <f>IFERROR(PRD[[#This Row],[VALOR]]/PRD[[#This Row],[KGS]],"")</f>
        <v>6.95000331983268</v>
      </c>
      <c r="H1810" s="27"/>
    </row>
    <row r="1811" spans="1:8" x14ac:dyDescent="0.25">
      <c r="A1811" s="21">
        <v>8120007</v>
      </c>
      <c r="B1811" s="1">
        <v>45139</v>
      </c>
      <c r="C1811" t="s">
        <v>377</v>
      </c>
      <c r="D1811">
        <v>34.700000000000003</v>
      </c>
      <c r="E1811">
        <v>279.33999999999997</v>
      </c>
      <c r="F1811" s="15">
        <f>IFERROR(PRD[[#This Row],[VALOR]]/PRD[[#This Row],[KGS]],"")</f>
        <v>8.0501440922190195</v>
      </c>
      <c r="H1811" s="27"/>
    </row>
    <row r="1812" spans="1:8" x14ac:dyDescent="0.25">
      <c r="A1812" s="21">
        <v>8120008</v>
      </c>
      <c r="B1812" s="1">
        <v>45139</v>
      </c>
      <c r="C1812" t="s">
        <v>409</v>
      </c>
      <c r="D1812">
        <v>38.47</v>
      </c>
      <c r="E1812">
        <v>381.45</v>
      </c>
      <c r="F1812" s="15">
        <f>IFERROR(PRD[[#This Row],[VALOR]]/PRD[[#This Row],[KGS]],"")</f>
        <v>9.9155185859110997</v>
      </c>
      <c r="H1812" s="27"/>
    </row>
    <row r="1813" spans="1:8" x14ac:dyDescent="0.25">
      <c r="A1813" s="21">
        <v>8120009</v>
      </c>
      <c r="B1813" s="1">
        <v>45139</v>
      </c>
      <c r="C1813" t="s">
        <v>506</v>
      </c>
      <c r="D1813">
        <v>1401.5</v>
      </c>
      <c r="E1813">
        <v>25840.47</v>
      </c>
      <c r="F1813" s="15">
        <f>IFERROR(PRD[[#This Row],[VALOR]]/PRD[[#This Row],[KGS]],"")</f>
        <v>18.437723867285051</v>
      </c>
      <c r="H1813" s="27"/>
    </row>
    <row r="1814" spans="1:8" x14ac:dyDescent="0.25">
      <c r="A1814" s="21">
        <v>8120010</v>
      </c>
      <c r="B1814" s="1">
        <v>45139</v>
      </c>
      <c r="C1814" t="s">
        <v>378</v>
      </c>
      <c r="D1814">
        <v>39.07</v>
      </c>
      <c r="E1814">
        <v>496.19</v>
      </c>
      <c r="F1814" s="15">
        <f>IFERROR(PRD[[#This Row],[VALOR]]/PRD[[#This Row],[KGS]],"")</f>
        <v>12.700025595085743</v>
      </c>
      <c r="H1814" s="27"/>
    </row>
    <row r="1815" spans="1:8" x14ac:dyDescent="0.25">
      <c r="A1815" s="21">
        <v>8120015</v>
      </c>
      <c r="B1815" s="1">
        <v>45139</v>
      </c>
      <c r="C1815" t="s">
        <v>412</v>
      </c>
      <c r="D1815">
        <v>5</v>
      </c>
      <c r="E1815">
        <v>21.15</v>
      </c>
      <c r="F1815" s="15">
        <f>IFERROR(PRD[[#This Row],[VALOR]]/PRD[[#This Row],[KGS]],"")</f>
        <v>4.2299999999999995</v>
      </c>
      <c r="H1815" s="27"/>
    </row>
    <row r="1816" spans="1:8" x14ac:dyDescent="0.25">
      <c r="A1816" s="21">
        <v>8120016</v>
      </c>
      <c r="B1816" s="1">
        <v>45139</v>
      </c>
      <c r="C1816" t="s">
        <v>510</v>
      </c>
      <c r="D1816">
        <v>1301.08</v>
      </c>
      <c r="E1816">
        <v>8717.2000000000007</v>
      </c>
      <c r="F1816" s="15">
        <f>IFERROR(PRD[[#This Row],[VALOR]]/PRD[[#This Row],[KGS]],"")</f>
        <v>6.6999723306791292</v>
      </c>
      <c r="H1816" s="27"/>
    </row>
    <row r="1817" spans="1:8" x14ac:dyDescent="0.25">
      <c r="A1817" s="21">
        <v>8120019</v>
      </c>
      <c r="B1817" s="1">
        <v>45139</v>
      </c>
      <c r="C1817" t="s">
        <v>668</v>
      </c>
      <c r="D1817">
        <v>18.39</v>
      </c>
      <c r="E1817">
        <v>175.26</v>
      </c>
      <c r="F1817" s="15">
        <f>IFERROR(PRD[[#This Row],[VALOR]]/PRD[[#This Row],[KGS]],"")</f>
        <v>9.5301794453507327</v>
      </c>
      <c r="H1817" s="27"/>
    </row>
    <row r="1818" spans="1:8" x14ac:dyDescent="0.25">
      <c r="A1818" s="21">
        <v>8120020</v>
      </c>
      <c r="B1818" s="1">
        <v>45139</v>
      </c>
      <c r="C1818" t="s">
        <v>735</v>
      </c>
      <c r="D1818">
        <v>1369.6</v>
      </c>
      <c r="E1818">
        <v>10135</v>
      </c>
      <c r="F1818" s="15">
        <f>IFERROR(PRD[[#This Row],[VALOR]]/PRD[[#This Row],[KGS]],"")</f>
        <v>7.3999707943925239</v>
      </c>
      <c r="H1818" s="27"/>
    </row>
    <row r="1819" spans="1:8" x14ac:dyDescent="0.25">
      <c r="A1819" s="21">
        <v>8120021</v>
      </c>
      <c r="B1819" s="1">
        <v>45139</v>
      </c>
      <c r="C1819" t="s">
        <v>736</v>
      </c>
      <c r="D1819">
        <v>659.22</v>
      </c>
      <c r="E1819">
        <v>6409.31</v>
      </c>
      <c r="F1819" s="15">
        <f>IFERROR(PRD[[#This Row],[VALOR]]/PRD[[#This Row],[KGS]],"")</f>
        <v>9.7225660629228479</v>
      </c>
      <c r="H1819" s="27"/>
    </row>
    <row r="1820" spans="1:8" x14ac:dyDescent="0.25">
      <c r="A1820" s="21">
        <v>8130001</v>
      </c>
      <c r="B1820" s="1">
        <v>45139</v>
      </c>
      <c r="C1820" t="s">
        <v>380</v>
      </c>
      <c r="D1820">
        <v>1520</v>
      </c>
      <c r="E1820">
        <v>3039.75</v>
      </c>
      <c r="F1820" s="15">
        <f>IFERROR(PRD[[#This Row],[VALOR]]/PRD[[#This Row],[KGS]],"")</f>
        <v>1.9998355263157894</v>
      </c>
      <c r="H1820" s="27"/>
    </row>
    <row r="1821" spans="1:8" x14ac:dyDescent="0.25">
      <c r="A1821" s="21">
        <v>8130003</v>
      </c>
      <c r="B1821" s="1">
        <v>45139</v>
      </c>
      <c r="C1821" t="s">
        <v>516</v>
      </c>
      <c r="D1821">
        <v>1</v>
      </c>
      <c r="E1821">
        <v>3.39</v>
      </c>
      <c r="F1821" s="15">
        <f>IFERROR(PRD[[#This Row],[VALOR]]/PRD[[#This Row],[KGS]],"")</f>
        <v>3.39</v>
      </c>
      <c r="H1821" s="27"/>
    </row>
    <row r="1822" spans="1:8" x14ac:dyDescent="0.25">
      <c r="A1822" s="21">
        <v>8130007</v>
      </c>
      <c r="B1822" s="1">
        <v>45139</v>
      </c>
      <c r="C1822" t="s">
        <v>737</v>
      </c>
      <c r="D1822">
        <v>1050</v>
      </c>
      <c r="E1822">
        <v>1659</v>
      </c>
      <c r="F1822" s="15">
        <f>IFERROR(PRD[[#This Row],[VALOR]]/PRD[[#This Row],[KGS]],"")</f>
        <v>1.58</v>
      </c>
      <c r="H1822" s="27"/>
    </row>
    <row r="1823" spans="1:8" x14ac:dyDescent="0.25">
      <c r="A1823" s="21">
        <v>8130009</v>
      </c>
      <c r="B1823" s="1">
        <v>45139</v>
      </c>
      <c r="C1823" t="s">
        <v>738</v>
      </c>
      <c r="D1823">
        <v>300</v>
      </c>
      <c r="E1823">
        <v>594</v>
      </c>
      <c r="F1823" s="15">
        <f>IFERROR(PRD[[#This Row],[VALOR]]/PRD[[#This Row],[KGS]],"")</f>
        <v>1.98</v>
      </c>
      <c r="H1823" s="27"/>
    </row>
    <row r="1824" spans="1:8" x14ac:dyDescent="0.25">
      <c r="A1824" s="21">
        <v>8130010</v>
      </c>
      <c r="B1824" s="1">
        <v>45139</v>
      </c>
      <c r="C1824" t="s">
        <v>619</v>
      </c>
      <c r="D1824">
        <v>11250</v>
      </c>
      <c r="E1824">
        <v>14747.5</v>
      </c>
      <c r="F1824" s="15">
        <f>IFERROR(PRD[[#This Row],[VALOR]]/PRD[[#This Row],[KGS]],"")</f>
        <v>1.310888888888889</v>
      </c>
      <c r="H1824" s="27"/>
    </row>
    <row r="1825" spans="1:8" x14ac:dyDescent="0.25">
      <c r="A1825" s="21">
        <v>8130013</v>
      </c>
      <c r="B1825" s="1">
        <v>45139</v>
      </c>
      <c r="C1825" t="s">
        <v>416</v>
      </c>
      <c r="D1825">
        <v>1120</v>
      </c>
      <c r="E1825">
        <v>2632</v>
      </c>
      <c r="F1825" s="15">
        <f>IFERROR(PRD[[#This Row],[VALOR]]/PRD[[#This Row],[KGS]],"")</f>
        <v>2.35</v>
      </c>
      <c r="H1825" s="27"/>
    </row>
    <row r="1826" spans="1:8" x14ac:dyDescent="0.25">
      <c r="A1826" s="21">
        <v>8130015</v>
      </c>
      <c r="B1826" s="1">
        <v>45139</v>
      </c>
      <c r="C1826" t="s">
        <v>622</v>
      </c>
      <c r="D1826">
        <v>1</v>
      </c>
      <c r="E1826">
        <v>3.86</v>
      </c>
      <c r="F1826" s="15">
        <f>IFERROR(PRD[[#This Row],[VALOR]]/PRD[[#This Row],[KGS]],"")</f>
        <v>3.86</v>
      </c>
      <c r="H1826" s="27"/>
    </row>
    <row r="1827" spans="1:8" x14ac:dyDescent="0.25">
      <c r="A1827" s="21">
        <v>8140006</v>
      </c>
      <c r="B1827" s="1">
        <v>45139</v>
      </c>
      <c r="C1827" t="s">
        <v>423</v>
      </c>
      <c r="D1827">
        <v>8</v>
      </c>
      <c r="E1827">
        <v>18.559999999999999</v>
      </c>
      <c r="F1827" s="15">
        <f>IFERROR(PRD[[#This Row],[VALOR]]/PRD[[#This Row],[KGS]],"")</f>
        <v>2.3199999999999998</v>
      </c>
      <c r="H1827" s="27"/>
    </row>
    <row r="1828" spans="1:8" x14ac:dyDescent="0.25">
      <c r="A1828" s="21">
        <v>8140013</v>
      </c>
      <c r="B1828" s="1">
        <v>45139</v>
      </c>
      <c r="C1828" t="s">
        <v>674</v>
      </c>
      <c r="D1828">
        <v>137</v>
      </c>
      <c r="E1828">
        <v>297.8</v>
      </c>
      <c r="F1828" s="15">
        <f>IFERROR(PRD[[#This Row],[VALOR]]/PRD[[#This Row],[KGS]],"")</f>
        <v>2.1737226277372264</v>
      </c>
      <c r="H1828" s="27"/>
    </row>
    <row r="1829" spans="1:8" x14ac:dyDescent="0.25">
      <c r="A1829" s="21">
        <v>8140014</v>
      </c>
      <c r="B1829" s="1">
        <v>45139</v>
      </c>
      <c r="C1829" t="s">
        <v>675</v>
      </c>
      <c r="D1829">
        <v>17</v>
      </c>
      <c r="E1829">
        <v>61.58</v>
      </c>
      <c r="F1829" s="15">
        <f>IFERROR(PRD[[#This Row],[VALOR]]/PRD[[#This Row],[KGS]],"")</f>
        <v>3.6223529411764703</v>
      </c>
      <c r="H1829" s="27"/>
    </row>
    <row r="1830" spans="1:8" x14ac:dyDescent="0.25">
      <c r="A1830" s="21">
        <v>8140015</v>
      </c>
      <c r="B1830" s="1">
        <v>45139</v>
      </c>
      <c r="C1830" t="s">
        <v>676</v>
      </c>
      <c r="D1830">
        <v>604</v>
      </c>
      <c r="E1830">
        <v>2271.4</v>
      </c>
      <c r="F1830" s="15">
        <f>IFERROR(PRD[[#This Row],[VALOR]]/PRD[[#This Row],[KGS]],"")</f>
        <v>3.7605960264900662</v>
      </c>
      <c r="H1830" s="27"/>
    </row>
    <row r="1831" spans="1:8" x14ac:dyDescent="0.25">
      <c r="A1831" s="21">
        <v>8140016</v>
      </c>
      <c r="B1831" s="1">
        <v>45139</v>
      </c>
      <c r="C1831" t="s">
        <v>677</v>
      </c>
      <c r="D1831">
        <v>394</v>
      </c>
      <c r="E1831">
        <v>1487.24</v>
      </c>
      <c r="F1831" s="15">
        <f>IFERROR(PRD[[#This Row],[VALOR]]/PRD[[#This Row],[KGS]],"")</f>
        <v>3.7747208121827414</v>
      </c>
      <c r="H1831" s="27"/>
    </row>
    <row r="1832" spans="1:8" x14ac:dyDescent="0.25">
      <c r="A1832" s="21">
        <v>8150001</v>
      </c>
      <c r="B1832" s="1">
        <v>45139</v>
      </c>
      <c r="C1832" t="s">
        <v>382</v>
      </c>
      <c r="D1832">
        <v>80</v>
      </c>
      <c r="E1832">
        <v>1091</v>
      </c>
      <c r="F1832" s="15">
        <f>IFERROR(PRD[[#This Row],[VALOR]]/PRD[[#This Row],[KGS]],"")</f>
        <v>13.637499999999999</v>
      </c>
      <c r="H1832" s="27"/>
    </row>
    <row r="1833" spans="1:8" x14ac:dyDescent="0.25">
      <c r="A1833" s="21">
        <v>8150003</v>
      </c>
      <c r="B1833" s="1">
        <v>45139</v>
      </c>
      <c r="C1833" t="s">
        <v>384</v>
      </c>
      <c r="D1833">
        <v>330</v>
      </c>
      <c r="E1833">
        <v>2580</v>
      </c>
      <c r="F1833" s="15">
        <f>IFERROR(PRD[[#This Row],[VALOR]]/PRD[[#This Row],[KGS]],"")</f>
        <v>7.8181818181818183</v>
      </c>
      <c r="H1833" s="27"/>
    </row>
    <row r="1834" spans="1:8" x14ac:dyDescent="0.25">
      <c r="A1834" s="21">
        <v>8150004</v>
      </c>
      <c r="B1834" s="1">
        <v>45139</v>
      </c>
      <c r="C1834" t="s">
        <v>625</v>
      </c>
      <c r="D1834">
        <v>174.5</v>
      </c>
      <c r="E1834">
        <v>1303.5</v>
      </c>
      <c r="F1834" s="15">
        <f>IFERROR(PRD[[#This Row],[VALOR]]/PRD[[#This Row],[KGS]],"")</f>
        <v>7.4699140401146131</v>
      </c>
      <c r="H1834" s="27"/>
    </row>
    <row r="1835" spans="1:8" x14ac:dyDescent="0.25">
      <c r="A1835" s="21">
        <v>8150005</v>
      </c>
      <c r="B1835" s="1">
        <v>45139</v>
      </c>
      <c r="C1835" t="s">
        <v>386</v>
      </c>
      <c r="D1835">
        <v>90</v>
      </c>
      <c r="E1835">
        <v>495</v>
      </c>
      <c r="F1835" s="15">
        <f>IFERROR(PRD[[#This Row],[VALOR]]/PRD[[#This Row],[KGS]],"")</f>
        <v>5.5</v>
      </c>
      <c r="H1835" s="27"/>
    </row>
    <row r="1836" spans="1:8" x14ac:dyDescent="0.25">
      <c r="A1836" s="21">
        <v>8150006</v>
      </c>
      <c r="B1836" s="1">
        <v>45139</v>
      </c>
      <c r="C1836" t="s">
        <v>387</v>
      </c>
      <c r="D1836">
        <v>2050</v>
      </c>
      <c r="E1836">
        <v>10762.5</v>
      </c>
      <c r="F1836" s="15">
        <f>IFERROR(PRD[[#This Row],[VALOR]]/PRD[[#This Row],[KGS]],"")</f>
        <v>5.25</v>
      </c>
      <c r="H1836" s="27"/>
    </row>
    <row r="1837" spans="1:8" x14ac:dyDescent="0.25">
      <c r="A1837" s="21">
        <v>8150009</v>
      </c>
      <c r="B1837" s="1">
        <v>45139</v>
      </c>
      <c r="C1837" t="s">
        <v>678</v>
      </c>
      <c r="D1837">
        <v>30</v>
      </c>
      <c r="E1837">
        <v>570</v>
      </c>
      <c r="F1837" s="15">
        <f>IFERROR(PRD[[#This Row],[VALOR]]/PRD[[#This Row],[KGS]],"")</f>
        <v>19</v>
      </c>
      <c r="H1837" s="27"/>
    </row>
    <row r="1838" spans="1:8" x14ac:dyDescent="0.25">
      <c r="A1838" s="21">
        <v>8150010</v>
      </c>
      <c r="B1838" s="1">
        <v>45139</v>
      </c>
      <c r="C1838" t="s">
        <v>705</v>
      </c>
      <c r="D1838">
        <v>600</v>
      </c>
      <c r="E1838">
        <v>10524</v>
      </c>
      <c r="F1838" s="15">
        <f>IFERROR(PRD[[#This Row],[VALOR]]/PRD[[#This Row],[KGS]],"")</f>
        <v>17.54</v>
      </c>
      <c r="H1838" s="27"/>
    </row>
    <row r="1839" spans="1:8" x14ac:dyDescent="0.25">
      <c r="A1839" s="21">
        <v>8150011</v>
      </c>
      <c r="B1839" s="1">
        <v>45139</v>
      </c>
      <c r="C1839" t="s">
        <v>532</v>
      </c>
      <c r="D1839">
        <v>730</v>
      </c>
      <c r="E1839">
        <v>3945.7</v>
      </c>
      <c r="F1839" s="15">
        <f>IFERROR(PRD[[#This Row],[VALOR]]/PRD[[#This Row],[KGS]],"")</f>
        <v>5.4050684931506847</v>
      </c>
      <c r="H1839" s="27"/>
    </row>
    <row r="1840" spans="1:8" x14ac:dyDescent="0.25">
      <c r="A1840" s="21">
        <v>8150012</v>
      </c>
      <c r="B1840" s="1">
        <v>45139</v>
      </c>
      <c r="C1840" t="s">
        <v>626</v>
      </c>
      <c r="D1840">
        <v>1360</v>
      </c>
      <c r="E1840">
        <v>6880.8</v>
      </c>
      <c r="F1840" s="15">
        <f>IFERROR(PRD[[#This Row],[VALOR]]/PRD[[#This Row],[KGS]],"")</f>
        <v>5.0594117647058825</v>
      </c>
      <c r="H1840" s="27"/>
    </row>
    <row r="1841" spans="1:8" x14ac:dyDescent="0.25">
      <c r="A1841" s="21">
        <v>8150014</v>
      </c>
      <c r="B1841" s="1">
        <v>45139</v>
      </c>
      <c r="C1841" t="s">
        <v>538</v>
      </c>
      <c r="D1841">
        <v>50</v>
      </c>
      <c r="E1841">
        <v>194</v>
      </c>
      <c r="F1841" s="15">
        <f>IFERROR(PRD[[#This Row],[VALOR]]/PRD[[#This Row],[KGS]],"")</f>
        <v>3.88</v>
      </c>
      <c r="H1841" s="27"/>
    </row>
    <row r="1842" spans="1:8" x14ac:dyDescent="0.25">
      <c r="A1842" s="21">
        <v>8150015</v>
      </c>
      <c r="B1842" s="1">
        <v>45139</v>
      </c>
      <c r="C1842" t="s">
        <v>628</v>
      </c>
      <c r="D1842">
        <v>10</v>
      </c>
      <c r="E1842">
        <v>37.5</v>
      </c>
      <c r="F1842" s="15">
        <f>IFERROR(PRD[[#This Row],[VALOR]]/PRD[[#This Row],[KGS]],"")</f>
        <v>3.75</v>
      </c>
      <c r="H1842" s="27"/>
    </row>
    <row r="1843" spans="1:8" x14ac:dyDescent="0.25">
      <c r="A1843" s="21">
        <v>8150020</v>
      </c>
      <c r="B1843" s="1">
        <v>45139</v>
      </c>
      <c r="C1843" t="s">
        <v>706</v>
      </c>
      <c r="D1843">
        <v>27</v>
      </c>
      <c r="E1843">
        <v>231.15</v>
      </c>
      <c r="F1843" s="15">
        <f>IFERROR(PRD[[#This Row],[VALOR]]/PRD[[#This Row],[KGS]],"")</f>
        <v>8.5611111111111118</v>
      </c>
      <c r="H1843" s="27"/>
    </row>
    <row r="1844" spans="1:8" x14ac:dyDescent="0.25">
      <c r="A1844" s="21">
        <v>8150021</v>
      </c>
      <c r="B1844" s="1">
        <v>45139</v>
      </c>
      <c r="C1844" t="s">
        <v>739</v>
      </c>
      <c r="D1844">
        <v>10</v>
      </c>
      <c r="E1844">
        <v>82</v>
      </c>
      <c r="F1844" s="15">
        <f>IFERROR(PRD[[#This Row],[VALOR]]/PRD[[#This Row],[KGS]],"")</f>
        <v>8.1999999999999993</v>
      </c>
      <c r="H1844" s="27"/>
    </row>
    <row r="1845" spans="1:8" x14ac:dyDescent="0.25">
      <c r="A1845" s="21">
        <v>8150025</v>
      </c>
      <c r="B1845" s="1">
        <v>45139</v>
      </c>
      <c r="C1845" t="s">
        <v>679</v>
      </c>
      <c r="D1845">
        <v>648</v>
      </c>
      <c r="E1845">
        <v>5313.6</v>
      </c>
      <c r="F1845" s="15">
        <f>IFERROR(PRD[[#This Row],[VALOR]]/PRD[[#This Row],[KGS]],"")</f>
        <v>8.2000000000000011</v>
      </c>
      <c r="H1845" s="27"/>
    </row>
    <row r="1846" spans="1:8" x14ac:dyDescent="0.25">
      <c r="A1846" s="21">
        <v>1010100</v>
      </c>
      <c r="B1846" s="1">
        <v>45170</v>
      </c>
      <c r="C1846" t="s">
        <v>709</v>
      </c>
      <c r="D1846">
        <v>5.8</v>
      </c>
      <c r="E1846">
        <v>16.239999999999998</v>
      </c>
      <c r="F1846" s="15">
        <f>IFERROR(PRD[[#This Row],[VALOR]]/PRD[[#This Row],[KGS]],"")</f>
        <v>2.8</v>
      </c>
      <c r="H1846" s="27"/>
    </row>
    <row r="1847" spans="1:8" x14ac:dyDescent="0.25">
      <c r="A1847" s="21">
        <v>1010200</v>
      </c>
      <c r="B1847" s="1">
        <v>45170</v>
      </c>
      <c r="C1847" t="s">
        <v>331</v>
      </c>
      <c r="D1847">
        <v>823.6</v>
      </c>
      <c r="E1847">
        <v>247.08</v>
      </c>
      <c r="F1847" s="15">
        <f>IFERROR(PRD[[#This Row],[VALOR]]/PRD[[#This Row],[KGS]],"")</f>
        <v>0.3</v>
      </c>
      <c r="H1847" s="27"/>
    </row>
    <row r="1848" spans="1:8" x14ac:dyDescent="0.25">
      <c r="A1848" s="21">
        <v>1010300</v>
      </c>
      <c r="B1848" s="1">
        <v>45170</v>
      </c>
      <c r="C1848" t="s">
        <v>333</v>
      </c>
      <c r="D1848">
        <v>193.9</v>
      </c>
      <c r="E1848">
        <v>58.17</v>
      </c>
      <c r="F1848" s="15">
        <f>IFERROR(PRD[[#This Row],[VALOR]]/PRD[[#This Row],[KGS]],"")</f>
        <v>0.3</v>
      </c>
      <c r="H1848" s="27"/>
    </row>
    <row r="1849" spans="1:8" x14ac:dyDescent="0.25">
      <c r="A1849" s="21">
        <v>1010500</v>
      </c>
      <c r="B1849" s="1">
        <v>45170</v>
      </c>
      <c r="C1849" t="s">
        <v>6</v>
      </c>
      <c r="D1849">
        <v>1943.1</v>
      </c>
      <c r="E1849">
        <v>1215.28</v>
      </c>
      <c r="F1849" s="15">
        <f>IFERROR(PRD[[#This Row],[VALOR]]/PRD[[#This Row],[KGS]],"")</f>
        <v>0.6254335855076939</v>
      </c>
      <c r="H1849" s="27"/>
    </row>
    <row r="1850" spans="1:8" x14ac:dyDescent="0.25">
      <c r="A1850" s="21">
        <v>1010600</v>
      </c>
      <c r="B1850" s="1">
        <v>45170</v>
      </c>
      <c r="C1850" t="s">
        <v>334</v>
      </c>
      <c r="D1850">
        <v>14032.28</v>
      </c>
      <c r="E1850">
        <v>9601.67</v>
      </c>
      <c r="F1850" s="15">
        <f>IFERROR(PRD[[#This Row],[VALOR]]/PRD[[#This Row],[KGS]],"")</f>
        <v>0.68425587288737111</v>
      </c>
      <c r="H1850" s="27"/>
    </row>
    <row r="1851" spans="1:8" x14ac:dyDescent="0.25">
      <c r="A1851" s="21">
        <v>1010700</v>
      </c>
      <c r="B1851" s="1">
        <v>45170</v>
      </c>
      <c r="C1851" t="s">
        <v>10</v>
      </c>
      <c r="D1851">
        <v>662.86</v>
      </c>
      <c r="E1851">
        <v>1390.99</v>
      </c>
      <c r="F1851" s="15">
        <f>IFERROR(PRD[[#This Row],[VALOR]]/PRD[[#This Row],[KGS]],"")</f>
        <v>2.098467247986</v>
      </c>
      <c r="H1851" s="27"/>
    </row>
    <row r="1852" spans="1:8" x14ac:dyDescent="0.25">
      <c r="A1852" s="21">
        <v>1010701</v>
      </c>
      <c r="B1852" s="1">
        <v>45170</v>
      </c>
      <c r="C1852" t="s">
        <v>12</v>
      </c>
      <c r="D1852">
        <v>19.2</v>
      </c>
      <c r="E1852">
        <v>177.4</v>
      </c>
      <c r="F1852" s="15">
        <f>IFERROR(PRD[[#This Row],[VALOR]]/PRD[[#This Row],[KGS]],"")</f>
        <v>9.2395833333333339</v>
      </c>
      <c r="H1852" s="27"/>
    </row>
    <row r="1853" spans="1:8" x14ac:dyDescent="0.25">
      <c r="A1853" s="21">
        <v>1010702</v>
      </c>
      <c r="B1853" s="1">
        <v>45170</v>
      </c>
      <c r="C1853" t="s">
        <v>740</v>
      </c>
      <c r="D1853">
        <v>118</v>
      </c>
      <c r="E1853">
        <v>241.9</v>
      </c>
      <c r="F1853" s="15">
        <f>IFERROR(PRD[[#This Row],[VALOR]]/PRD[[#This Row],[KGS]],"")</f>
        <v>2.0500000000000003</v>
      </c>
      <c r="H1853" s="27"/>
    </row>
    <row r="1854" spans="1:8" x14ac:dyDescent="0.25">
      <c r="A1854" s="21">
        <v>1010900</v>
      </c>
      <c r="B1854" s="1">
        <v>45170</v>
      </c>
      <c r="C1854" t="s">
        <v>336</v>
      </c>
      <c r="D1854">
        <v>5.2</v>
      </c>
      <c r="E1854">
        <v>7.8</v>
      </c>
      <c r="F1854" s="15">
        <f>IFERROR(PRD[[#This Row],[VALOR]]/PRD[[#This Row],[KGS]],"")</f>
        <v>1.5</v>
      </c>
      <c r="H1854" s="27"/>
    </row>
    <row r="1855" spans="1:8" x14ac:dyDescent="0.25">
      <c r="A1855" s="21">
        <v>1010902</v>
      </c>
      <c r="B1855" s="1">
        <v>45170</v>
      </c>
      <c r="C1855" t="s">
        <v>431</v>
      </c>
      <c r="D1855">
        <v>607.48</v>
      </c>
      <c r="E1855">
        <v>736.19</v>
      </c>
      <c r="F1855" s="15">
        <f>IFERROR(PRD[[#This Row],[VALOR]]/PRD[[#This Row],[KGS]],"")</f>
        <v>1.2118752880753276</v>
      </c>
      <c r="H1855" s="27"/>
    </row>
    <row r="1856" spans="1:8" x14ac:dyDescent="0.25">
      <c r="A1856" s="21">
        <v>1010903</v>
      </c>
      <c r="B1856" s="1">
        <v>45170</v>
      </c>
      <c r="C1856" t="s">
        <v>629</v>
      </c>
      <c r="D1856">
        <v>112.9</v>
      </c>
      <c r="E1856">
        <v>109.2</v>
      </c>
      <c r="F1856" s="15">
        <f>IFERROR(PRD[[#This Row],[VALOR]]/PRD[[#This Row],[KGS]],"")</f>
        <v>0.96722763507528786</v>
      </c>
      <c r="H1856" s="27"/>
    </row>
    <row r="1857" spans="1:8" x14ac:dyDescent="0.25">
      <c r="A1857" s="21">
        <v>1011000</v>
      </c>
      <c r="B1857" s="1">
        <v>45170</v>
      </c>
      <c r="C1857" t="s">
        <v>20</v>
      </c>
      <c r="D1857">
        <v>973.52</v>
      </c>
      <c r="E1857">
        <v>708.85</v>
      </c>
      <c r="F1857" s="15">
        <f>IFERROR(PRD[[#This Row],[VALOR]]/PRD[[#This Row],[KGS]],"")</f>
        <v>0.72813090640151212</v>
      </c>
      <c r="H1857" s="27"/>
    </row>
    <row r="1858" spans="1:8" x14ac:dyDescent="0.25">
      <c r="A1858" s="21">
        <v>1011100</v>
      </c>
      <c r="B1858" s="1">
        <v>45170</v>
      </c>
      <c r="C1858" t="s">
        <v>22</v>
      </c>
      <c r="D1858">
        <v>37.340000000000003</v>
      </c>
      <c r="E1858">
        <v>19.16</v>
      </c>
      <c r="F1858" s="15">
        <f>IFERROR(PRD[[#This Row],[VALOR]]/PRD[[#This Row],[KGS]],"")</f>
        <v>0.51312265666845203</v>
      </c>
      <c r="H1858" s="27"/>
    </row>
    <row r="1859" spans="1:8" x14ac:dyDescent="0.25">
      <c r="A1859" s="21">
        <v>1011200</v>
      </c>
      <c r="B1859" s="1">
        <v>45170</v>
      </c>
      <c r="C1859" t="s">
        <v>24</v>
      </c>
      <c r="D1859">
        <v>47.8</v>
      </c>
      <c r="E1859">
        <v>66.260000000000005</v>
      </c>
      <c r="F1859" s="15">
        <f>IFERROR(PRD[[#This Row],[VALOR]]/PRD[[#This Row],[KGS]],"")</f>
        <v>1.3861924686192471</v>
      </c>
      <c r="H1859" s="27"/>
    </row>
    <row r="1860" spans="1:8" x14ac:dyDescent="0.25">
      <c r="A1860" s="21">
        <v>1011201</v>
      </c>
      <c r="B1860" s="1">
        <v>45170</v>
      </c>
      <c r="C1860" t="s">
        <v>338</v>
      </c>
      <c r="D1860">
        <v>122.8</v>
      </c>
      <c r="E1860">
        <v>331.56</v>
      </c>
      <c r="F1860" s="15">
        <f>IFERROR(PRD[[#This Row],[VALOR]]/PRD[[#This Row],[KGS]],"")</f>
        <v>2.7</v>
      </c>
      <c r="H1860" s="27"/>
    </row>
    <row r="1861" spans="1:8" x14ac:dyDescent="0.25">
      <c r="A1861" s="21">
        <v>1011202</v>
      </c>
      <c r="B1861" s="1">
        <v>45170</v>
      </c>
      <c r="C1861" t="s">
        <v>340</v>
      </c>
      <c r="D1861">
        <v>531.1</v>
      </c>
      <c r="E1861">
        <v>106.22</v>
      </c>
      <c r="F1861" s="15">
        <f>IFERROR(PRD[[#This Row],[VALOR]]/PRD[[#This Row],[KGS]],"")</f>
        <v>0.19999999999999998</v>
      </c>
      <c r="H1861" s="27"/>
    </row>
    <row r="1862" spans="1:8" x14ac:dyDescent="0.25">
      <c r="A1862" s="21">
        <v>1011203</v>
      </c>
      <c r="B1862" s="1">
        <v>45170</v>
      </c>
      <c r="C1862" t="s">
        <v>342</v>
      </c>
      <c r="D1862">
        <v>127.7</v>
      </c>
      <c r="E1862">
        <v>76.62</v>
      </c>
      <c r="F1862" s="15">
        <f>IFERROR(PRD[[#This Row],[VALOR]]/PRD[[#This Row],[KGS]],"")</f>
        <v>0.6</v>
      </c>
      <c r="H1862" s="27"/>
    </row>
    <row r="1863" spans="1:8" x14ac:dyDescent="0.25">
      <c r="A1863" s="21">
        <v>1011204</v>
      </c>
      <c r="B1863" s="1">
        <v>45170</v>
      </c>
      <c r="C1863" t="s">
        <v>344</v>
      </c>
      <c r="D1863">
        <v>151.9</v>
      </c>
      <c r="E1863">
        <v>258.23</v>
      </c>
      <c r="F1863" s="15">
        <f>IFERROR(PRD[[#This Row],[VALOR]]/PRD[[#This Row],[KGS]],"")</f>
        <v>1.7</v>
      </c>
      <c r="H1863" s="27"/>
    </row>
    <row r="1864" spans="1:8" x14ac:dyDescent="0.25">
      <c r="A1864" s="21">
        <v>1011211</v>
      </c>
      <c r="B1864" s="1">
        <v>45170</v>
      </c>
      <c r="C1864" t="s">
        <v>685</v>
      </c>
      <c r="D1864">
        <v>263.10000000000002</v>
      </c>
      <c r="E1864">
        <v>92.11</v>
      </c>
      <c r="F1864" s="15">
        <f>IFERROR(PRD[[#This Row],[VALOR]]/PRD[[#This Row],[KGS]],"")</f>
        <v>0.35009502090459899</v>
      </c>
      <c r="H1864" s="27"/>
    </row>
    <row r="1865" spans="1:8" x14ac:dyDescent="0.25">
      <c r="A1865" s="21">
        <v>1011300</v>
      </c>
      <c r="B1865" s="1">
        <v>45170</v>
      </c>
      <c r="C1865" t="s">
        <v>295</v>
      </c>
      <c r="D1865">
        <v>5743.1</v>
      </c>
      <c r="E1865">
        <v>2621.1799999999998</v>
      </c>
      <c r="F1865" s="15">
        <f>IFERROR(PRD[[#This Row],[VALOR]]/PRD[[#This Row],[KGS]],"")</f>
        <v>0.45640507739722441</v>
      </c>
      <c r="H1865" s="27"/>
    </row>
    <row r="1866" spans="1:8" x14ac:dyDescent="0.25">
      <c r="A1866" s="21">
        <v>1011500</v>
      </c>
      <c r="B1866" s="1">
        <v>45170</v>
      </c>
      <c r="C1866" t="s">
        <v>27</v>
      </c>
      <c r="D1866">
        <v>2358.12</v>
      </c>
      <c r="E1866">
        <v>1882.88</v>
      </c>
      <c r="F1866" s="15">
        <f>IFERROR(PRD[[#This Row],[VALOR]]/PRD[[#This Row],[KGS]],"")</f>
        <v>0.79846657506827479</v>
      </c>
      <c r="H1866" s="27"/>
    </row>
    <row r="1867" spans="1:8" x14ac:dyDescent="0.25">
      <c r="A1867" s="21">
        <v>1011501</v>
      </c>
      <c r="B1867" s="1">
        <v>45170</v>
      </c>
      <c r="C1867" t="s">
        <v>297</v>
      </c>
      <c r="D1867">
        <v>1890</v>
      </c>
      <c r="E1867">
        <v>472.5</v>
      </c>
      <c r="F1867" s="15">
        <f>IFERROR(PRD[[#This Row],[VALOR]]/PRD[[#This Row],[KGS]],"")</f>
        <v>0.25</v>
      </c>
      <c r="H1867" s="27"/>
    </row>
    <row r="1868" spans="1:8" x14ac:dyDescent="0.25">
      <c r="A1868" s="21">
        <v>1011604</v>
      </c>
      <c r="B1868" s="1">
        <v>45170</v>
      </c>
      <c r="C1868" t="s">
        <v>29</v>
      </c>
      <c r="D1868">
        <v>21478.5</v>
      </c>
      <c r="E1868">
        <v>1718.28</v>
      </c>
      <c r="F1868" s="15">
        <f>IFERROR(PRD[[#This Row],[VALOR]]/PRD[[#This Row],[KGS]],"")</f>
        <v>0.08</v>
      </c>
      <c r="H1868" s="27"/>
    </row>
    <row r="1869" spans="1:8" x14ac:dyDescent="0.25">
      <c r="A1869" s="21">
        <v>1011700</v>
      </c>
      <c r="B1869" s="1">
        <v>45170</v>
      </c>
      <c r="C1869" t="s">
        <v>31</v>
      </c>
      <c r="D1869">
        <v>277.10000000000002</v>
      </c>
      <c r="E1869">
        <v>459.76</v>
      </c>
      <c r="F1869" s="15">
        <f>IFERROR(PRD[[#This Row],[VALOR]]/PRD[[#This Row],[KGS]],"")</f>
        <v>1.659184409960303</v>
      </c>
      <c r="H1869" s="27"/>
    </row>
    <row r="1870" spans="1:8" x14ac:dyDescent="0.25">
      <c r="A1870" s="21">
        <v>1011800</v>
      </c>
      <c r="B1870" s="1">
        <v>45170</v>
      </c>
      <c r="C1870" t="s">
        <v>33</v>
      </c>
      <c r="D1870">
        <v>3423.87</v>
      </c>
      <c r="E1870">
        <v>6086.69</v>
      </c>
      <c r="F1870" s="15">
        <f>IFERROR(PRD[[#This Row],[VALOR]]/PRD[[#This Row],[KGS]],"")</f>
        <v>1.7777222850166623</v>
      </c>
      <c r="H1870" s="27"/>
    </row>
    <row r="1871" spans="1:8" x14ac:dyDescent="0.25">
      <c r="A1871" s="21">
        <v>1011801</v>
      </c>
      <c r="B1871" s="1">
        <v>45170</v>
      </c>
      <c r="C1871" t="s">
        <v>35</v>
      </c>
      <c r="D1871">
        <v>57.08</v>
      </c>
      <c r="E1871">
        <v>85.62</v>
      </c>
      <c r="F1871" s="15">
        <f>IFERROR(PRD[[#This Row],[VALOR]]/PRD[[#This Row],[KGS]],"")</f>
        <v>1.5000000000000002</v>
      </c>
      <c r="H1871" s="27"/>
    </row>
    <row r="1872" spans="1:8" x14ac:dyDescent="0.25">
      <c r="A1872" s="21">
        <v>1011901</v>
      </c>
      <c r="B1872" s="1">
        <v>45170</v>
      </c>
      <c r="C1872" t="s">
        <v>37</v>
      </c>
      <c r="D1872">
        <v>48.6</v>
      </c>
      <c r="E1872">
        <v>48.6</v>
      </c>
      <c r="F1872" s="15">
        <f>IFERROR(PRD[[#This Row],[VALOR]]/PRD[[#This Row],[KGS]],"")</f>
        <v>1</v>
      </c>
      <c r="H1872" s="27"/>
    </row>
    <row r="1873" spans="1:8" x14ac:dyDescent="0.25">
      <c r="A1873" s="21">
        <v>1012100</v>
      </c>
      <c r="B1873" s="1">
        <v>45170</v>
      </c>
      <c r="C1873" t="s">
        <v>302</v>
      </c>
      <c r="D1873">
        <v>418.9</v>
      </c>
      <c r="E1873">
        <v>1172.92</v>
      </c>
      <c r="F1873" s="15">
        <f>IFERROR(PRD[[#This Row],[VALOR]]/PRD[[#This Row],[KGS]],"")</f>
        <v>2.8000000000000003</v>
      </c>
      <c r="H1873" s="27"/>
    </row>
    <row r="1874" spans="1:8" x14ac:dyDescent="0.25">
      <c r="A1874" s="21">
        <v>1012200</v>
      </c>
      <c r="B1874" s="1">
        <v>45170</v>
      </c>
      <c r="C1874" t="s">
        <v>39</v>
      </c>
      <c r="D1874">
        <v>1048.0999999999999</v>
      </c>
      <c r="E1874">
        <v>1642.2</v>
      </c>
      <c r="F1874" s="15">
        <f>IFERROR(PRD[[#This Row],[VALOR]]/PRD[[#This Row],[KGS]],"")</f>
        <v>1.566835225646408</v>
      </c>
      <c r="H1874" s="27"/>
    </row>
    <row r="1875" spans="1:8" x14ac:dyDescent="0.25">
      <c r="A1875" s="21">
        <v>1012201</v>
      </c>
      <c r="B1875" s="1">
        <v>45170</v>
      </c>
      <c r="C1875" t="s">
        <v>41</v>
      </c>
      <c r="D1875">
        <v>437.32</v>
      </c>
      <c r="E1875">
        <v>889.78</v>
      </c>
      <c r="F1875" s="15">
        <f>IFERROR(PRD[[#This Row],[VALOR]]/PRD[[#This Row],[KGS]],"")</f>
        <v>2.0346199579255466</v>
      </c>
      <c r="H1875" s="27"/>
    </row>
    <row r="1876" spans="1:8" x14ac:dyDescent="0.25">
      <c r="A1876" s="21">
        <v>1012203</v>
      </c>
      <c r="B1876" s="1">
        <v>45170</v>
      </c>
      <c r="C1876" t="s">
        <v>43</v>
      </c>
      <c r="D1876">
        <v>2258</v>
      </c>
      <c r="E1876">
        <v>3822.07</v>
      </c>
      <c r="F1876" s="15">
        <f>IFERROR(PRD[[#This Row],[VALOR]]/PRD[[#This Row],[KGS]],"")</f>
        <v>1.6926793622674934</v>
      </c>
      <c r="H1876" s="27"/>
    </row>
    <row r="1877" spans="1:8" x14ac:dyDescent="0.25">
      <c r="A1877" s="21">
        <v>1012205</v>
      </c>
      <c r="B1877" s="1">
        <v>45170</v>
      </c>
      <c r="C1877" t="s">
        <v>741</v>
      </c>
      <c r="D1877">
        <v>46.17</v>
      </c>
      <c r="E1877">
        <v>83.11</v>
      </c>
      <c r="F1877" s="15">
        <f>IFERROR(PRD[[#This Row],[VALOR]]/PRD[[#This Row],[KGS]],"")</f>
        <v>1.8000866363439463</v>
      </c>
      <c r="H1877" s="27"/>
    </row>
    <row r="1878" spans="1:8" x14ac:dyDescent="0.25">
      <c r="A1878" s="21">
        <v>1012300</v>
      </c>
      <c r="B1878" s="1">
        <v>45170</v>
      </c>
      <c r="C1878" t="s">
        <v>45</v>
      </c>
      <c r="D1878">
        <v>280.14</v>
      </c>
      <c r="E1878">
        <v>414.79</v>
      </c>
      <c r="F1878" s="15">
        <f>IFERROR(PRD[[#This Row],[VALOR]]/PRD[[#This Row],[KGS]],"")</f>
        <v>1.4806525308774185</v>
      </c>
      <c r="H1878" s="27"/>
    </row>
    <row r="1879" spans="1:8" x14ac:dyDescent="0.25">
      <c r="A1879" s="21">
        <v>1012301</v>
      </c>
      <c r="B1879" s="1">
        <v>45170</v>
      </c>
      <c r="C1879" t="s">
        <v>47</v>
      </c>
      <c r="D1879">
        <v>100</v>
      </c>
      <c r="E1879">
        <v>117.5</v>
      </c>
      <c r="F1879" s="15">
        <f>IFERROR(PRD[[#This Row],[VALOR]]/PRD[[#This Row],[KGS]],"")</f>
        <v>1.175</v>
      </c>
      <c r="H1879" s="27"/>
    </row>
    <row r="1880" spans="1:8" x14ac:dyDescent="0.25">
      <c r="A1880" s="21">
        <v>1012400</v>
      </c>
      <c r="B1880" s="1">
        <v>45170</v>
      </c>
      <c r="C1880" t="s">
        <v>49</v>
      </c>
      <c r="D1880">
        <v>1027.08</v>
      </c>
      <c r="E1880">
        <v>1671.14</v>
      </c>
      <c r="F1880" s="15">
        <f>IFERROR(PRD[[#This Row],[VALOR]]/PRD[[#This Row],[KGS]],"")</f>
        <v>1.6270787085718739</v>
      </c>
      <c r="H1880" s="27"/>
    </row>
    <row r="1881" spans="1:8" x14ac:dyDescent="0.25">
      <c r="A1881" s="21">
        <v>1012401</v>
      </c>
      <c r="B1881" s="1">
        <v>45170</v>
      </c>
      <c r="C1881" t="s">
        <v>51</v>
      </c>
      <c r="D1881">
        <v>100</v>
      </c>
      <c r="E1881">
        <v>170</v>
      </c>
      <c r="F1881" s="15">
        <f>IFERROR(PRD[[#This Row],[VALOR]]/PRD[[#This Row],[KGS]],"")</f>
        <v>1.7</v>
      </c>
      <c r="H1881" s="27"/>
    </row>
    <row r="1882" spans="1:8" x14ac:dyDescent="0.25">
      <c r="A1882" s="21">
        <v>1012500</v>
      </c>
      <c r="B1882" s="1">
        <v>45170</v>
      </c>
      <c r="C1882" t="s">
        <v>53</v>
      </c>
      <c r="D1882">
        <v>1236.9000000000001</v>
      </c>
      <c r="E1882">
        <v>321.72000000000003</v>
      </c>
      <c r="F1882" s="15">
        <f>IFERROR(PRD[[#This Row],[VALOR]]/PRD[[#This Row],[KGS]],"")</f>
        <v>0.2601018675721562</v>
      </c>
      <c r="H1882" s="27"/>
    </row>
    <row r="1883" spans="1:8" x14ac:dyDescent="0.25">
      <c r="A1883" s="21">
        <v>1012601</v>
      </c>
      <c r="B1883" s="1">
        <v>45170</v>
      </c>
      <c r="C1883" t="s">
        <v>55</v>
      </c>
      <c r="D1883">
        <v>121</v>
      </c>
      <c r="E1883">
        <v>121</v>
      </c>
      <c r="F1883" s="15">
        <f>IFERROR(PRD[[#This Row],[VALOR]]/PRD[[#This Row],[KGS]],"")</f>
        <v>1</v>
      </c>
      <c r="H1883" s="27"/>
    </row>
    <row r="1884" spans="1:8" x14ac:dyDescent="0.25">
      <c r="A1884" s="21">
        <v>1012700</v>
      </c>
      <c r="B1884" s="1">
        <v>45170</v>
      </c>
      <c r="C1884" t="s">
        <v>630</v>
      </c>
      <c r="D1884">
        <v>212</v>
      </c>
      <c r="E1884">
        <v>275.60000000000002</v>
      </c>
      <c r="F1884" s="15">
        <f>IFERROR(PRD[[#This Row],[VALOR]]/PRD[[#This Row],[KGS]],"")</f>
        <v>1.3</v>
      </c>
      <c r="H1884" s="27"/>
    </row>
    <row r="1885" spans="1:8" x14ac:dyDescent="0.25">
      <c r="A1885" s="21">
        <v>1012800</v>
      </c>
      <c r="B1885" s="1">
        <v>45170</v>
      </c>
      <c r="C1885" t="s">
        <v>439</v>
      </c>
      <c r="D1885">
        <v>30.7</v>
      </c>
      <c r="E1885">
        <v>46.05</v>
      </c>
      <c r="F1885" s="15">
        <f>IFERROR(PRD[[#This Row],[VALOR]]/PRD[[#This Row],[KGS]],"")</f>
        <v>1.5</v>
      </c>
      <c r="H1885" s="27"/>
    </row>
    <row r="1886" spans="1:8" x14ac:dyDescent="0.25">
      <c r="A1886" s="21">
        <v>1013100</v>
      </c>
      <c r="B1886" s="1">
        <v>45170</v>
      </c>
      <c r="C1886" t="s">
        <v>57</v>
      </c>
      <c r="D1886">
        <v>47.7</v>
      </c>
      <c r="E1886">
        <v>67.010000000000005</v>
      </c>
      <c r="F1886" s="15">
        <f>IFERROR(PRD[[#This Row],[VALOR]]/PRD[[#This Row],[KGS]],"")</f>
        <v>1.4048218029350106</v>
      </c>
      <c r="H1886" s="27"/>
    </row>
    <row r="1887" spans="1:8" x14ac:dyDescent="0.25">
      <c r="A1887" s="21">
        <v>1013101</v>
      </c>
      <c r="B1887" s="1">
        <v>45170</v>
      </c>
      <c r="C1887" t="s">
        <v>346</v>
      </c>
      <c r="D1887">
        <v>4548</v>
      </c>
      <c r="E1887">
        <v>6930</v>
      </c>
      <c r="F1887" s="15">
        <f>IFERROR(PRD[[#This Row],[VALOR]]/PRD[[#This Row],[KGS]],"")</f>
        <v>1.5237467018469657</v>
      </c>
      <c r="H1887" s="27"/>
    </row>
    <row r="1888" spans="1:8" x14ac:dyDescent="0.25">
      <c r="A1888" s="21">
        <v>1013200</v>
      </c>
      <c r="B1888" s="1">
        <v>45170</v>
      </c>
      <c r="C1888" t="s">
        <v>59</v>
      </c>
      <c r="D1888">
        <v>3071.9</v>
      </c>
      <c r="E1888">
        <v>3282.71</v>
      </c>
      <c r="F1888" s="15">
        <f>IFERROR(PRD[[#This Row],[VALOR]]/PRD[[#This Row],[KGS]],"")</f>
        <v>1.0686252807708585</v>
      </c>
      <c r="H1888" s="27"/>
    </row>
    <row r="1889" spans="1:8" x14ac:dyDescent="0.25">
      <c r="A1889" s="21">
        <v>1013201</v>
      </c>
      <c r="B1889" s="1">
        <v>45170</v>
      </c>
      <c r="C1889" t="s">
        <v>347</v>
      </c>
      <c r="D1889">
        <v>3845.4</v>
      </c>
      <c r="E1889">
        <v>4794.0200000000004</v>
      </c>
      <c r="F1889" s="15">
        <f>IFERROR(PRD[[#This Row],[VALOR]]/PRD[[#This Row],[KGS]],"")</f>
        <v>1.246689551152026</v>
      </c>
      <c r="H1889" s="27"/>
    </row>
    <row r="1890" spans="1:8" x14ac:dyDescent="0.25">
      <c r="A1890" s="21">
        <v>1013300</v>
      </c>
      <c r="B1890" s="1">
        <v>45170</v>
      </c>
      <c r="C1890" t="s">
        <v>348</v>
      </c>
      <c r="D1890">
        <v>941.9</v>
      </c>
      <c r="E1890">
        <v>282.57</v>
      </c>
      <c r="F1890" s="15">
        <f>IFERROR(PRD[[#This Row],[VALOR]]/PRD[[#This Row],[KGS]],"")</f>
        <v>0.3</v>
      </c>
      <c r="H1890" s="27"/>
    </row>
    <row r="1891" spans="1:8" x14ac:dyDescent="0.25">
      <c r="A1891" s="21">
        <v>1013500</v>
      </c>
      <c r="B1891" s="1">
        <v>45170</v>
      </c>
      <c r="C1891" t="s">
        <v>61</v>
      </c>
      <c r="D1891">
        <v>36.799999999999997</v>
      </c>
      <c r="E1891">
        <v>18.399999999999999</v>
      </c>
      <c r="F1891" s="15">
        <f>IFERROR(PRD[[#This Row],[VALOR]]/PRD[[#This Row],[KGS]],"")</f>
        <v>0.5</v>
      </c>
      <c r="H1891" s="27"/>
    </row>
    <row r="1892" spans="1:8" x14ac:dyDescent="0.25">
      <c r="A1892" s="21">
        <v>1100100</v>
      </c>
      <c r="B1892" s="1">
        <v>45170</v>
      </c>
      <c r="C1892" t="s">
        <v>63</v>
      </c>
      <c r="D1892">
        <v>59062.400000000001</v>
      </c>
      <c r="E1892">
        <v>167826.62</v>
      </c>
      <c r="F1892" s="15">
        <f>IFERROR(PRD[[#This Row],[VALOR]]/PRD[[#This Row],[KGS]],"")</f>
        <v>2.8415137210814323</v>
      </c>
      <c r="H1892" s="27"/>
    </row>
    <row r="1893" spans="1:8" x14ac:dyDescent="0.25">
      <c r="A1893" s="21">
        <v>1100101</v>
      </c>
      <c r="B1893" s="1">
        <v>45170</v>
      </c>
      <c r="C1893" t="s">
        <v>65</v>
      </c>
      <c r="D1893">
        <v>359.2</v>
      </c>
      <c r="E1893">
        <v>1041.3699999999999</v>
      </c>
      <c r="F1893" s="15">
        <f>IFERROR(PRD[[#This Row],[VALOR]]/PRD[[#This Row],[KGS]],"")</f>
        <v>2.8991369710467705</v>
      </c>
      <c r="H1893" s="27"/>
    </row>
    <row r="1894" spans="1:8" x14ac:dyDescent="0.25">
      <c r="A1894" s="21">
        <v>1100200</v>
      </c>
      <c r="B1894" s="1">
        <v>45170</v>
      </c>
      <c r="C1894" t="s">
        <v>67</v>
      </c>
      <c r="D1894">
        <v>59835.92</v>
      </c>
      <c r="E1894">
        <v>187463.34</v>
      </c>
      <c r="F1894" s="15">
        <f>IFERROR(PRD[[#This Row],[VALOR]]/PRD[[#This Row],[KGS]],"")</f>
        <v>3.1329565919601472</v>
      </c>
      <c r="H1894" s="27"/>
    </row>
    <row r="1895" spans="1:8" x14ac:dyDescent="0.25">
      <c r="A1895" s="21">
        <v>1100300</v>
      </c>
      <c r="B1895" s="1">
        <v>45170</v>
      </c>
      <c r="C1895" t="s">
        <v>69</v>
      </c>
      <c r="D1895">
        <v>14535.42</v>
      </c>
      <c r="E1895">
        <v>45197.82</v>
      </c>
      <c r="F1895" s="15">
        <f>IFERROR(PRD[[#This Row],[VALOR]]/PRD[[#This Row],[KGS]],"")</f>
        <v>3.1094952880618516</v>
      </c>
      <c r="H1895" s="27"/>
    </row>
    <row r="1896" spans="1:8" x14ac:dyDescent="0.25">
      <c r="A1896" s="21">
        <v>1100301</v>
      </c>
      <c r="B1896" s="1">
        <v>45170</v>
      </c>
      <c r="C1896" t="s">
        <v>71</v>
      </c>
      <c r="D1896">
        <v>46</v>
      </c>
      <c r="E1896">
        <v>157</v>
      </c>
      <c r="F1896" s="15">
        <f>IFERROR(PRD[[#This Row],[VALOR]]/PRD[[#This Row],[KGS]],"")</f>
        <v>3.4130434782608696</v>
      </c>
      <c r="H1896" s="27"/>
    </row>
    <row r="1897" spans="1:8" x14ac:dyDescent="0.25">
      <c r="A1897" s="21">
        <v>1100400</v>
      </c>
      <c r="B1897" s="1">
        <v>45170</v>
      </c>
      <c r="C1897" t="s">
        <v>73</v>
      </c>
      <c r="D1897">
        <v>8077.87</v>
      </c>
      <c r="E1897">
        <v>23788.32</v>
      </c>
      <c r="F1897" s="15">
        <f>IFERROR(PRD[[#This Row],[VALOR]]/PRD[[#This Row],[KGS]],"")</f>
        <v>2.9448753198553579</v>
      </c>
      <c r="H1897" s="27"/>
    </row>
    <row r="1898" spans="1:8" x14ac:dyDescent="0.25">
      <c r="A1898" s="21">
        <v>1100500</v>
      </c>
      <c r="B1898" s="1">
        <v>45170</v>
      </c>
      <c r="C1898" t="s">
        <v>75</v>
      </c>
      <c r="D1898">
        <v>285.16000000000003</v>
      </c>
      <c r="E1898">
        <v>859.49</v>
      </c>
      <c r="F1898" s="15">
        <f>IFERROR(PRD[[#This Row],[VALOR]]/PRD[[#This Row],[KGS]],"")</f>
        <v>3.0140622808247999</v>
      </c>
      <c r="H1898" s="27"/>
    </row>
    <row r="1899" spans="1:8" x14ac:dyDescent="0.25">
      <c r="A1899" s="21">
        <v>1100600</v>
      </c>
      <c r="B1899" s="1">
        <v>45170</v>
      </c>
      <c r="C1899" t="s">
        <v>77</v>
      </c>
      <c r="D1899">
        <v>9899.23</v>
      </c>
      <c r="E1899">
        <v>36002.699999999997</v>
      </c>
      <c r="F1899" s="15">
        <f>IFERROR(PRD[[#This Row],[VALOR]]/PRD[[#This Row],[KGS]],"")</f>
        <v>3.6369192351324293</v>
      </c>
      <c r="H1899" s="27"/>
    </row>
    <row r="1900" spans="1:8" x14ac:dyDescent="0.25">
      <c r="A1900" s="21">
        <v>1100602</v>
      </c>
      <c r="B1900" s="1">
        <v>45170</v>
      </c>
      <c r="C1900" t="s">
        <v>79</v>
      </c>
      <c r="D1900">
        <v>313.38</v>
      </c>
      <c r="E1900">
        <v>1724.11</v>
      </c>
      <c r="F1900" s="15">
        <f>IFERROR(PRD[[#This Row],[VALOR]]/PRD[[#This Row],[KGS]],"")</f>
        <v>5.5016593273342265</v>
      </c>
      <c r="H1900" s="27"/>
    </row>
    <row r="1901" spans="1:8" x14ac:dyDescent="0.25">
      <c r="A1901" s="21">
        <v>1100603</v>
      </c>
      <c r="B1901" s="1">
        <v>45170</v>
      </c>
      <c r="C1901" t="s">
        <v>304</v>
      </c>
      <c r="D1901">
        <v>630</v>
      </c>
      <c r="E1901">
        <v>3438</v>
      </c>
      <c r="F1901" s="15">
        <f>IFERROR(PRD[[#This Row],[VALOR]]/PRD[[#This Row],[KGS]],"")</f>
        <v>5.4571428571428573</v>
      </c>
      <c r="H1901" s="27"/>
    </row>
    <row r="1902" spans="1:8" x14ac:dyDescent="0.25">
      <c r="A1902" s="21">
        <v>1100605</v>
      </c>
      <c r="B1902" s="1">
        <v>45170</v>
      </c>
      <c r="C1902" t="s">
        <v>631</v>
      </c>
      <c r="D1902">
        <v>649</v>
      </c>
      <c r="E1902">
        <v>2141.6999999999998</v>
      </c>
      <c r="F1902" s="15">
        <f>IFERROR(PRD[[#This Row],[VALOR]]/PRD[[#This Row],[KGS]],"")</f>
        <v>3.3</v>
      </c>
      <c r="H1902" s="27"/>
    </row>
    <row r="1903" spans="1:8" x14ac:dyDescent="0.25">
      <c r="A1903" s="21">
        <v>1100608</v>
      </c>
      <c r="B1903" s="1">
        <v>45170</v>
      </c>
      <c r="C1903" t="s">
        <v>349</v>
      </c>
      <c r="D1903">
        <v>10918.76</v>
      </c>
      <c r="E1903">
        <v>38314.07</v>
      </c>
      <c r="F1903" s="15">
        <f>IFERROR(PRD[[#This Row],[VALOR]]/PRD[[#This Row],[KGS]],"")</f>
        <v>3.509012928207965</v>
      </c>
      <c r="H1903" s="27"/>
    </row>
    <row r="1904" spans="1:8" x14ac:dyDescent="0.25">
      <c r="A1904" s="21">
        <v>1100700</v>
      </c>
      <c r="B1904" s="1">
        <v>45170</v>
      </c>
      <c r="C1904" t="s">
        <v>83</v>
      </c>
      <c r="D1904">
        <v>19777.439999999999</v>
      </c>
      <c r="E1904">
        <v>68714.36</v>
      </c>
      <c r="F1904" s="15">
        <f>IFERROR(PRD[[#This Row],[VALOR]]/PRD[[#This Row],[KGS]],"")</f>
        <v>3.4743809107751056</v>
      </c>
      <c r="H1904" s="27"/>
    </row>
    <row r="1905" spans="1:8" x14ac:dyDescent="0.25">
      <c r="A1905" s="21">
        <v>1100701</v>
      </c>
      <c r="B1905" s="1">
        <v>45170</v>
      </c>
      <c r="C1905" t="s">
        <v>84</v>
      </c>
      <c r="D1905">
        <v>257</v>
      </c>
      <c r="E1905">
        <v>1030.79</v>
      </c>
      <c r="F1905" s="15">
        <f>IFERROR(PRD[[#This Row],[VALOR]]/PRD[[#This Row],[KGS]],"")</f>
        <v>4.0108560311284043</v>
      </c>
      <c r="H1905" s="27"/>
    </row>
    <row r="1906" spans="1:8" x14ac:dyDescent="0.25">
      <c r="A1906" s="21">
        <v>1100703</v>
      </c>
      <c r="B1906" s="1">
        <v>45170</v>
      </c>
      <c r="C1906" t="s">
        <v>86</v>
      </c>
      <c r="D1906">
        <v>1287.68</v>
      </c>
      <c r="E1906">
        <v>5252.6</v>
      </c>
      <c r="F1906" s="15">
        <f>IFERROR(PRD[[#This Row],[VALOR]]/PRD[[#This Row],[KGS]],"")</f>
        <v>4.079119035785288</v>
      </c>
      <c r="H1906" s="27"/>
    </row>
    <row r="1907" spans="1:8" x14ac:dyDescent="0.25">
      <c r="A1907" s="21">
        <v>1100705</v>
      </c>
      <c r="B1907" s="1">
        <v>45170</v>
      </c>
      <c r="C1907" t="s">
        <v>88</v>
      </c>
      <c r="D1907">
        <v>149.46</v>
      </c>
      <c r="E1907">
        <v>239.05</v>
      </c>
      <c r="F1907" s="15">
        <f>IFERROR(PRD[[#This Row],[VALOR]]/PRD[[#This Row],[KGS]],"")</f>
        <v>1.5994245952094206</v>
      </c>
      <c r="H1907" s="27"/>
    </row>
    <row r="1908" spans="1:8" x14ac:dyDescent="0.25">
      <c r="A1908" s="21">
        <v>1100706</v>
      </c>
      <c r="B1908" s="1">
        <v>45170</v>
      </c>
      <c r="C1908" t="s">
        <v>305</v>
      </c>
      <c r="D1908">
        <v>7.8</v>
      </c>
      <c r="E1908">
        <v>12.25</v>
      </c>
      <c r="F1908" s="15">
        <f>IFERROR(PRD[[#This Row],[VALOR]]/PRD[[#This Row],[KGS]],"")</f>
        <v>1.5705128205128205</v>
      </c>
      <c r="H1908" s="27"/>
    </row>
    <row r="1909" spans="1:8" x14ac:dyDescent="0.25">
      <c r="A1909" s="21">
        <v>1100707</v>
      </c>
      <c r="B1909" s="1">
        <v>45170</v>
      </c>
      <c r="C1909" t="s">
        <v>686</v>
      </c>
      <c r="D1909">
        <v>23</v>
      </c>
      <c r="E1909">
        <v>93.15</v>
      </c>
      <c r="F1909" s="15">
        <f>IFERROR(PRD[[#This Row],[VALOR]]/PRD[[#This Row],[KGS]],"")</f>
        <v>4.05</v>
      </c>
      <c r="H1909" s="27"/>
    </row>
    <row r="1910" spans="1:8" x14ac:dyDescent="0.25">
      <c r="A1910" s="21">
        <v>1100800</v>
      </c>
      <c r="B1910" s="1">
        <v>45170</v>
      </c>
      <c r="C1910" t="s">
        <v>90</v>
      </c>
      <c r="D1910">
        <v>8872.17</v>
      </c>
      <c r="E1910">
        <v>29344.25</v>
      </c>
      <c r="F1910" s="15">
        <f>IFERROR(PRD[[#This Row],[VALOR]]/PRD[[#This Row],[KGS]],"")</f>
        <v>3.3074490231814764</v>
      </c>
      <c r="H1910" s="27"/>
    </row>
    <row r="1911" spans="1:8" x14ac:dyDescent="0.25">
      <c r="A1911" s="21">
        <v>1100801</v>
      </c>
      <c r="B1911" s="1">
        <v>45170</v>
      </c>
      <c r="C1911" t="s">
        <v>92</v>
      </c>
      <c r="D1911">
        <v>1045</v>
      </c>
      <c r="E1911">
        <v>3570.4</v>
      </c>
      <c r="F1911" s="15">
        <f>IFERROR(PRD[[#This Row],[VALOR]]/PRD[[#This Row],[KGS]],"")</f>
        <v>3.4166507177033494</v>
      </c>
      <c r="H1911" s="27"/>
    </row>
    <row r="1912" spans="1:8" x14ac:dyDescent="0.25">
      <c r="A1912" s="21">
        <v>1100802</v>
      </c>
      <c r="B1912" s="1">
        <v>45170</v>
      </c>
      <c r="C1912" t="s">
        <v>306</v>
      </c>
      <c r="D1912">
        <v>132.9</v>
      </c>
      <c r="E1912">
        <v>432.42</v>
      </c>
      <c r="F1912" s="15">
        <f>IFERROR(PRD[[#This Row],[VALOR]]/PRD[[#This Row],[KGS]],"")</f>
        <v>3.2537246049661399</v>
      </c>
      <c r="H1912" s="27"/>
    </row>
    <row r="1913" spans="1:8" x14ac:dyDescent="0.25">
      <c r="A1913" s="21">
        <v>1100900</v>
      </c>
      <c r="B1913" s="1">
        <v>45170</v>
      </c>
      <c r="C1913" t="s">
        <v>94</v>
      </c>
      <c r="D1913">
        <v>648.26</v>
      </c>
      <c r="E1913">
        <v>3669.83</v>
      </c>
      <c r="F1913" s="15">
        <f>IFERROR(PRD[[#This Row],[VALOR]]/PRD[[#This Row],[KGS]],"")</f>
        <v>5.6610464936908027</v>
      </c>
      <c r="H1913" s="27"/>
    </row>
    <row r="1914" spans="1:8" x14ac:dyDescent="0.25">
      <c r="A1914" s="21">
        <v>1101000</v>
      </c>
      <c r="B1914" s="1">
        <v>45170</v>
      </c>
      <c r="C1914" t="s">
        <v>96</v>
      </c>
      <c r="D1914">
        <v>10309.969999999999</v>
      </c>
      <c r="E1914">
        <v>38782.910000000003</v>
      </c>
      <c r="F1914" s="15">
        <f>IFERROR(PRD[[#This Row],[VALOR]]/PRD[[#This Row],[KGS]],"")</f>
        <v>3.7616898982247289</v>
      </c>
      <c r="H1914" s="27"/>
    </row>
    <row r="1915" spans="1:8" x14ac:dyDescent="0.25">
      <c r="A1915" s="21">
        <v>1101001</v>
      </c>
      <c r="B1915" s="1">
        <v>45170</v>
      </c>
      <c r="C1915" t="s">
        <v>98</v>
      </c>
      <c r="D1915">
        <v>52.4</v>
      </c>
      <c r="E1915">
        <v>248.9</v>
      </c>
      <c r="F1915" s="15">
        <f>IFERROR(PRD[[#This Row],[VALOR]]/PRD[[#This Row],[KGS]],"")</f>
        <v>4.75</v>
      </c>
      <c r="H1915" s="27"/>
    </row>
    <row r="1916" spans="1:8" x14ac:dyDescent="0.25">
      <c r="A1916" s="21">
        <v>1101002</v>
      </c>
      <c r="B1916" s="1">
        <v>45170</v>
      </c>
      <c r="C1916" t="s">
        <v>687</v>
      </c>
      <c r="D1916">
        <v>525.4</v>
      </c>
      <c r="E1916">
        <v>2199.11</v>
      </c>
      <c r="F1916" s="15">
        <f>IFERROR(PRD[[#This Row],[VALOR]]/PRD[[#This Row],[KGS]],"")</f>
        <v>4.1855919299581279</v>
      </c>
      <c r="H1916" s="27"/>
    </row>
    <row r="1917" spans="1:8" x14ac:dyDescent="0.25">
      <c r="A1917" s="21">
        <v>1101100</v>
      </c>
      <c r="B1917" s="1">
        <v>45170</v>
      </c>
      <c r="C1917" t="s">
        <v>100</v>
      </c>
      <c r="D1917">
        <v>43740.6</v>
      </c>
      <c r="E1917">
        <v>149304.25</v>
      </c>
      <c r="F1917" s="15">
        <f>IFERROR(PRD[[#This Row],[VALOR]]/PRD[[#This Row],[KGS]],"")</f>
        <v>3.413401965222242</v>
      </c>
      <c r="H1917" s="27"/>
    </row>
    <row r="1918" spans="1:8" x14ac:dyDescent="0.25">
      <c r="A1918" s="21">
        <v>1101102</v>
      </c>
      <c r="B1918" s="1">
        <v>45170</v>
      </c>
      <c r="C1918" t="s">
        <v>742</v>
      </c>
      <c r="D1918">
        <v>452.6</v>
      </c>
      <c r="E1918">
        <v>1691.14</v>
      </c>
      <c r="F1918" s="15">
        <f>IFERROR(PRD[[#This Row],[VALOR]]/PRD[[#This Row],[KGS]],"")</f>
        <v>3.7365002209456475</v>
      </c>
      <c r="H1918" s="27"/>
    </row>
    <row r="1919" spans="1:8" x14ac:dyDescent="0.25">
      <c r="A1919" s="21">
        <v>1101108</v>
      </c>
      <c r="B1919" s="1">
        <v>45170</v>
      </c>
      <c r="C1919" t="s">
        <v>743</v>
      </c>
      <c r="D1919">
        <v>216.97</v>
      </c>
      <c r="E1919">
        <v>950.97</v>
      </c>
      <c r="F1919" s="15">
        <f>IFERROR(PRD[[#This Row],[VALOR]]/PRD[[#This Row],[KGS]],"")</f>
        <v>4.38295616905563</v>
      </c>
      <c r="H1919" s="27"/>
    </row>
    <row r="1920" spans="1:8" x14ac:dyDescent="0.25">
      <c r="A1920" s="21">
        <v>1101200</v>
      </c>
      <c r="B1920" s="1">
        <v>45170</v>
      </c>
      <c r="C1920" t="s">
        <v>744</v>
      </c>
      <c r="D1920">
        <v>215.4</v>
      </c>
      <c r="E1920">
        <v>798.08</v>
      </c>
      <c r="F1920" s="15">
        <f>IFERROR(PRD[[#This Row],[VALOR]]/PRD[[#This Row],[KGS]],"")</f>
        <v>3.7051067780872797</v>
      </c>
      <c r="H1920" s="27"/>
    </row>
    <row r="1921" spans="1:8" x14ac:dyDescent="0.25">
      <c r="A1921" s="21">
        <v>1101300</v>
      </c>
      <c r="B1921" s="1">
        <v>45170</v>
      </c>
      <c r="C1921" t="s">
        <v>102</v>
      </c>
      <c r="D1921">
        <v>312.10000000000002</v>
      </c>
      <c r="E1921">
        <v>1199.5</v>
      </c>
      <c r="F1921" s="15">
        <f>IFERROR(PRD[[#This Row],[VALOR]]/PRD[[#This Row],[KGS]],"")</f>
        <v>3.8433194488945848</v>
      </c>
      <c r="H1921" s="27"/>
    </row>
    <row r="1922" spans="1:8" x14ac:dyDescent="0.25">
      <c r="A1922" s="21">
        <v>1101400</v>
      </c>
      <c r="B1922" s="1">
        <v>45170</v>
      </c>
      <c r="C1922" t="s">
        <v>104</v>
      </c>
      <c r="D1922">
        <v>13709.71</v>
      </c>
      <c r="E1922">
        <v>38920.47</v>
      </c>
      <c r="F1922" s="15">
        <f>IFERROR(PRD[[#This Row],[VALOR]]/PRD[[#This Row],[KGS]],"")</f>
        <v>2.8388981240303406</v>
      </c>
      <c r="H1922" s="27"/>
    </row>
    <row r="1923" spans="1:8" x14ac:dyDescent="0.25">
      <c r="A1923" s="21">
        <v>1101500</v>
      </c>
      <c r="B1923" s="1">
        <v>45170</v>
      </c>
      <c r="C1923" t="s">
        <v>106</v>
      </c>
      <c r="D1923">
        <v>224.4</v>
      </c>
      <c r="E1923">
        <v>692.63</v>
      </c>
      <c r="F1923" s="15">
        <f>IFERROR(PRD[[#This Row],[VALOR]]/PRD[[#This Row],[KGS]],"")</f>
        <v>3.0865864527629232</v>
      </c>
      <c r="H1923" s="27"/>
    </row>
    <row r="1924" spans="1:8" x14ac:dyDescent="0.25">
      <c r="A1924" s="21">
        <v>1101600</v>
      </c>
      <c r="B1924" s="1">
        <v>45170</v>
      </c>
      <c r="C1924" t="s">
        <v>108</v>
      </c>
      <c r="D1924">
        <v>59.2</v>
      </c>
      <c r="E1924">
        <v>184.28</v>
      </c>
      <c r="F1924" s="15">
        <f>IFERROR(PRD[[#This Row],[VALOR]]/PRD[[#This Row],[KGS]],"")</f>
        <v>3.1128378378378376</v>
      </c>
      <c r="H1924" s="27"/>
    </row>
    <row r="1925" spans="1:8" x14ac:dyDescent="0.25">
      <c r="A1925" s="21">
        <v>1101700</v>
      </c>
      <c r="B1925" s="1">
        <v>45170</v>
      </c>
      <c r="C1925" t="s">
        <v>110</v>
      </c>
      <c r="D1925">
        <v>2026.3</v>
      </c>
      <c r="E1925">
        <v>6010.73</v>
      </c>
      <c r="F1925" s="15">
        <f>IFERROR(PRD[[#This Row],[VALOR]]/PRD[[#This Row],[KGS]],"")</f>
        <v>2.9663574001875337</v>
      </c>
      <c r="H1925" s="27"/>
    </row>
    <row r="1926" spans="1:8" x14ac:dyDescent="0.25">
      <c r="A1926" s="21">
        <v>1101801</v>
      </c>
      <c r="B1926" s="1">
        <v>45170</v>
      </c>
      <c r="C1926" t="s">
        <v>112</v>
      </c>
      <c r="D1926">
        <v>3493.25</v>
      </c>
      <c r="E1926">
        <v>9355.5400000000009</v>
      </c>
      <c r="F1926" s="15">
        <f>IFERROR(PRD[[#This Row],[VALOR]]/PRD[[#This Row],[KGS]],"")</f>
        <v>2.6781764832176345</v>
      </c>
      <c r="H1926" s="27"/>
    </row>
    <row r="1927" spans="1:8" x14ac:dyDescent="0.25">
      <c r="A1927" s="21">
        <v>1101900</v>
      </c>
      <c r="B1927" s="1">
        <v>45170</v>
      </c>
      <c r="C1927" t="s">
        <v>114</v>
      </c>
      <c r="D1927">
        <v>10426.18</v>
      </c>
      <c r="E1927">
        <v>36806.76</v>
      </c>
      <c r="F1927" s="15">
        <f>IFERROR(PRD[[#This Row],[VALOR]]/PRD[[#This Row],[KGS]],"")</f>
        <v>3.5302248762250414</v>
      </c>
      <c r="H1927" s="27"/>
    </row>
    <row r="1928" spans="1:8" x14ac:dyDescent="0.25">
      <c r="A1928" s="21">
        <v>1101901</v>
      </c>
      <c r="B1928" s="1">
        <v>45170</v>
      </c>
      <c r="C1928" t="s">
        <v>448</v>
      </c>
      <c r="D1928">
        <v>983.56</v>
      </c>
      <c r="E1928">
        <v>3293.66</v>
      </c>
      <c r="F1928" s="15">
        <f>IFERROR(PRD[[#This Row],[VALOR]]/PRD[[#This Row],[KGS]],"")</f>
        <v>3.3487128390743828</v>
      </c>
      <c r="H1928" s="27"/>
    </row>
    <row r="1929" spans="1:8" x14ac:dyDescent="0.25">
      <c r="A1929" s="21">
        <v>1101902</v>
      </c>
      <c r="B1929" s="1">
        <v>45170</v>
      </c>
      <c r="C1929" t="s">
        <v>351</v>
      </c>
      <c r="D1929">
        <v>1296.8599999999999</v>
      </c>
      <c r="E1929">
        <v>5457.83</v>
      </c>
      <c r="F1929" s="15">
        <f>IFERROR(PRD[[#This Row],[VALOR]]/PRD[[#This Row],[KGS]],"")</f>
        <v>4.2084959054948108</v>
      </c>
      <c r="H1929" s="27"/>
    </row>
    <row r="1930" spans="1:8" x14ac:dyDescent="0.25">
      <c r="A1930" s="21">
        <v>1101903</v>
      </c>
      <c r="B1930" s="1">
        <v>45170</v>
      </c>
      <c r="C1930" t="s">
        <v>745</v>
      </c>
      <c r="D1930">
        <v>422.72</v>
      </c>
      <c r="E1930">
        <v>1944.54</v>
      </c>
      <c r="F1930" s="15">
        <f>IFERROR(PRD[[#This Row],[VALOR]]/PRD[[#This Row],[KGS]],"")</f>
        <v>4.6000662376987131</v>
      </c>
      <c r="H1930" s="27"/>
    </row>
    <row r="1931" spans="1:8" x14ac:dyDescent="0.25">
      <c r="A1931" s="21">
        <v>1101906</v>
      </c>
      <c r="B1931" s="1">
        <v>45170</v>
      </c>
      <c r="C1931" t="s">
        <v>632</v>
      </c>
      <c r="D1931">
        <v>1311.96</v>
      </c>
      <c r="E1931">
        <v>4329.5</v>
      </c>
      <c r="F1931" s="15">
        <f>IFERROR(PRD[[#This Row],[VALOR]]/PRD[[#This Row],[KGS]],"")</f>
        <v>3.30002439098753</v>
      </c>
      <c r="H1931" s="27"/>
    </row>
    <row r="1932" spans="1:8" x14ac:dyDescent="0.25">
      <c r="A1932" s="21">
        <v>1102000</v>
      </c>
      <c r="B1932" s="1">
        <v>45170</v>
      </c>
      <c r="C1932" t="s">
        <v>115</v>
      </c>
      <c r="D1932">
        <v>75.5</v>
      </c>
      <c r="E1932">
        <v>319.75</v>
      </c>
      <c r="F1932" s="15">
        <f>IFERROR(PRD[[#This Row],[VALOR]]/PRD[[#This Row],[KGS]],"")</f>
        <v>4.2350993377483448</v>
      </c>
      <c r="H1932" s="27"/>
    </row>
    <row r="1933" spans="1:8" x14ac:dyDescent="0.25">
      <c r="A1933" s="21">
        <v>1102200</v>
      </c>
      <c r="B1933" s="1">
        <v>45170</v>
      </c>
      <c r="C1933" t="s">
        <v>117</v>
      </c>
      <c r="D1933">
        <v>125.12</v>
      </c>
      <c r="E1933">
        <v>444.45</v>
      </c>
      <c r="F1933" s="15">
        <f>IFERROR(PRD[[#This Row],[VALOR]]/PRD[[#This Row],[KGS]],"")</f>
        <v>3.5521898976982094</v>
      </c>
      <c r="H1933" s="27"/>
    </row>
    <row r="1934" spans="1:8" x14ac:dyDescent="0.25">
      <c r="A1934" s="21">
        <v>1102300</v>
      </c>
      <c r="B1934" s="1">
        <v>45170</v>
      </c>
      <c r="C1934" t="s">
        <v>119</v>
      </c>
      <c r="D1934">
        <v>5509.19</v>
      </c>
      <c r="E1934">
        <v>17271.84</v>
      </c>
      <c r="F1934" s="15">
        <f>IFERROR(PRD[[#This Row],[VALOR]]/PRD[[#This Row],[KGS]],"")</f>
        <v>3.1350960849054039</v>
      </c>
      <c r="H1934" s="27"/>
    </row>
    <row r="1935" spans="1:8" x14ac:dyDescent="0.25">
      <c r="A1935" s="21">
        <v>1103000</v>
      </c>
      <c r="B1935" s="1">
        <v>45170</v>
      </c>
      <c r="C1935" t="s">
        <v>121</v>
      </c>
      <c r="D1935">
        <v>644.26</v>
      </c>
      <c r="E1935">
        <v>1297.8900000000001</v>
      </c>
      <c r="F1935" s="15">
        <f>IFERROR(PRD[[#This Row],[VALOR]]/PRD[[#This Row],[KGS]],"")</f>
        <v>2.0145438177133457</v>
      </c>
      <c r="H1935" s="27"/>
    </row>
    <row r="1936" spans="1:8" x14ac:dyDescent="0.25">
      <c r="A1936" s="21">
        <v>1103001</v>
      </c>
      <c r="B1936" s="1">
        <v>45170</v>
      </c>
      <c r="C1936" t="s">
        <v>123</v>
      </c>
      <c r="D1936">
        <v>104.76</v>
      </c>
      <c r="E1936">
        <v>220</v>
      </c>
      <c r="F1936" s="15">
        <f>IFERROR(PRD[[#This Row],[VALOR]]/PRD[[#This Row],[KGS]],"")</f>
        <v>2.1000381825124093</v>
      </c>
      <c r="H1936" s="27"/>
    </row>
    <row r="1937" spans="1:8" x14ac:dyDescent="0.25">
      <c r="A1937" s="21">
        <v>2010900</v>
      </c>
      <c r="B1937" s="1">
        <v>45170</v>
      </c>
      <c r="C1937" t="s">
        <v>125</v>
      </c>
      <c r="D1937">
        <v>10</v>
      </c>
      <c r="E1937">
        <v>13</v>
      </c>
      <c r="F1937" s="15">
        <f>IFERROR(PRD[[#This Row],[VALOR]]/PRD[[#This Row],[KGS]],"")</f>
        <v>1.3</v>
      </c>
      <c r="H1937" s="27"/>
    </row>
    <row r="1938" spans="1:8" x14ac:dyDescent="0.25">
      <c r="A1938" s="21">
        <v>2010904</v>
      </c>
      <c r="B1938" s="1">
        <v>45170</v>
      </c>
      <c r="C1938" t="s">
        <v>633</v>
      </c>
      <c r="D1938">
        <v>500</v>
      </c>
      <c r="E1938">
        <v>516</v>
      </c>
      <c r="F1938" s="15">
        <f>IFERROR(PRD[[#This Row],[VALOR]]/PRD[[#This Row],[KGS]],"")</f>
        <v>1.032</v>
      </c>
      <c r="H1938" s="27"/>
    </row>
    <row r="1939" spans="1:8" x14ac:dyDescent="0.25">
      <c r="A1939" s="21">
        <v>2010905</v>
      </c>
      <c r="B1939" s="1">
        <v>45170</v>
      </c>
      <c r="C1939" t="s">
        <v>544</v>
      </c>
      <c r="D1939">
        <v>450</v>
      </c>
      <c r="E1939">
        <v>371</v>
      </c>
      <c r="F1939" s="15">
        <f>IFERROR(PRD[[#This Row],[VALOR]]/PRD[[#This Row],[KGS]],"")</f>
        <v>0.82444444444444442</v>
      </c>
      <c r="H1939" s="27"/>
    </row>
    <row r="1940" spans="1:8" x14ac:dyDescent="0.25">
      <c r="A1940" s="21">
        <v>2011700</v>
      </c>
      <c r="B1940" s="1">
        <v>45170</v>
      </c>
      <c r="C1940" t="s">
        <v>129</v>
      </c>
      <c r="D1940">
        <v>169.88</v>
      </c>
      <c r="E1940">
        <v>410.73</v>
      </c>
      <c r="F1940" s="15">
        <f>IFERROR(PRD[[#This Row],[VALOR]]/PRD[[#This Row],[KGS]],"")</f>
        <v>2.4177654815163647</v>
      </c>
      <c r="H1940" s="27"/>
    </row>
    <row r="1941" spans="1:8" x14ac:dyDescent="0.25">
      <c r="A1941" s="21">
        <v>2090002</v>
      </c>
      <c r="B1941" s="1">
        <v>45170</v>
      </c>
      <c r="C1941" t="s">
        <v>451</v>
      </c>
      <c r="D1941">
        <v>246.15</v>
      </c>
      <c r="E1941">
        <v>1193.58</v>
      </c>
      <c r="F1941" s="15">
        <f>IFERROR(PRD[[#This Row],[VALOR]]/PRD[[#This Row],[KGS]],"")</f>
        <v>4.8489945155393048</v>
      </c>
      <c r="H1941" s="27"/>
    </row>
    <row r="1942" spans="1:8" x14ac:dyDescent="0.25">
      <c r="A1942" s="21">
        <v>2101100</v>
      </c>
      <c r="B1942" s="1">
        <v>45170</v>
      </c>
      <c r="C1942" t="s">
        <v>453</v>
      </c>
      <c r="D1942">
        <v>107</v>
      </c>
      <c r="E1942">
        <v>481.5</v>
      </c>
      <c r="F1942" s="15">
        <f>IFERROR(PRD[[#This Row],[VALOR]]/PRD[[#This Row],[KGS]],"")</f>
        <v>4.5</v>
      </c>
      <c r="H1942" s="27"/>
    </row>
    <row r="1943" spans="1:8" x14ac:dyDescent="0.25">
      <c r="A1943" s="21">
        <v>3020103</v>
      </c>
      <c r="B1943" s="1">
        <v>45170</v>
      </c>
      <c r="C1943" t="s">
        <v>131</v>
      </c>
      <c r="D1943">
        <v>6418.6</v>
      </c>
      <c r="E1943">
        <v>21173.91</v>
      </c>
      <c r="F1943" s="15">
        <f>IFERROR(PRD[[#This Row],[VALOR]]/PRD[[#This Row],[KGS]],"")</f>
        <v>3.2988361948088367</v>
      </c>
      <c r="H1943" s="27"/>
    </row>
    <row r="1944" spans="1:8" x14ac:dyDescent="0.25">
      <c r="A1944" s="21">
        <v>3020212</v>
      </c>
      <c r="B1944" s="1">
        <v>45170</v>
      </c>
      <c r="C1944" t="s">
        <v>133</v>
      </c>
      <c r="D1944">
        <v>1617.58</v>
      </c>
      <c r="E1944">
        <v>5992.38</v>
      </c>
      <c r="F1944" s="15">
        <f>IFERROR(PRD[[#This Row],[VALOR]]/PRD[[#This Row],[KGS]],"")</f>
        <v>3.7045339334066942</v>
      </c>
      <c r="H1944" s="27"/>
    </row>
    <row r="1945" spans="1:8" x14ac:dyDescent="0.25">
      <c r="A1945" s="21">
        <v>3020214</v>
      </c>
      <c r="B1945" s="1">
        <v>45170</v>
      </c>
      <c r="C1945" t="s">
        <v>135</v>
      </c>
      <c r="D1945">
        <v>530.36</v>
      </c>
      <c r="E1945">
        <v>1869.89</v>
      </c>
      <c r="F1945" s="15">
        <f>IFERROR(PRD[[#This Row],[VALOR]]/PRD[[#This Row],[KGS]],"")</f>
        <v>3.5256995248510448</v>
      </c>
      <c r="H1945" s="27"/>
    </row>
    <row r="1946" spans="1:8" x14ac:dyDescent="0.25">
      <c r="A1946" s="21">
        <v>3020315</v>
      </c>
      <c r="B1946" s="1">
        <v>45170</v>
      </c>
      <c r="C1946" t="s">
        <v>137</v>
      </c>
      <c r="D1946">
        <v>2189.29</v>
      </c>
      <c r="E1946">
        <v>7833.71</v>
      </c>
      <c r="F1946" s="15">
        <f>IFERROR(PRD[[#This Row],[VALOR]]/PRD[[#This Row],[KGS]],"")</f>
        <v>3.5781965842807488</v>
      </c>
      <c r="H1946" s="27"/>
    </row>
    <row r="1947" spans="1:8" x14ac:dyDescent="0.25">
      <c r="A1947" s="21">
        <v>3020316</v>
      </c>
      <c r="B1947" s="1">
        <v>45170</v>
      </c>
      <c r="C1947" t="s">
        <v>139</v>
      </c>
      <c r="D1947">
        <v>198.09</v>
      </c>
      <c r="E1947">
        <v>629.92999999999995</v>
      </c>
      <c r="F1947" s="15">
        <f>IFERROR(PRD[[#This Row],[VALOR]]/PRD[[#This Row],[KGS]],"")</f>
        <v>3.1800191831995552</v>
      </c>
      <c r="H1947" s="27"/>
    </row>
    <row r="1948" spans="1:8" x14ac:dyDescent="0.25">
      <c r="A1948" s="21">
        <v>3020402</v>
      </c>
      <c r="B1948" s="1">
        <v>45170</v>
      </c>
      <c r="C1948" t="s">
        <v>141</v>
      </c>
      <c r="D1948">
        <v>1796.82</v>
      </c>
      <c r="E1948">
        <v>6338.28</v>
      </c>
      <c r="F1948" s="15">
        <f>IFERROR(PRD[[#This Row],[VALOR]]/PRD[[#This Row],[KGS]],"")</f>
        <v>3.5274985808261263</v>
      </c>
      <c r="H1948" s="27"/>
    </row>
    <row r="1949" spans="1:8" x14ac:dyDescent="0.25">
      <c r="A1949" s="21">
        <v>3020504</v>
      </c>
      <c r="B1949" s="1">
        <v>45170</v>
      </c>
      <c r="C1949" t="s">
        <v>143</v>
      </c>
      <c r="D1949">
        <v>475.18</v>
      </c>
      <c r="E1949">
        <v>1789.72</v>
      </c>
      <c r="F1949" s="15">
        <f>IFERROR(PRD[[#This Row],[VALOR]]/PRD[[#This Row],[KGS]],"")</f>
        <v>3.7664043099457047</v>
      </c>
      <c r="H1949" s="27"/>
    </row>
    <row r="1950" spans="1:8" x14ac:dyDescent="0.25">
      <c r="A1950" s="21">
        <v>3020622</v>
      </c>
      <c r="B1950" s="1">
        <v>45170</v>
      </c>
      <c r="C1950" t="s">
        <v>145</v>
      </c>
      <c r="D1950">
        <v>5250.44</v>
      </c>
      <c r="E1950">
        <v>18544.28</v>
      </c>
      <c r="F1950" s="15">
        <f>IFERROR(PRD[[#This Row],[VALOR]]/PRD[[#This Row],[KGS]],"")</f>
        <v>3.5319477986606835</v>
      </c>
      <c r="H1950" s="27"/>
    </row>
    <row r="1951" spans="1:8" x14ac:dyDescent="0.25">
      <c r="A1951" s="21">
        <v>3020623</v>
      </c>
      <c r="B1951" s="1">
        <v>45170</v>
      </c>
      <c r="C1951" t="s">
        <v>147</v>
      </c>
      <c r="D1951">
        <v>675.46</v>
      </c>
      <c r="E1951">
        <v>2621.34</v>
      </c>
      <c r="F1951" s="15">
        <f>IFERROR(PRD[[#This Row],[VALOR]]/PRD[[#This Row],[KGS]],"")</f>
        <v>3.8808219583691113</v>
      </c>
      <c r="H1951" s="27"/>
    </row>
    <row r="1952" spans="1:8" x14ac:dyDescent="0.25">
      <c r="A1952" s="21">
        <v>3020725</v>
      </c>
      <c r="B1952" s="1">
        <v>45170</v>
      </c>
      <c r="C1952" t="s">
        <v>149</v>
      </c>
      <c r="D1952">
        <v>423.83</v>
      </c>
      <c r="E1952">
        <v>1609.4</v>
      </c>
      <c r="F1952" s="15">
        <f>IFERROR(PRD[[#This Row],[VALOR]]/PRD[[#This Row],[KGS]],"")</f>
        <v>3.7972772102022039</v>
      </c>
      <c r="H1952" s="27"/>
    </row>
    <row r="1953" spans="1:8" x14ac:dyDescent="0.25">
      <c r="A1953" s="21">
        <v>3020823</v>
      </c>
      <c r="B1953" s="1">
        <v>45170</v>
      </c>
      <c r="C1953" t="s">
        <v>151</v>
      </c>
      <c r="D1953">
        <v>1594.52</v>
      </c>
      <c r="E1953">
        <v>6014.7</v>
      </c>
      <c r="F1953" s="15">
        <f>IFERROR(PRD[[#This Row],[VALOR]]/PRD[[#This Row],[KGS]],"")</f>
        <v>3.7721069663597824</v>
      </c>
      <c r="H1953" s="27"/>
    </row>
    <row r="1954" spans="1:8" x14ac:dyDescent="0.25">
      <c r="A1954" s="21">
        <v>3020824</v>
      </c>
      <c r="B1954" s="1">
        <v>45170</v>
      </c>
      <c r="C1954" t="s">
        <v>153</v>
      </c>
      <c r="D1954">
        <v>1895</v>
      </c>
      <c r="E1954">
        <v>7052.57</v>
      </c>
      <c r="F1954" s="15">
        <f>IFERROR(PRD[[#This Row],[VALOR]]/PRD[[#This Row],[KGS]],"")</f>
        <v>3.7216728232189973</v>
      </c>
      <c r="H1954" s="27"/>
    </row>
    <row r="1955" spans="1:8" x14ac:dyDescent="0.25">
      <c r="A1955" s="21">
        <v>3020825</v>
      </c>
      <c r="B1955" s="1">
        <v>45170</v>
      </c>
      <c r="C1955" t="s">
        <v>455</v>
      </c>
      <c r="D1955">
        <v>549.70000000000005</v>
      </c>
      <c r="E1955">
        <v>2253.7600000000002</v>
      </c>
      <c r="F1955" s="15">
        <f>IFERROR(PRD[[#This Row],[VALOR]]/PRD[[#This Row],[KGS]],"")</f>
        <v>4.0999818082590505</v>
      </c>
      <c r="H1955" s="27"/>
    </row>
    <row r="1956" spans="1:8" x14ac:dyDescent="0.25">
      <c r="A1956" s="21">
        <v>3020924</v>
      </c>
      <c r="B1956" s="1">
        <v>45170</v>
      </c>
      <c r="C1956" t="s">
        <v>155</v>
      </c>
      <c r="D1956">
        <v>1323.61</v>
      </c>
      <c r="E1956">
        <v>5060.58</v>
      </c>
      <c r="F1956" s="15">
        <f>IFERROR(PRD[[#This Row],[VALOR]]/PRD[[#This Row],[KGS]],"")</f>
        <v>3.8233165358375958</v>
      </c>
      <c r="H1956" s="27"/>
    </row>
    <row r="1957" spans="1:8" x14ac:dyDescent="0.25">
      <c r="A1957" s="21">
        <v>3020925</v>
      </c>
      <c r="B1957" s="1">
        <v>45170</v>
      </c>
      <c r="C1957" t="s">
        <v>157</v>
      </c>
      <c r="D1957">
        <v>1910.32</v>
      </c>
      <c r="E1957">
        <v>7296.08</v>
      </c>
      <c r="F1957" s="15">
        <f>IFERROR(PRD[[#This Row],[VALOR]]/PRD[[#This Row],[KGS]],"")</f>
        <v>3.8192972905063027</v>
      </c>
      <c r="H1957" s="27"/>
    </row>
    <row r="1958" spans="1:8" x14ac:dyDescent="0.25">
      <c r="A1958" s="21">
        <v>3021435</v>
      </c>
      <c r="B1958" s="1">
        <v>45170</v>
      </c>
      <c r="C1958" t="s">
        <v>159</v>
      </c>
      <c r="D1958">
        <v>11.14</v>
      </c>
      <c r="E1958">
        <v>35.090000000000003</v>
      </c>
      <c r="F1958" s="15">
        <f>IFERROR(PRD[[#This Row],[VALOR]]/PRD[[#This Row],[KGS]],"")</f>
        <v>3.1499102333931779</v>
      </c>
      <c r="H1958" s="27"/>
    </row>
    <row r="1959" spans="1:8" x14ac:dyDescent="0.25">
      <c r="A1959" s="21">
        <v>3021436</v>
      </c>
      <c r="B1959" s="1">
        <v>45170</v>
      </c>
      <c r="C1959" t="s">
        <v>546</v>
      </c>
      <c r="D1959">
        <v>388.96</v>
      </c>
      <c r="E1959">
        <v>1269.6300000000001</v>
      </c>
      <c r="F1959" s="15">
        <f>IFERROR(PRD[[#This Row],[VALOR]]/PRD[[#This Row],[KGS]],"")</f>
        <v>3.2641659810777464</v>
      </c>
      <c r="H1959" s="27"/>
    </row>
    <row r="1960" spans="1:8" x14ac:dyDescent="0.25">
      <c r="A1960" s="21">
        <v>3021538</v>
      </c>
      <c r="B1960" s="1">
        <v>45170</v>
      </c>
      <c r="C1960" t="s">
        <v>548</v>
      </c>
      <c r="D1960">
        <v>34.43</v>
      </c>
      <c r="E1960">
        <v>110.93</v>
      </c>
      <c r="F1960" s="15">
        <f>IFERROR(PRD[[#This Row],[VALOR]]/PRD[[#This Row],[KGS]],"")</f>
        <v>3.2218995062445543</v>
      </c>
      <c r="H1960" s="27"/>
    </row>
    <row r="1961" spans="1:8" x14ac:dyDescent="0.25">
      <c r="A1961" s="21">
        <v>3021639</v>
      </c>
      <c r="B1961" s="1">
        <v>45170</v>
      </c>
      <c r="C1961" t="s">
        <v>457</v>
      </c>
      <c r="D1961">
        <v>22.64</v>
      </c>
      <c r="E1961">
        <v>69.92</v>
      </c>
      <c r="F1961" s="15">
        <f>IFERROR(PRD[[#This Row],[VALOR]]/PRD[[#This Row],[KGS]],"")</f>
        <v>3.0883392226148412</v>
      </c>
      <c r="H1961" s="27"/>
    </row>
    <row r="1962" spans="1:8" x14ac:dyDescent="0.25">
      <c r="A1962" s="21">
        <v>3021739</v>
      </c>
      <c r="B1962" s="1">
        <v>45170</v>
      </c>
      <c r="C1962" t="s">
        <v>165</v>
      </c>
      <c r="D1962">
        <v>2.89</v>
      </c>
      <c r="E1962">
        <v>16.21</v>
      </c>
      <c r="F1962" s="15">
        <f>IFERROR(PRD[[#This Row],[VALOR]]/PRD[[#This Row],[KGS]],"")</f>
        <v>5.608996539792388</v>
      </c>
      <c r="H1962" s="27"/>
    </row>
    <row r="1963" spans="1:8" x14ac:dyDescent="0.25">
      <c r="A1963" s="21">
        <v>3021740</v>
      </c>
      <c r="B1963" s="1">
        <v>45170</v>
      </c>
      <c r="C1963" t="s">
        <v>459</v>
      </c>
      <c r="D1963">
        <v>118.92</v>
      </c>
      <c r="E1963">
        <v>57.64</v>
      </c>
      <c r="F1963" s="15">
        <f>IFERROR(PRD[[#This Row],[VALOR]]/PRD[[#This Row],[KGS]],"")</f>
        <v>0.48469559367642112</v>
      </c>
      <c r="H1963" s="27"/>
    </row>
    <row r="1964" spans="1:8" x14ac:dyDescent="0.25">
      <c r="A1964" s="21">
        <v>3021760</v>
      </c>
      <c r="B1964" s="1">
        <v>45170</v>
      </c>
      <c r="C1964" t="s">
        <v>167</v>
      </c>
      <c r="D1964">
        <v>2090.17</v>
      </c>
      <c r="E1964">
        <v>4832.07</v>
      </c>
      <c r="F1964" s="15">
        <f>IFERROR(PRD[[#This Row],[VALOR]]/PRD[[#This Row],[KGS]],"")</f>
        <v>2.3118071735791825</v>
      </c>
      <c r="H1964" s="27"/>
    </row>
    <row r="1965" spans="1:8" x14ac:dyDescent="0.25">
      <c r="A1965" s="21">
        <v>3021811</v>
      </c>
      <c r="B1965" s="1">
        <v>45170</v>
      </c>
      <c r="C1965" t="s">
        <v>169</v>
      </c>
      <c r="D1965">
        <v>920.43</v>
      </c>
      <c r="E1965">
        <v>2077.36</v>
      </c>
      <c r="F1965" s="15">
        <f>IFERROR(PRD[[#This Row],[VALOR]]/PRD[[#This Row],[KGS]],"")</f>
        <v>2.2569451234748978</v>
      </c>
      <c r="H1965" s="27"/>
    </row>
    <row r="1966" spans="1:8" x14ac:dyDescent="0.25">
      <c r="A1966" s="21">
        <v>3021812</v>
      </c>
      <c r="B1966" s="1">
        <v>45170</v>
      </c>
      <c r="C1966" t="s">
        <v>171</v>
      </c>
      <c r="D1966">
        <v>875.53</v>
      </c>
      <c r="E1966">
        <v>1843.93</v>
      </c>
      <c r="F1966" s="15">
        <f>IFERROR(PRD[[#This Row],[VALOR]]/PRD[[#This Row],[KGS]],"")</f>
        <v>2.1060728929905315</v>
      </c>
      <c r="H1966" s="27"/>
    </row>
    <row r="1967" spans="1:8" x14ac:dyDescent="0.25">
      <c r="A1967" s="21">
        <v>3022100</v>
      </c>
      <c r="B1967" s="1">
        <v>45170</v>
      </c>
      <c r="C1967" t="s">
        <v>173</v>
      </c>
      <c r="D1967">
        <v>72.709999999999994</v>
      </c>
      <c r="E1967">
        <v>278.17</v>
      </c>
      <c r="F1967" s="15">
        <f>IFERROR(PRD[[#This Row],[VALOR]]/PRD[[#This Row],[KGS]],"")</f>
        <v>3.8257461147022425</v>
      </c>
      <c r="H1967" s="27"/>
    </row>
    <row r="1968" spans="1:8" x14ac:dyDescent="0.25">
      <c r="A1968" s="21">
        <v>3022208</v>
      </c>
      <c r="B1968" s="1">
        <v>45170</v>
      </c>
      <c r="C1968" t="s">
        <v>307</v>
      </c>
      <c r="D1968">
        <v>259.88</v>
      </c>
      <c r="E1968">
        <v>973.01</v>
      </c>
      <c r="F1968" s="15">
        <f>IFERROR(PRD[[#This Row],[VALOR]]/PRD[[#This Row],[KGS]],"")</f>
        <v>3.7440741880868091</v>
      </c>
      <c r="H1968" s="27"/>
    </row>
    <row r="1969" spans="1:8" x14ac:dyDescent="0.25">
      <c r="A1969" s="21">
        <v>3022311</v>
      </c>
      <c r="B1969" s="1">
        <v>45170</v>
      </c>
      <c r="C1969" t="s">
        <v>176</v>
      </c>
      <c r="D1969">
        <v>2567.88</v>
      </c>
      <c r="E1969">
        <v>6143.59</v>
      </c>
      <c r="F1969" s="15">
        <f>IFERROR(PRD[[#This Row],[VALOR]]/PRD[[#This Row],[KGS]],"")</f>
        <v>2.3924755050859075</v>
      </c>
      <c r="H1969" s="27"/>
    </row>
    <row r="1970" spans="1:8" x14ac:dyDescent="0.25">
      <c r="A1970" s="21">
        <v>3022411</v>
      </c>
      <c r="B1970" s="1">
        <v>45170</v>
      </c>
      <c r="C1970" t="s">
        <v>178</v>
      </c>
      <c r="D1970">
        <v>76.819999999999993</v>
      </c>
      <c r="E1970">
        <v>204.14</v>
      </c>
      <c r="F1970" s="15">
        <f>IFERROR(PRD[[#This Row],[VALOR]]/PRD[[#This Row],[KGS]],"")</f>
        <v>2.6573808903931266</v>
      </c>
      <c r="H1970" s="27"/>
    </row>
    <row r="1971" spans="1:8" x14ac:dyDescent="0.25">
      <c r="A1971" s="21">
        <v>3022511</v>
      </c>
      <c r="B1971" s="1">
        <v>45170</v>
      </c>
      <c r="C1971" t="s">
        <v>180</v>
      </c>
      <c r="D1971">
        <v>2.9</v>
      </c>
      <c r="E1971">
        <v>7.39</v>
      </c>
      <c r="F1971" s="15">
        <f>IFERROR(PRD[[#This Row],[VALOR]]/PRD[[#This Row],[KGS]],"")</f>
        <v>2.5482758620689654</v>
      </c>
      <c r="H1971" s="27"/>
    </row>
    <row r="1972" spans="1:8" x14ac:dyDescent="0.25">
      <c r="A1972" s="21">
        <v>3022601</v>
      </c>
      <c r="B1972" s="1">
        <v>45170</v>
      </c>
      <c r="C1972" t="s">
        <v>182</v>
      </c>
      <c r="D1972">
        <v>361.75</v>
      </c>
      <c r="E1972">
        <v>1437.81</v>
      </c>
      <c r="F1972" s="15">
        <f>IFERROR(PRD[[#This Row],[VALOR]]/PRD[[#This Row],[KGS]],"")</f>
        <v>3.9745957152729785</v>
      </c>
      <c r="H1972" s="27"/>
    </row>
    <row r="1973" spans="1:8" x14ac:dyDescent="0.25">
      <c r="A1973" s="21">
        <v>3022703</v>
      </c>
      <c r="B1973" s="1">
        <v>45170</v>
      </c>
      <c r="C1973" t="s">
        <v>309</v>
      </c>
      <c r="D1973">
        <v>792</v>
      </c>
      <c r="E1973">
        <v>2184.0500000000002</v>
      </c>
      <c r="F1973" s="15">
        <f>IFERROR(PRD[[#This Row],[VALOR]]/PRD[[#This Row],[KGS]],"")</f>
        <v>2.7576388888888892</v>
      </c>
      <c r="H1973" s="27"/>
    </row>
    <row r="1974" spans="1:8" x14ac:dyDescent="0.25">
      <c r="A1974" s="21">
        <v>3022805</v>
      </c>
      <c r="B1974" s="1">
        <v>45170</v>
      </c>
      <c r="C1974" t="s">
        <v>186</v>
      </c>
      <c r="D1974">
        <v>2480</v>
      </c>
      <c r="E1974">
        <v>5227.95</v>
      </c>
      <c r="F1974" s="15">
        <f>IFERROR(PRD[[#This Row],[VALOR]]/PRD[[#This Row],[KGS]],"")</f>
        <v>2.1080443548387096</v>
      </c>
      <c r="H1974" s="27"/>
    </row>
    <row r="1975" spans="1:8" x14ac:dyDescent="0.25">
      <c r="A1975" s="21">
        <v>3022906</v>
      </c>
      <c r="B1975" s="1">
        <v>45170</v>
      </c>
      <c r="C1975" t="s">
        <v>188</v>
      </c>
      <c r="D1975">
        <v>3610</v>
      </c>
      <c r="E1975">
        <v>7444.85</v>
      </c>
      <c r="F1975" s="15">
        <f>IFERROR(PRD[[#This Row],[VALOR]]/PRD[[#This Row],[KGS]],"")</f>
        <v>2.0622853185595571</v>
      </c>
      <c r="H1975" s="27"/>
    </row>
    <row r="1976" spans="1:8" x14ac:dyDescent="0.25">
      <c r="A1976" s="21">
        <v>3023007</v>
      </c>
      <c r="B1976" s="1">
        <v>45170</v>
      </c>
      <c r="C1976" t="s">
        <v>190</v>
      </c>
      <c r="D1976">
        <v>860</v>
      </c>
      <c r="E1976">
        <v>1739.8</v>
      </c>
      <c r="F1976" s="15">
        <f>IFERROR(PRD[[#This Row],[VALOR]]/PRD[[#This Row],[KGS]],"")</f>
        <v>2.0230232558139534</v>
      </c>
      <c r="H1976" s="27"/>
    </row>
    <row r="1977" spans="1:8" x14ac:dyDescent="0.25">
      <c r="A1977" s="21">
        <v>3024001</v>
      </c>
      <c r="B1977" s="1">
        <v>45170</v>
      </c>
      <c r="C1977" t="s">
        <v>192</v>
      </c>
      <c r="D1977">
        <v>1558.64</v>
      </c>
      <c r="E1977">
        <v>5943.29</v>
      </c>
      <c r="F1977" s="15">
        <f>IFERROR(PRD[[#This Row],[VALOR]]/PRD[[#This Row],[KGS]],"")</f>
        <v>3.8131255453472255</v>
      </c>
      <c r="H1977" s="27"/>
    </row>
    <row r="1978" spans="1:8" x14ac:dyDescent="0.25">
      <c r="A1978" s="21">
        <v>3024003</v>
      </c>
      <c r="B1978" s="1">
        <v>45170</v>
      </c>
      <c r="C1978" t="s">
        <v>196</v>
      </c>
      <c r="D1978">
        <v>337.48</v>
      </c>
      <c r="E1978">
        <v>954.76</v>
      </c>
      <c r="F1978" s="15">
        <f>IFERROR(PRD[[#This Row],[VALOR]]/PRD[[#This Row],[KGS]],"")</f>
        <v>2.8290861680692188</v>
      </c>
      <c r="H1978" s="27"/>
    </row>
    <row r="1979" spans="1:8" x14ac:dyDescent="0.25">
      <c r="A1979" s="21">
        <v>3024004</v>
      </c>
      <c r="B1979" s="1">
        <v>45170</v>
      </c>
      <c r="C1979" t="s">
        <v>198</v>
      </c>
      <c r="D1979">
        <v>1345.96</v>
      </c>
      <c r="E1979">
        <v>1354.21</v>
      </c>
      <c r="F1979" s="15">
        <f>IFERROR(PRD[[#This Row],[VALOR]]/PRD[[#This Row],[KGS]],"")</f>
        <v>1.0061294540699575</v>
      </c>
      <c r="H1979" s="27"/>
    </row>
    <row r="1980" spans="1:8" x14ac:dyDescent="0.25">
      <c r="A1980" s="21">
        <v>4030100</v>
      </c>
      <c r="B1980" s="1">
        <v>45170</v>
      </c>
      <c r="C1980" t="s">
        <v>200</v>
      </c>
      <c r="D1980">
        <v>446.97</v>
      </c>
      <c r="E1980">
        <v>2736.73</v>
      </c>
      <c r="F1980" s="15">
        <f>IFERROR(PRD[[#This Row],[VALOR]]/PRD[[#This Row],[KGS]],"")</f>
        <v>6.1228494082376894</v>
      </c>
      <c r="H1980" s="27"/>
    </row>
    <row r="1981" spans="1:8" x14ac:dyDescent="0.25">
      <c r="A1981" s="21">
        <v>4030211</v>
      </c>
      <c r="B1981" s="1">
        <v>45170</v>
      </c>
      <c r="C1981" t="s">
        <v>202</v>
      </c>
      <c r="D1981">
        <v>658.66</v>
      </c>
      <c r="E1981">
        <v>3836.01</v>
      </c>
      <c r="F1981" s="15">
        <f>IFERROR(PRD[[#This Row],[VALOR]]/PRD[[#This Row],[KGS]],"")</f>
        <v>5.8239607688336932</v>
      </c>
      <c r="H1981" s="27"/>
    </row>
    <row r="1982" spans="1:8" x14ac:dyDescent="0.25">
      <c r="A1982" s="21">
        <v>4030311</v>
      </c>
      <c r="B1982" s="1">
        <v>45170</v>
      </c>
      <c r="C1982" t="s">
        <v>311</v>
      </c>
      <c r="D1982">
        <v>262.89</v>
      </c>
      <c r="E1982">
        <v>1760.45</v>
      </c>
      <c r="F1982" s="15">
        <f>IFERROR(PRD[[#This Row],[VALOR]]/PRD[[#This Row],[KGS]],"")</f>
        <v>6.6965270645517139</v>
      </c>
      <c r="H1982" s="27"/>
    </row>
    <row r="1983" spans="1:8" x14ac:dyDescent="0.25">
      <c r="A1983" s="21">
        <v>4030401</v>
      </c>
      <c r="B1983" s="1">
        <v>45170</v>
      </c>
      <c r="C1983" t="s">
        <v>461</v>
      </c>
      <c r="D1983">
        <v>345.7</v>
      </c>
      <c r="E1983">
        <v>1777.3</v>
      </c>
      <c r="F1983" s="15">
        <f>IFERROR(PRD[[#This Row],[VALOR]]/PRD[[#This Row],[KGS]],"")</f>
        <v>5.1411628579693378</v>
      </c>
      <c r="H1983" s="27"/>
    </row>
    <row r="1984" spans="1:8" x14ac:dyDescent="0.25">
      <c r="A1984" s="21">
        <v>4030511</v>
      </c>
      <c r="B1984" s="1">
        <v>45170</v>
      </c>
      <c r="C1984" t="s">
        <v>208</v>
      </c>
      <c r="D1984">
        <v>14.9</v>
      </c>
      <c r="E1984">
        <v>91.64</v>
      </c>
      <c r="F1984" s="15">
        <f>IFERROR(PRD[[#This Row],[VALOR]]/PRD[[#This Row],[KGS]],"")</f>
        <v>6.1503355704697986</v>
      </c>
      <c r="H1984" s="27"/>
    </row>
    <row r="1985" spans="1:8" x14ac:dyDescent="0.25">
      <c r="A1985" s="21">
        <v>4030532</v>
      </c>
      <c r="B1985" s="1">
        <v>45170</v>
      </c>
      <c r="C1985" t="s">
        <v>210</v>
      </c>
      <c r="D1985">
        <v>200</v>
      </c>
      <c r="E1985">
        <v>1060</v>
      </c>
      <c r="F1985" s="15">
        <f>IFERROR(PRD[[#This Row],[VALOR]]/PRD[[#This Row],[KGS]],"")</f>
        <v>5.3</v>
      </c>
      <c r="H1985" s="27"/>
    </row>
    <row r="1986" spans="1:8" x14ac:dyDescent="0.25">
      <c r="A1986" s="21">
        <v>4030600</v>
      </c>
      <c r="B1986" s="1">
        <v>45170</v>
      </c>
      <c r="C1986" t="s">
        <v>212</v>
      </c>
      <c r="D1986">
        <v>840.34</v>
      </c>
      <c r="E1986">
        <v>2648.37</v>
      </c>
      <c r="F1986" s="15">
        <f>IFERROR(PRD[[#This Row],[VALOR]]/PRD[[#This Row],[KGS]],"")</f>
        <v>3.1515458028893066</v>
      </c>
      <c r="H1986" s="27"/>
    </row>
    <row r="1987" spans="1:8" x14ac:dyDescent="0.25">
      <c r="A1987" s="21">
        <v>4030711</v>
      </c>
      <c r="B1987" s="1">
        <v>45170</v>
      </c>
      <c r="C1987" t="s">
        <v>214</v>
      </c>
      <c r="D1987">
        <v>1565.91</v>
      </c>
      <c r="E1987">
        <v>5226.05</v>
      </c>
      <c r="F1987" s="15">
        <f>IFERROR(PRD[[#This Row],[VALOR]]/PRD[[#This Row],[KGS]],"")</f>
        <v>3.3373884833738847</v>
      </c>
      <c r="H1987" s="27"/>
    </row>
    <row r="1988" spans="1:8" x14ac:dyDescent="0.25">
      <c r="A1988" s="21">
        <v>4030811</v>
      </c>
      <c r="B1988" s="1">
        <v>45170</v>
      </c>
      <c r="C1988" t="s">
        <v>216</v>
      </c>
      <c r="D1988">
        <v>1891.56</v>
      </c>
      <c r="E1988">
        <v>5948.28</v>
      </c>
      <c r="F1988" s="15">
        <f>IFERROR(PRD[[#This Row],[VALOR]]/PRD[[#This Row],[KGS]],"")</f>
        <v>3.1446425172873185</v>
      </c>
      <c r="H1988" s="27"/>
    </row>
    <row r="1989" spans="1:8" x14ac:dyDescent="0.25">
      <c r="A1989" s="21">
        <v>4030813</v>
      </c>
      <c r="B1989" s="1">
        <v>45170</v>
      </c>
      <c r="C1989" t="s">
        <v>218</v>
      </c>
      <c r="D1989">
        <v>3604.25</v>
      </c>
      <c r="E1989">
        <v>10798.12</v>
      </c>
      <c r="F1989" s="15">
        <f>IFERROR(PRD[[#This Row],[VALOR]]/PRD[[#This Row],[KGS]],"")</f>
        <v>2.9959409031005064</v>
      </c>
      <c r="H1989" s="27"/>
    </row>
    <row r="1990" spans="1:8" x14ac:dyDescent="0.25">
      <c r="A1990" s="21">
        <v>4030900</v>
      </c>
      <c r="B1990" s="1">
        <v>45170</v>
      </c>
      <c r="C1990" t="s">
        <v>220</v>
      </c>
      <c r="D1990">
        <v>5794.33</v>
      </c>
      <c r="E1990">
        <v>17446.560000000001</v>
      </c>
      <c r="F1990" s="15">
        <f>IFERROR(PRD[[#This Row],[VALOR]]/PRD[[#This Row],[KGS]],"")</f>
        <v>3.0109710699942878</v>
      </c>
      <c r="H1990" s="27"/>
    </row>
    <row r="1991" spans="1:8" x14ac:dyDescent="0.25">
      <c r="A1991" s="21">
        <v>4030910</v>
      </c>
      <c r="B1991" s="1">
        <v>45170</v>
      </c>
      <c r="C1991" t="s">
        <v>222</v>
      </c>
      <c r="D1991">
        <v>163.72999999999999</v>
      </c>
      <c r="E1991">
        <v>521.14</v>
      </c>
      <c r="F1991" s="15">
        <f>IFERROR(PRD[[#This Row],[VALOR]]/PRD[[#This Row],[KGS]],"")</f>
        <v>3.1829231051120748</v>
      </c>
      <c r="H1991" s="27"/>
    </row>
    <row r="1992" spans="1:8" x14ac:dyDescent="0.25">
      <c r="A1992" s="21">
        <v>4031012</v>
      </c>
      <c r="B1992" s="1">
        <v>45170</v>
      </c>
      <c r="C1992" t="s">
        <v>224</v>
      </c>
      <c r="D1992">
        <v>900.88</v>
      </c>
      <c r="E1992">
        <v>2812.94</v>
      </c>
      <c r="F1992" s="15">
        <f>IFERROR(PRD[[#This Row],[VALOR]]/PRD[[#This Row],[KGS]],"")</f>
        <v>3.1224358405114998</v>
      </c>
      <c r="H1992" s="27"/>
    </row>
    <row r="1993" spans="1:8" x14ac:dyDescent="0.25">
      <c r="A1993" s="21">
        <v>4031017</v>
      </c>
      <c r="B1993" s="1">
        <v>45170</v>
      </c>
      <c r="C1993" t="s">
        <v>226</v>
      </c>
      <c r="D1993">
        <v>2238</v>
      </c>
      <c r="E1993">
        <v>1487.58</v>
      </c>
      <c r="F1993" s="15">
        <f>IFERROR(PRD[[#This Row],[VALOR]]/PRD[[#This Row],[KGS]],"")</f>
        <v>0.66469168900804287</v>
      </c>
      <c r="H1993" s="27"/>
    </row>
    <row r="1994" spans="1:8" x14ac:dyDescent="0.25">
      <c r="A1994" s="21">
        <v>4031102</v>
      </c>
      <c r="B1994" s="1">
        <v>45170</v>
      </c>
      <c r="C1994" t="s">
        <v>228</v>
      </c>
      <c r="D1994">
        <v>8986.73</v>
      </c>
      <c r="E1994">
        <v>26353.82</v>
      </c>
      <c r="F1994" s="15">
        <f>IFERROR(PRD[[#This Row],[VALOR]]/PRD[[#This Row],[KGS]],"")</f>
        <v>2.9325260689928374</v>
      </c>
      <c r="H1994" s="27"/>
    </row>
    <row r="1995" spans="1:8" x14ac:dyDescent="0.25">
      <c r="A1995" s="21">
        <v>4031200</v>
      </c>
      <c r="B1995" s="1">
        <v>45170</v>
      </c>
      <c r="C1995" t="s">
        <v>230</v>
      </c>
      <c r="D1995">
        <v>1180.82</v>
      </c>
      <c r="E1995">
        <v>3533.42</v>
      </c>
      <c r="F1995" s="15">
        <f>IFERROR(PRD[[#This Row],[VALOR]]/PRD[[#This Row],[KGS]],"")</f>
        <v>2.9923443031113974</v>
      </c>
      <c r="H1995" s="27"/>
    </row>
    <row r="1996" spans="1:8" x14ac:dyDescent="0.25">
      <c r="A1996" s="21">
        <v>4031304</v>
      </c>
      <c r="B1996" s="1">
        <v>45170</v>
      </c>
      <c r="C1996" t="s">
        <v>232</v>
      </c>
      <c r="D1996">
        <v>989.29</v>
      </c>
      <c r="E1996">
        <v>2886.42</v>
      </c>
      <c r="F1996" s="15">
        <f>IFERROR(PRD[[#This Row],[VALOR]]/PRD[[#This Row],[KGS]],"")</f>
        <v>2.9176682267080434</v>
      </c>
      <c r="H1996" s="27"/>
    </row>
    <row r="1997" spans="1:8" x14ac:dyDescent="0.25">
      <c r="A1997" s="21">
        <v>4031411</v>
      </c>
      <c r="B1997" s="1">
        <v>45170</v>
      </c>
      <c r="C1997" t="s">
        <v>234</v>
      </c>
      <c r="D1997">
        <v>36.93</v>
      </c>
      <c r="E1997">
        <v>109.16</v>
      </c>
      <c r="F1997" s="15">
        <f>IFERROR(PRD[[#This Row],[VALOR]]/PRD[[#This Row],[KGS]],"")</f>
        <v>2.9558624424587054</v>
      </c>
      <c r="H1997" s="27"/>
    </row>
    <row r="1998" spans="1:8" x14ac:dyDescent="0.25">
      <c r="A1998" s="21">
        <v>4031500</v>
      </c>
      <c r="B1998" s="1">
        <v>45170</v>
      </c>
      <c r="C1998" t="s">
        <v>236</v>
      </c>
      <c r="D1998">
        <v>5990.75</v>
      </c>
      <c r="E1998">
        <v>16831.68</v>
      </c>
      <c r="F1998" s="15">
        <f>IFERROR(PRD[[#This Row],[VALOR]]/PRD[[#This Row],[KGS]],"")</f>
        <v>2.8096114843717399</v>
      </c>
      <c r="H1998" s="27"/>
    </row>
    <row r="1999" spans="1:8" x14ac:dyDescent="0.25">
      <c r="A1999" s="21">
        <v>4031604</v>
      </c>
      <c r="B1999" s="1">
        <v>45170</v>
      </c>
      <c r="C1999" t="s">
        <v>238</v>
      </c>
      <c r="D1999">
        <v>5326.83</v>
      </c>
      <c r="E1999">
        <v>14616.09</v>
      </c>
      <c r="F1999" s="15">
        <f>IFERROR(PRD[[#This Row],[VALOR]]/PRD[[#This Row],[KGS]],"")</f>
        <v>2.7438626725463364</v>
      </c>
      <c r="H1999" s="27"/>
    </row>
    <row r="2000" spans="1:8" x14ac:dyDescent="0.25">
      <c r="A2000" s="21">
        <v>4031605</v>
      </c>
      <c r="B2000" s="1">
        <v>45170</v>
      </c>
      <c r="C2000" t="s">
        <v>240</v>
      </c>
      <c r="D2000">
        <v>73.930000000000007</v>
      </c>
      <c r="E2000">
        <v>238.92</v>
      </c>
      <c r="F2000" s="15">
        <f>IFERROR(PRD[[#This Row],[VALOR]]/PRD[[#This Row],[KGS]],"")</f>
        <v>3.2317056675233324</v>
      </c>
      <c r="H2000" s="27"/>
    </row>
    <row r="2001" spans="1:8" x14ac:dyDescent="0.25">
      <c r="A2001" s="21">
        <v>4031700</v>
      </c>
      <c r="B2001" s="1">
        <v>45170</v>
      </c>
      <c r="C2001" t="s">
        <v>242</v>
      </c>
      <c r="D2001">
        <v>819.1</v>
      </c>
      <c r="E2001">
        <v>2409.92</v>
      </c>
      <c r="F2001" s="15">
        <f>IFERROR(PRD[[#This Row],[VALOR]]/PRD[[#This Row],[KGS]],"")</f>
        <v>2.9421560249053837</v>
      </c>
      <c r="H2001" s="27"/>
    </row>
    <row r="2002" spans="1:8" x14ac:dyDescent="0.25">
      <c r="A2002" s="21">
        <v>4031812</v>
      </c>
      <c r="B2002" s="1">
        <v>45170</v>
      </c>
      <c r="C2002" t="s">
        <v>244</v>
      </c>
      <c r="D2002">
        <v>425.96</v>
      </c>
      <c r="E2002">
        <v>1295.9100000000001</v>
      </c>
      <c r="F2002" s="15">
        <f>IFERROR(PRD[[#This Row],[VALOR]]/PRD[[#This Row],[KGS]],"")</f>
        <v>3.0423279181143772</v>
      </c>
      <c r="H2002" s="27"/>
    </row>
    <row r="2003" spans="1:8" x14ac:dyDescent="0.25">
      <c r="A2003" s="21">
        <v>4031813</v>
      </c>
      <c r="B2003" s="1">
        <v>45170</v>
      </c>
      <c r="C2003" t="s">
        <v>464</v>
      </c>
      <c r="D2003">
        <v>700</v>
      </c>
      <c r="E2003">
        <v>469</v>
      </c>
      <c r="F2003" s="15">
        <f>IFERROR(PRD[[#This Row],[VALOR]]/PRD[[#This Row],[KGS]],"")</f>
        <v>0.67</v>
      </c>
      <c r="H2003" s="27"/>
    </row>
    <row r="2004" spans="1:8" x14ac:dyDescent="0.25">
      <c r="A2004" s="21">
        <v>4031904</v>
      </c>
      <c r="B2004" s="1">
        <v>45170</v>
      </c>
      <c r="C2004" t="s">
        <v>246</v>
      </c>
      <c r="D2004">
        <v>906.46</v>
      </c>
      <c r="E2004">
        <v>2655.62</v>
      </c>
      <c r="F2004" s="15">
        <f>IFERROR(PRD[[#This Row],[VALOR]]/PRD[[#This Row],[KGS]],"")</f>
        <v>2.9296604373055621</v>
      </c>
      <c r="H2004" s="27"/>
    </row>
    <row r="2005" spans="1:8" x14ac:dyDescent="0.25">
      <c r="A2005" s="21">
        <v>4032111</v>
      </c>
      <c r="B2005" s="1">
        <v>45170</v>
      </c>
      <c r="C2005" t="s">
        <v>314</v>
      </c>
      <c r="D2005">
        <v>5.81</v>
      </c>
      <c r="E2005">
        <v>29.34</v>
      </c>
      <c r="F2005" s="15">
        <f>IFERROR(PRD[[#This Row],[VALOR]]/PRD[[#This Row],[KGS]],"")</f>
        <v>5.0499139414802068</v>
      </c>
      <c r="H2005" s="27"/>
    </row>
    <row r="2006" spans="1:8" x14ac:dyDescent="0.25">
      <c r="A2006" s="21">
        <v>4032205</v>
      </c>
      <c r="B2006" s="1">
        <v>45170</v>
      </c>
      <c r="C2006" t="s">
        <v>553</v>
      </c>
      <c r="D2006">
        <v>165.2</v>
      </c>
      <c r="E2006">
        <v>839.95</v>
      </c>
      <c r="F2006" s="15">
        <f>IFERROR(PRD[[#This Row],[VALOR]]/PRD[[#This Row],[KGS]],"")</f>
        <v>5.0844430992736083</v>
      </c>
      <c r="H2006" s="27"/>
    </row>
    <row r="2007" spans="1:8" x14ac:dyDescent="0.25">
      <c r="A2007" s="21">
        <v>4032206</v>
      </c>
      <c r="B2007" s="1">
        <v>45170</v>
      </c>
      <c r="C2007" t="s">
        <v>555</v>
      </c>
      <c r="D2007">
        <v>57.14</v>
      </c>
      <c r="E2007">
        <v>299.63</v>
      </c>
      <c r="F2007" s="15">
        <f>IFERROR(PRD[[#This Row],[VALOR]]/PRD[[#This Row],[KGS]],"")</f>
        <v>5.2437871893594679</v>
      </c>
      <c r="H2007" s="27"/>
    </row>
    <row r="2008" spans="1:8" x14ac:dyDescent="0.25">
      <c r="A2008" s="21">
        <v>4032312</v>
      </c>
      <c r="B2008" s="1">
        <v>45170</v>
      </c>
      <c r="C2008" t="s">
        <v>252</v>
      </c>
      <c r="D2008">
        <v>490.7</v>
      </c>
      <c r="E2008">
        <v>2070.4499999999998</v>
      </c>
      <c r="F2008" s="15">
        <f>IFERROR(PRD[[#This Row],[VALOR]]/PRD[[#This Row],[KGS]],"")</f>
        <v>4.2193804768697776</v>
      </c>
      <c r="H2008" s="27"/>
    </row>
    <row r="2009" spans="1:8" x14ac:dyDescent="0.25">
      <c r="A2009" s="21">
        <v>4032404</v>
      </c>
      <c r="B2009" s="1">
        <v>45170</v>
      </c>
      <c r="C2009" t="s">
        <v>254</v>
      </c>
      <c r="D2009">
        <v>108.21</v>
      </c>
      <c r="E2009">
        <v>482.34</v>
      </c>
      <c r="F2009" s="15">
        <f>IFERROR(PRD[[#This Row],[VALOR]]/PRD[[#This Row],[KGS]],"")</f>
        <v>4.4574438591627388</v>
      </c>
      <c r="H2009" s="27"/>
    </row>
    <row r="2010" spans="1:8" x14ac:dyDescent="0.25">
      <c r="A2010" s="21">
        <v>4032500</v>
      </c>
      <c r="B2010" s="1">
        <v>45170</v>
      </c>
      <c r="C2010" t="s">
        <v>256</v>
      </c>
      <c r="D2010">
        <v>321.2</v>
      </c>
      <c r="E2010">
        <v>874.29</v>
      </c>
      <c r="F2010" s="15">
        <f>IFERROR(PRD[[#This Row],[VALOR]]/PRD[[#This Row],[KGS]],"")</f>
        <v>2.7219489414694893</v>
      </c>
      <c r="H2010" s="27"/>
    </row>
    <row r="2011" spans="1:8" x14ac:dyDescent="0.25">
      <c r="A2011" s="21">
        <v>4032611</v>
      </c>
      <c r="B2011" s="1">
        <v>45170</v>
      </c>
      <c r="C2011" t="s">
        <v>258</v>
      </c>
      <c r="D2011">
        <v>35.31</v>
      </c>
      <c r="E2011">
        <v>110.59</v>
      </c>
      <c r="F2011" s="15">
        <f>IFERROR(PRD[[#This Row],[VALOR]]/PRD[[#This Row],[KGS]],"")</f>
        <v>3.131973945058057</v>
      </c>
      <c r="H2011" s="27"/>
    </row>
    <row r="2012" spans="1:8" x14ac:dyDescent="0.25">
      <c r="A2012" s="21">
        <v>4032704</v>
      </c>
      <c r="B2012" s="1">
        <v>45170</v>
      </c>
      <c r="C2012" t="s">
        <v>260</v>
      </c>
      <c r="D2012">
        <v>1427.3</v>
      </c>
      <c r="E2012">
        <v>4109.92</v>
      </c>
      <c r="F2012" s="15">
        <f>IFERROR(PRD[[#This Row],[VALOR]]/PRD[[#This Row],[KGS]],"")</f>
        <v>2.8795067610173057</v>
      </c>
      <c r="H2012" s="27"/>
    </row>
    <row r="2013" spans="1:8" x14ac:dyDescent="0.25">
      <c r="A2013" s="21">
        <v>4032800</v>
      </c>
      <c r="B2013" s="1">
        <v>45170</v>
      </c>
      <c r="C2013" t="s">
        <v>262</v>
      </c>
      <c r="D2013">
        <v>144.4</v>
      </c>
      <c r="E2013">
        <v>802.89</v>
      </c>
      <c r="F2013" s="15">
        <f>IFERROR(PRD[[#This Row],[VALOR]]/PRD[[#This Row],[KGS]],"")</f>
        <v>5.5601800554016618</v>
      </c>
      <c r="H2013" s="27"/>
    </row>
    <row r="2014" spans="1:8" x14ac:dyDescent="0.25">
      <c r="A2014" s="21">
        <v>4032902</v>
      </c>
      <c r="B2014" s="1">
        <v>45170</v>
      </c>
      <c r="C2014" t="s">
        <v>264</v>
      </c>
      <c r="D2014">
        <v>374.66</v>
      </c>
      <c r="E2014">
        <v>1996.21</v>
      </c>
      <c r="F2014" s="15">
        <f>IFERROR(PRD[[#This Row],[VALOR]]/PRD[[#This Row],[KGS]],"")</f>
        <v>5.3280574387444615</v>
      </c>
      <c r="H2014" s="27"/>
    </row>
    <row r="2015" spans="1:8" x14ac:dyDescent="0.25">
      <c r="A2015" s="21">
        <v>4033011</v>
      </c>
      <c r="B2015" s="1">
        <v>45170</v>
      </c>
      <c r="C2015" t="s">
        <v>266</v>
      </c>
      <c r="D2015">
        <v>85.46</v>
      </c>
      <c r="E2015">
        <v>440.15</v>
      </c>
      <c r="F2015" s="15">
        <f>IFERROR(PRD[[#This Row],[VALOR]]/PRD[[#This Row],[KGS]],"")</f>
        <v>5.1503627428036509</v>
      </c>
      <c r="H2015" s="27"/>
    </row>
    <row r="2016" spans="1:8" x14ac:dyDescent="0.25">
      <c r="A2016" s="21">
        <v>4033111</v>
      </c>
      <c r="B2016" s="1">
        <v>45170</v>
      </c>
      <c r="C2016" t="s">
        <v>268</v>
      </c>
      <c r="D2016">
        <v>372</v>
      </c>
      <c r="E2016">
        <v>1590.74</v>
      </c>
      <c r="F2016" s="15">
        <f>IFERROR(PRD[[#This Row],[VALOR]]/PRD[[#This Row],[KGS]],"")</f>
        <v>4.2761827956989249</v>
      </c>
      <c r="H2016" s="27"/>
    </row>
    <row r="2017" spans="1:8" x14ac:dyDescent="0.25">
      <c r="A2017" s="21">
        <v>4033211</v>
      </c>
      <c r="B2017" s="1">
        <v>45170</v>
      </c>
      <c r="C2017" t="s">
        <v>270</v>
      </c>
      <c r="D2017">
        <v>48.53</v>
      </c>
      <c r="E2017">
        <v>221.36</v>
      </c>
      <c r="F2017" s="15">
        <f>IFERROR(PRD[[#This Row],[VALOR]]/PRD[[#This Row],[KGS]],"")</f>
        <v>4.5613022872450033</v>
      </c>
      <c r="H2017" s="27"/>
    </row>
    <row r="2018" spans="1:8" x14ac:dyDescent="0.25">
      <c r="A2018" s="21">
        <v>4033311</v>
      </c>
      <c r="B2018" s="1">
        <v>45170</v>
      </c>
      <c r="C2018" t="s">
        <v>272</v>
      </c>
      <c r="D2018">
        <v>13.79</v>
      </c>
      <c r="E2018">
        <v>85.81</v>
      </c>
      <c r="F2018" s="15">
        <f>IFERROR(PRD[[#This Row],[VALOR]]/PRD[[#This Row],[KGS]],"")</f>
        <v>6.2226250906453959</v>
      </c>
      <c r="H2018" s="27"/>
    </row>
    <row r="2019" spans="1:8" x14ac:dyDescent="0.25">
      <c r="A2019" s="21">
        <v>4033400</v>
      </c>
      <c r="B2019" s="1">
        <v>45170</v>
      </c>
      <c r="C2019" t="s">
        <v>274</v>
      </c>
      <c r="D2019">
        <v>1062.0999999999999</v>
      </c>
      <c r="E2019">
        <v>3116.28</v>
      </c>
      <c r="F2019" s="15">
        <f>IFERROR(PRD[[#This Row],[VALOR]]/PRD[[#This Row],[KGS]],"")</f>
        <v>2.9340740043310429</v>
      </c>
      <c r="H2019" s="27"/>
    </row>
    <row r="2020" spans="1:8" x14ac:dyDescent="0.25">
      <c r="A2020" s="21">
        <v>4033511</v>
      </c>
      <c r="B2020" s="1">
        <v>45170</v>
      </c>
      <c r="C2020" t="s">
        <v>276</v>
      </c>
      <c r="D2020">
        <v>1693.93</v>
      </c>
      <c r="E2020">
        <v>5466.32</v>
      </c>
      <c r="F2020" s="15">
        <f>IFERROR(PRD[[#This Row],[VALOR]]/PRD[[#This Row],[KGS]],"")</f>
        <v>3.2270046578075831</v>
      </c>
      <c r="H2020" s="27"/>
    </row>
    <row r="2021" spans="1:8" x14ac:dyDescent="0.25">
      <c r="A2021" s="21">
        <v>4033900</v>
      </c>
      <c r="B2021" s="1">
        <v>45170</v>
      </c>
      <c r="C2021" t="s">
        <v>278</v>
      </c>
      <c r="D2021">
        <v>20.7</v>
      </c>
      <c r="E2021">
        <v>107.89</v>
      </c>
      <c r="F2021" s="15">
        <f>IFERROR(PRD[[#This Row],[VALOR]]/PRD[[#This Row],[KGS]],"")</f>
        <v>5.2120772946859901</v>
      </c>
      <c r="H2021" s="27"/>
    </row>
    <row r="2022" spans="1:8" x14ac:dyDescent="0.25">
      <c r="A2022" s="21">
        <v>4034011</v>
      </c>
      <c r="B2022" s="1">
        <v>45170</v>
      </c>
      <c r="C2022" t="s">
        <v>280</v>
      </c>
      <c r="D2022">
        <v>685.76</v>
      </c>
      <c r="E2022">
        <v>3574.56</v>
      </c>
      <c r="F2022" s="15">
        <f>IFERROR(PRD[[#This Row],[VALOR]]/PRD[[#This Row],[KGS]],"")</f>
        <v>5.2125524965002334</v>
      </c>
      <c r="H2022" s="27"/>
    </row>
    <row r="2023" spans="1:8" x14ac:dyDescent="0.25">
      <c r="A2023" s="21">
        <v>4034211</v>
      </c>
      <c r="B2023" s="1">
        <v>45170</v>
      </c>
      <c r="C2023" t="s">
        <v>282</v>
      </c>
      <c r="D2023">
        <v>197.09</v>
      </c>
      <c r="E2023">
        <v>851.08</v>
      </c>
      <c r="F2023" s="15">
        <f>IFERROR(PRD[[#This Row],[VALOR]]/PRD[[#This Row],[KGS]],"")</f>
        <v>4.3182302501395302</v>
      </c>
      <c r="H2023" s="27"/>
    </row>
    <row r="2024" spans="1:8" x14ac:dyDescent="0.25">
      <c r="A2024" s="21">
        <v>4034400</v>
      </c>
      <c r="B2024" s="1">
        <v>45170</v>
      </c>
      <c r="C2024" t="s">
        <v>284</v>
      </c>
      <c r="D2024">
        <v>166.77</v>
      </c>
      <c r="E2024">
        <v>440.99</v>
      </c>
      <c r="F2024" s="15">
        <f>IFERROR(PRD[[#This Row],[VALOR]]/PRD[[#This Row],[KGS]],"")</f>
        <v>2.6443005336691252</v>
      </c>
      <c r="H2024" s="27"/>
    </row>
    <row r="2025" spans="1:8" x14ac:dyDescent="0.25">
      <c r="A2025" s="21">
        <v>4034502</v>
      </c>
      <c r="B2025" s="1">
        <v>45170</v>
      </c>
      <c r="C2025" t="s">
        <v>286</v>
      </c>
      <c r="D2025">
        <v>74.94</v>
      </c>
      <c r="E2025">
        <v>212.94</v>
      </c>
      <c r="F2025" s="15">
        <f>IFERROR(PRD[[#This Row],[VALOR]]/PRD[[#This Row],[KGS]],"")</f>
        <v>2.8414731785428344</v>
      </c>
      <c r="H2025" s="27"/>
    </row>
    <row r="2026" spans="1:8" x14ac:dyDescent="0.25">
      <c r="A2026" s="21">
        <v>8030004</v>
      </c>
      <c r="B2026" s="1">
        <v>45170</v>
      </c>
      <c r="C2026" t="s">
        <v>697</v>
      </c>
      <c r="D2026">
        <v>2</v>
      </c>
      <c r="E2026">
        <v>20</v>
      </c>
      <c r="F2026" s="15">
        <f>IFERROR(PRD[[#This Row],[VALOR]]/PRD[[#This Row],[KGS]],"")</f>
        <v>10</v>
      </c>
      <c r="H2026" s="27"/>
    </row>
    <row r="2027" spans="1:8" x14ac:dyDescent="0.25">
      <c r="A2027" s="21">
        <v>8040008</v>
      </c>
      <c r="B2027" s="1">
        <v>45170</v>
      </c>
      <c r="C2027" t="s">
        <v>318</v>
      </c>
      <c r="D2027">
        <v>13.31</v>
      </c>
      <c r="E2027">
        <v>194.15</v>
      </c>
      <c r="F2027" s="15">
        <f>IFERROR(PRD[[#This Row],[VALOR]]/PRD[[#This Row],[KGS]],"")</f>
        <v>14.586776859504132</v>
      </c>
      <c r="H2027" s="27"/>
    </row>
    <row r="2028" spans="1:8" x14ac:dyDescent="0.25">
      <c r="A2028" s="21">
        <v>8040011</v>
      </c>
      <c r="B2028" s="1">
        <v>45170</v>
      </c>
      <c r="C2028" t="s">
        <v>560</v>
      </c>
      <c r="D2028">
        <v>10</v>
      </c>
      <c r="E2028">
        <v>29.9</v>
      </c>
      <c r="F2028" s="15">
        <f>IFERROR(PRD[[#This Row],[VALOR]]/PRD[[#This Row],[KGS]],"")</f>
        <v>2.9899999999999998</v>
      </c>
      <c r="H2028" s="27"/>
    </row>
    <row r="2029" spans="1:8" x14ac:dyDescent="0.25">
      <c r="A2029" s="21">
        <v>8040048</v>
      </c>
      <c r="B2029" s="1">
        <v>45170</v>
      </c>
      <c r="C2029" t="s">
        <v>699</v>
      </c>
      <c r="D2029">
        <v>2536</v>
      </c>
      <c r="E2029">
        <v>6252.56</v>
      </c>
      <c r="F2029" s="15">
        <f>IFERROR(PRD[[#This Row],[VALOR]]/PRD[[#This Row],[KGS]],"")</f>
        <v>2.4655205047318614</v>
      </c>
      <c r="H2029" s="27"/>
    </row>
    <row r="2030" spans="1:8" x14ac:dyDescent="0.25">
      <c r="A2030" s="21">
        <v>8040050</v>
      </c>
      <c r="B2030" s="1">
        <v>45170</v>
      </c>
      <c r="C2030" t="s">
        <v>746</v>
      </c>
      <c r="D2030">
        <v>12.8</v>
      </c>
      <c r="E2030">
        <v>178.56</v>
      </c>
      <c r="F2030" s="15">
        <f>IFERROR(PRD[[#This Row],[VALOR]]/PRD[[#This Row],[KGS]],"")</f>
        <v>13.95</v>
      </c>
      <c r="H2030" s="27"/>
    </row>
    <row r="2031" spans="1:8" x14ac:dyDescent="0.25">
      <c r="A2031" s="21">
        <v>8040051</v>
      </c>
      <c r="B2031" s="1">
        <v>45170</v>
      </c>
      <c r="C2031" t="s">
        <v>644</v>
      </c>
      <c r="D2031">
        <v>-0.62</v>
      </c>
      <c r="E2031">
        <v>-11.1</v>
      </c>
      <c r="F2031" s="15">
        <f>IFERROR(PRD[[#This Row],[VALOR]]/PRD[[#This Row],[KGS]],"")</f>
        <v>17.903225806451612</v>
      </c>
      <c r="H2031" s="27"/>
    </row>
    <row r="2032" spans="1:8" x14ac:dyDescent="0.25">
      <c r="A2032" s="21">
        <v>8040052</v>
      </c>
      <c r="B2032" s="1">
        <v>45170</v>
      </c>
      <c r="C2032" t="s">
        <v>700</v>
      </c>
      <c r="D2032">
        <v>6.3</v>
      </c>
      <c r="E2032">
        <v>73.08</v>
      </c>
      <c r="F2032" s="15">
        <f>IFERROR(PRD[[#This Row],[VALOR]]/PRD[[#This Row],[KGS]],"")</f>
        <v>11.6</v>
      </c>
      <c r="H2032" s="27"/>
    </row>
    <row r="2033" spans="1:8" x14ac:dyDescent="0.25">
      <c r="A2033" s="21">
        <v>8040053</v>
      </c>
      <c r="B2033" s="1">
        <v>45170</v>
      </c>
      <c r="C2033" t="s">
        <v>747</v>
      </c>
      <c r="D2033">
        <v>15.38</v>
      </c>
      <c r="E2033">
        <v>183.04</v>
      </c>
      <c r="F2033" s="15">
        <f>IFERROR(PRD[[#This Row],[VALOR]]/PRD[[#This Row],[KGS]],"")</f>
        <v>11.90117035110533</v>
      </c>
      <c r="H2033" s="27"/>
    </row>
    <row r="2034" spans="1:8" x14ac:dyDescent="0.25">
      <c r="A2034" s="21">
        <v>8040057</v>
      </c>
      <c r="B2034" s="1">
        <v>45170</v>
      </c>
      <c r="C2034" t="s">
        <v>734</v>
      </c>
      <c r="D2034">
        <v>10</v>
      </c>
      <c r="E2034">
        <v>48</v>
      </c>
      <c r="F2034" s="15">
        <f>IFERROR(PRD[[#This Row],[VALOR]]/PRD[[#This Row],[KGS]],"")</f>
        <v>4.8</v>
      </c>
      <c r="H2034" s="27"/>
    </row>
    <row r="2035" spans="1:8" x14ac:dyDescent="0.25">
      <c r="A2035" s="21">
        <v>8040058</v>
      </c>
      <c r="B2035" s="1">
        <v>45170</v>
      </c>
      <c r="C2035" t="s">
        <v>700</v>
      </c>
      <c r="D2035">
        <v>201.6</v>
      </c>
      <c r="E2035">
        <v>2278.08</v>
      </c>
      <c r="F2035" s="15">
        <f>IFERROR(PRD[[#This Row],[VALOR]]/PRD[[#This Row],[KGS]],"")</f>
        <v>11.3</v>
      </c>
      <c r="H2035" s="27"/>
    </row>
    <row r="2036" spans="1:8" x14ac:dyDescent="0.25">
      <c r="A2036" s="21">
        <v>8050002</v>
      </c>
      <c r="B2036" s="1">
        <v>45170</v>
      </c>
      <c r="C2036" t="s">
        <v>322</v>
      </c>
      <c r="D2036">
        <v>5</v>
      </c>
      <c r="E2036">
        <v>32.299999999999997</v>
      </c>
      <c r="F2036" s="15">
        <f>IFERROR(PRD[[#This Row],[VALOR]]/PRD[[#This Row],[KGS]],"")</f>
        <v>6.4599999999999991</v>
      </c>
      <c r="H2036" s="27"/>
    </row>
    <row r="2037" spans="1:8" x14ac:dyDescent="0.25">
      <c r="A2037" s="21">
        <v>8050005</v>
      </c>
      <c r="B2037" s="1">
        <v>45170</v>
      </c>
      <c r="C2037" t="s">
        <v>648</v>
      </c>
      <c r="D2037">
        <v>11</v>
      </c>
      <c r="E2037">
        <v>55.44</v>
      </c>
      <c r="F2037" s="15">
        <f>IFERROR(PRD[[#This Row],[VALOR]]/PRD[[#This Row],[KGS]],"")</f>
        <v>5.04</v>
      </c>
      <c r="H2037" s="27"/>
    </row>
    <row r="2038" spans="1:8" x14ac:dyDescent="0.25">
      <c r="A2038" s="21">
        <v>8060001</v>
      </c>
      <c r="B2038" s="1">
        <v>45170</v>
      </c>
      <c r="C2038" t="s">
        <v>325</v>
      </c>
      <c r="D2038">
        <v>60</v>
      </c>
      <c r="E2038">
        <v>349</v>
      </c>
      <c r="F2038" s="15">
        <f>IFERROR(PRD[[#This Row],[VALOR]]/PRD[[#This Row],[KGS]],"")</f>
        <v>5.8166666666666664</v>
      </c>
      <c r="H2038" s="27"/>
    </row>
    <row r="2039" spans="1:8" x14ac:dyDescent="0.25">
      <c r="A2039" s="21">
        <v>8070012</v>
      </c>
      <c r="B2039" s="1">
        <v>45170</v>
      </c>
      <c r="C2039" t="s">
        <v>372</v>
      </c>
      <c r="D2039">
        <v>8</v>
      </c>
      <c r="E2039">
        <v>16.8</v>
      </c>
      <c r="F2039" s="15">
        <f>IFERROR(PRD[[#This Row],[VALOR]]/PRD[[#This Row],[KGS]],"")</f>
        <v>2.1</v>
      </c>
      <c r="H2039" s="27"/>
    </row>
    <row r="2040" spans="1:8" x14ac:dyDescent="0.25">
      <c r="A2040" s="21">
        <v>8070015</v>
      </c>
      <c r="B2040" s="1">
        <v>45170</v>
      </c>
      <c r="C2040" t="s">
        <v>373</v>
      </c>
      <c r="D2040">
        <v>13.6</v>
      </c>
      <c r="E2040">
        <v>27.09</v>
      </c>
      <c r="F2040" s="15">
        <f>IFERROR(PRD[[#This Row],[VALOR]]/PRD[[#This Row],[KGS]],"")</f>
        <v>1.9919117647058824</v>
      </c>
      <c r="H2040" s="27"/>
    </row>
    <row r="2041" spans="1:8" x14ac:dyDescent="0.25">
      <c r="A2041" s="21">
        <v>8070018</v>
      </c>
      <c r="B2041" s="1">
        <v>45170</v>
      </c>
      <c r="C2041" t="s">
        <v>397</v>
      </c>
      <c r="D2041">
        <v>3.1</v>
      </c>
      <c r="E2041">
        <v>10.66</v>
      </c>
      <c r="F2041" s="15">
        <f>IFERROR(PRD[[#This Row],[VALOR]]/PRD[[#This Row],[KGS]],"")</f>
        <v>3.4387096774193546</v>
      </c>
      <c r="H2041" s="27"/>
    </row>
    <row r="2042" spans="1:8" x14ac:dyDescent="0.25">
      <c r="A2042" s="21">
        <v>8070019</v>
      </c>
      <c r="B2042" s="1">
        <v>45170</v>
      </c>
      <c r="C2042" t="s">
        <v>398</v>
      </c>
      <c r="D2042">
        <v>4431</v>
      </c>
      <c r="E2042">
        <v>15951.6</v>
      </c>
      <c r="F2042" s="15">
        <f>IFERROR(PRD[[#This Row],[VALOR]]/PRD[[#This Row],[KGS]],"")</f>
        <v>3.6</v>
      </c>
      <c r="H2042" s="27"/>
    </row>
    <row r="2043" spans="1:8" x14ac:dyDescent="0.25">
      <c r="A2043" s="21">
        <v>8070025</v>
      </c>
      <c r="B2043" s="1">
        <v>45170</v>
      </c>
      <c r="C2043" t="s">
        <v>655</v>
      </c>
      <c r="D2043">
        <v>5</v>
      </c>
      <c r="E2043">
        <v>13.7</v>
      </c>
      <c r="F2043" s="15">
        <f>IFERROR(PRD[[#This Row],[VALOR]]/PRD[[#This Row],[KGS]],"")</f>
        <v>2.7399999999999998</v>
      </c>
      <c r="H2043" s="27"/>
    </row>
    <row r="2044" spans="1:8" x14ac:dyDescent="0.25">
      <c r="A2044" s="21">
        <v>8070028</v>
      </c>
      <c r="B2044" s="1">
        <v>45170</v>
      </c>
      <c r="C2044" t="s">
        <v>748</v>
      </c>
      <c r="D2044">
        <v>8.1999999999999993</v>
      </c>
      <c r="E2044">
        <v>31.16</v>
      </c>
      <c r="F2044" s="15">
        <f>IFERROR(PRD[[#This Row],[VALOR]]/PRD[[#This Row],[KGS]],"")</f>
        <v>3.8000000000000003</v>
      </c>
      <c r="H2044" s="27"/>
    </row>
    <row r="2045" spans="1:8" x14ac:dyDescent="0.25">
      <c r="A2045" s="21">
        <v>8070029</v>
      </c>
      <c r="B2045" s="1">
        <v>45170</v>
      </c>
      <c r="C2045" t="s">
        <v>491</v>
      </c>
      <c r="D2045">
        <v>13.3</v>
      </c>
      <c r="E2045">
        <v>51.77</v>
      </c>
      <c r="F2045" s="15">
        <f>IFERROR(PRD[[#This Row],[VALOR]]/PRD[[#This Row],[KGS]],"")</f>
        <v>3.8924812030075189</v>
      </c>
      <c r="H2045" s="27"/>
    </row>
    <row r="2046" spans="1:8" x14ac:dyDescent="0.25">
      <c r="A2046" s="21">
        <v>8070039</v>
      </c>
      <c r="B2046" s="1">
        <v>45170</v>
      </c>
      <c r="C2046" t="s">
        <v>497</v>
      </c>
      <c r="D2046">
        <v>576</v>
      </c>
      <c r="E2046">
        <v>4476.8</v>
      </c>
      <c r="F2046" s="15">
        <f>IFERROR(PRD[[#This Row],[VALOR]]/PRD[[#This Row],[KGS]],"")</f>
        <v>7.7722222222222221</v>
      </c>
      <c r="H2046" s="27"/>
    </row>
    <row r="2047" spans="1:8" x14ac:dyDescent="0.25">
      <c r="A2047" s="21">
        <v>8070050</v>
      </c>
      <c r="B2047" s="1">
        <v>45170</v>
      </c>
      <c r="C2047" t="s">
        <v>749</v>
      </c>
      <c r="D2047">
        <v>408</v>
      </c>
      <c r="E2047">
        <v>3100.8</v>
      </c>
      <c r="F2047" s="15">
        <f>IFERROR(PRD[[#This Row],[VALOR]]/PRD[[#This Row],[KGS]],"")</f>
        <v>7.6000000000000005</v>
      </c>
      <c r="H2047" s="27"/>
    </row>
    <row r="2048" spans="1:8" x14ac:dyDescent="0.25">
      <c r="A2048" s="21">
        <v>8070051</v>
      </c>
      <c r="B2048" s="1">
        <v>45170</v>
      </c>
      <c r="C2048" t="s">
        <v>750</v>
      </c>
      <c r="D2048">
        <v>0.5</v>
      </c>
      <c r="E2048">
        <v>2.79</v>
      </c>
      <c r="F2048" s="15">
        <f>IFERROR(PRD[[#This Row],[VALOR]]/PRD[[#This Row],[KGS]],"")</f>
        <v>5.58</v>
      </c>
      <c r="H2048" s="27"/>
    </row>
    <row r="2049" spans="1:8" x14ac:dyDescent="0.25">
      <c r="A2049" s="21">
        <v>8070052</v>
      </c>
      <c r="B2049" s="1">
        <v>45170</v>
      </c>
      <c r="C2049" t="s">
        <v>751</v>
      </c>
      <c r="D2049">
        <v>1.5</v>
      </c>
      <c r="E2049">
        <v>4.82</v>
      </c>
      <c r="F2049" s="15">
        <f>IFERROR(PRD[[#This Row],[VALOR]]/PRD[[#This Row],[KGS]],"")</f>
        <v>3.2133333333333334</v>
      </c>
      <c r="H2049" s="27"/>
    </row>
    <row r="2050" spans="1:8" x14ac:dyDescent="0.25">
      <c r="A2050" s="21">
        <v>8070060</v>
      </c>
      <c r="B2050" s="1">
        <v>45170</v>
      </c>
      <c r="C2050" t="s">
        <v>701</v>
      </c>
      <c r="D2050">
        <v>663</v>
      </c>
      <c r="E2050">
        <v>1498.07</v>
      </c>
      <c r="F2050" s="15">
        <f>IFERROR(PRD[[#This Row],[VALOR]]/PRD[[#This Row],[KGS]],"")</f>
        <v>2.2595324283559575</v>
      </c>
      <c r="H2050" s="27"/>
    </row>
    <row r="2051" spans="1:8" x14ac:dyDescent="0.25">
      <c r="A2051" s="21">
        <v>8070061</v>
      </c>
      <c r="B2051" s="1">
        <v>45170</v>
      </c>
      <c r="C2051" t="s">
        <v>752</v>
      </c>
      <c r="D2051">
        <v>3760</v>
      </c>
      <c r="E2051">
        <v>8123</v>
      </c>
      <c r="F2051" s="15">
        <f>IFERROR(PRD[[#This Row],[VALOR]]/PRD[[#This Row],[KGS]],"")</f>
        <v>2.1603723404255319</v>
      </c>
      <c r="H2051" s="27"/>
    </row>
    <row r="2052" spans="1:8" x14ac:dyDescent="0.25">
      <c r="A2052" s="21">
        <v>8070065</v>
      </c>
      <c r="B2052" s="1">
        <v>45170</v>
      </c>
      <c r="C2052" t="s">
        <v>328</v>
      </c>
      <c r="D2052">
        <v>1200</v>
      </c>
      <c r="E2052">
        <v>7020</v>
      </c>
      <c r="F2052" s="15">
        <f>IFERROR(PRD[[#This Row],[VALOR]]/PRD[[#This Row],[KGS]],"")</f>
        <v>5.85</v>
      </c>
      <c r="H2052" s="27"/>
    </row>
    <row r="2053" spans="1:8" x14ac:dyDescent="0.25">
      <c r="A2053" s="21">
        <v>8070066</v>
      </c>
      <c r="B2053" s="1">
        <v>45170</v>
      </c>
      <c r="C2053" t="s">
        <v>753</v>
      </c>
      <c r="D2053">
        <v>2592</v>
      </c>
      <c r="E2053">
        <v>8164.8</v>
      </c>
      <c r="F2053" s="15">
        <f>IFERROR(PRD[[#This Row],[VALOR]]/PRD[[#This Row],[KGS]],"")</f>
        <v>3.15</v>
      </c>
      <c r="H2053" s="27"/>
    </row>
    <row r="2054" spans="1:8" x14ac:dyDescent="0.25">
      <c r="A2054" s="21">
        <v>8070067</v>
      </c>
      <c r="B2054" s="1">
        <v>45170</v>
      </c>
      <c r="C2054" t="s">
        <v>754</v>
      </c>
      <c r="D2054">
        <v>5265</v>
      </c>
      <c r="E2054">
        <v>11319.75</v>
      </c>
      <c r="F2054" s="15">
        <f>IFERROR(PRD[[#This Row],[VALOR]]/PRD[[#This Row],[KGS]],"")</f>
        <v>2.15</v>
      </c>
      <c r="H2054" s="27"/>
    </row>
    <row r="2055" spans="1:8" x14ac:dyDescent="0.25">
      <c r="A2055" s="21">
        <v>8070068</v>
      </c>
      <c r="B2055" s="1">
        <v>45170</v>
      </c>
      <c r="C2055" t="s">
        <v>398</v>
      </c>
      <c r="D2055">
        <v>5040</v>
      </c>
      <c r="E2055">
        <v>18144</v>
      </c>
      <c r="F2055" s="15">
        <f>IFERROR(PRD[[#This Row],[VALOR]]/PRD[[#This Row],[KGS]],"")</f>
        <v>3.6</v>
      </c>
      <c r="H2055" s="27"/>
    </row>
    <row r="2056" spans="1:8" x14ac:dyDescent="0.25">
      <c r="A2056" s="21">
        <v>8120003</v>
      </c>
      <c r="B2056" s="1">
        <v>45170</v>
      </c>
      <c r="C2056" t="s">
        <v>376</v>
      </c>
      <c r="D2056">
        <v>28</v>
      </c>
      <c r="E2056">
        <v>8.5399999999999991</v>
      </c>
      <c r="F2056" s="15">
        <f>IFERROR(PRD[[#This Row],[VALOR]]/PRD[[#This Row],[KGS]],"")</f>
        <v>0.30499999999999999</v>
      </c>
      <c r="H2056" s="27"/>
    </row>
    <row r="2057" spans="1:8" x14ac:dyDescent="0.25">
      <c r="A2057" s="21">
        <v>8120004</v>
      </c>
      <c r="B2057" s="1">
        <v>45170</v>
      </c>
      <c r="C2057" t="s">
        <v>406</v>
      </c>
      <c r="D2057">
        <v>11</v>
      </c>
      <c r="E2057">
        <v>65.13</v>
      </c>
      <c r="F2057" s="15">
        <f>IFERROR(PRD[[#This Row],[VALOR]]/PRD[[#This Row],[KGS]],"")</f>
        <v>5.9209090909090909</v>
      </c>
      <c r="H2057" s="27"/>
    </row>
    <row r="2058" spans="1:8" x14ac:dyDescent="0.25">
      <c r="A2058" s="21">
        <v>8120006</v>
      </c>
      <c r="B2058" s="1">
        <v>45170</v>
      </c>
      <c r="C2058" t="s">
        <v>408</v>
      </c>
      <c r="D2058">
        <v>7174.74</v>
      </c>
      <c r="E2058">
        <v>50209.7</v>
      </c>
      <c r="F2058" s="15">
        <f>IFERROR(PRD[[#This Row],[VALOR]]/PRD[[#This Row],[KGS]],"")</f>
        <v>6.998121186272952</v>
      </c>
      <c r="H2058" s="27"/>
    </row>
    <row r="2059" spans="1:8" x14ac:dyDescent="0.25">
      <c r="A2059" s="21">
        <v>8120007</v>
      </c>
      <c r="B2059" s="1">
        <v>45170</v>
      </c>
      <c r="C2059" t="s">
        <v>377</v>
      </c>
      <c r="D2059">
        <v>26.63</v>
      </c>
      <c r="E2059">
        <v>236.33</v>
      </c>
      <c r="F2059" s="15">
        <f>IFERROR(PRD[[#This Row],[VALOR]]/PRD[[#This Row],[KGS]],"")</f>
        <v>8.87457754412317</v>
      </c>
      <c r="H2059" s="27"/>
    </row>
    <row r="2060" spans="1:8" x14ac:dyDescent="0.25">
      <c r="A2060" s="21">
        <v>8120008</v>
      </c>
      <c r="B2060" s="1">
        <v>45170</v>
      </c>
      <c r="C2060" t="s">
        <v>409</v>
      </c>
      <c r="D2060">
        <v>18.18</v>
      </c>
      <c r="E2060">
        <v>195.21</v>
      </c>
      <c r="F2060" s="15">
        <f>IFERROR(PRD[[#This Row],[VALOR]]/PRD[[#This Row],[KGS]],"")</f>
        <v>10.737623762376238</v>
      </c>
      <c r="H2060" s="27"/>
    </row>
    <row r="2061" spans="1:8" x14ac:dyDescent="0.25">
      <c r="A2061" s="21">
        <v>8120014</v>
      </c>
      <c r="B2061" s="1">
        <v>45170</v>
      </c>
      <c r="C2061" t="s">
        <v>411</v>
      </c>
      <c r="D2061">
        <v>506.83</v>
      </c>
      <c r="E2061">
        <v>9427.0400000000009</v>
      </c>
      <c r="F2061" s="15">
        <f>IFERROR(PRD[[#This Row],[VALOR]]/PRD[[#This Row],[KGS]],"")</f>
        <v>18.600003946096326</v>
      </c>
      <c r="H2061" s="27"/>
    </row>
    <row r="2062" spans="1:8" x14ac:dyDescent="0.25">
      <c r="A2062" s="21">
        <v>8120015</v>
      </c>
      <c r="B2062" s="1">
        <v>45170</v>
      </c>
      <c r="C2062" t="s">
        <v>412</v>
      </c>
      <c r="D2062">
        <v>3</v>
      </c>
      <c r="E2062">
        <v>12.69</v>
      </c>
      <c r="F2062" s="15">
        <f>IFERROR(PRD[[#This Row],[VALOR]]/PRD[[#This Row],[KGS]],"")</f>
        <v>4.2299999999999995</v>
      </c>
      <c r="H2062" s="27"/>
    </row>
    <row r="2063" spans="1:8" x14ac:dyDescent="0.25">
      <c r="A2063" s="21">
        <v>8120039</v>
      </c>
      <c r="B2063" s="1">
        <v>45170</v>
      </c>
      <c r="C2063" t="s">
        <v>755</v>
      </c>
      <c r="D2063">
        <v>10</v>
      </c>
      <c r="E2063">
        <v>53</v>
      </c>
      <c r="F2063" s="15">
        <f>IFERROR(PRD[[#This Row],[VALOR]]/PRD[[#This Row],[KGS]],"")</f>
        <v>5.3</v>
      </c>
      <c r="H2063" s="27"/>
    </row>
    <row r="2064" spans="1:8" x14ac:dyDescent="0.25">
      <c r="A2064" s="21">
        <v>8120040</v>
      </c>
      <c r="B2064" s="1">
        <v>45170</v>
      </c>
      <c r="C2064" t="s">
        <v>756</v>
      </c>
      <c r="D2064">
        <v>960</v>
      </c>
      <c r="E2064">
        <v>4080</v>
      </c>
      <c r="F2064" s="15">
        <f>IFERROR(PRD[[#This Row],[VALOR]]/PRD[[#This Row],[KGS]],"")</f>
        <v>4.25</v>
      </c>
      <c r="H2064" s="27"/>
    </row>
    <row r="2065" spans="1:8" x14ac:dyDescent="0.25">
      <c r="A2065" s="21">
        <v>8120046</v>
      </c>
      <c r="B2065" s="1">
        <v>45170</v>
      </c>
      <c r="C2065" t="s">
        <v>757</v>
      </c>
      <c r="D2065">
        <v>1080</v>
      </c>
      <c r="E2065">
        <v>2700</v>
      </c>
      <c r="F2065" s="15">
        <f>IFERROR(PRD[[#This Row],[VALOR]]/PRD[[#This Row],[KGS]],"")</f>
        <v>2.5</v>
      </c>
      <c r="H2065" s="27"/>
    </row>
    <row r="2066" spans="1:8" x14ac:dyDescent="0.25">
      <c r="A2066" s="21">
        <v>8120047</v>
      </c>
      <c r="B2066" s="1">
        <v>45170</v>
      </c>
      <c r="C2066" t="s">
        <v>758</v>
      </c>
      <c r="D2066">
        <v>2825.83</v>
      </c>
      <c r="E2066">
        <v>27410.560000000001</v>
      </c>
      <c r="F2066" s="15">
        <f>IFERROR(PRD[[#This Row],[VALOR]]/PRD[[#This Row],[KGS]],"")</f>
        <v>9.7000031849049666</v>
      </c>
      <c r="H2066" s="27"/>
    </row>
    <row r="2067" spans="1:8" x14ac:dyDescent="0.25">
      <c r="A2067" s="21">
        <v>8120049</v>
      </c>
      <c r="B2067" s="1">
        <v>45170</v>
      </c>
      <c r="C2067" t="s">
        <v>759</v>
      </c>
      <c r="D2067">
        <v>4395</v>
      </c>
      <c r="E2067">
        <v>11998.35</v>
      </c>
      <c r="F2067" s="15">
        <f>IFERROR(PRD[[#This Row],[VALOR]]/PRD[[#This Row],[KGS]],"")</f>
        <v>2.73</v>
      </c>
      <c r="H2067" s="27"/>
    </row>
    <row r="2068" spans="1:8" x14ac:dyDescent="0.25">
      <c r="A2068" s="21">
        <v>8130001</v>
      </c>
      <c r="B2068" s="1">
        <v>45170</v>
      </c>
      <c r="C2068" t="s">
        <v>380</v>
      </c>
      <c r="D2068">
        <v>1</v>
      </c>
      <c r="E2068">
        <v>2.2599999999999998</v>
      </c>
      <c r="F2068" s="15">
        <f>IFERROR(PRD[[#This Row],[VALOR]]/PRD[[#This Row],[KGS]],"")</f>
        <v>2.2599999999999998</v>
      </c>
      <c r="H2068" s="27"/>
    </row>
    <row r="2069" spans="1:8" x14ac:dyDescent="0.25">
      <c r="A2069" s="21">
        <v>8130007</v>
      </c>
      <c r="B2069" s="1">
        <v>45170</v>
      </c>
      <c r="C2069" t="s">
        <v>737</v>
      </c>
      <c r="D2069">
        <v>350</v>
      </c>
      <c r="E2069">
        <v>570</v>
      </c>
      <c r="F2069" s="15">
        <f>IFERROR(PRD[[#This Row],[VALOR]]/PRD[[#This Row],[KGS]],"")</f>
        <v>1.6285714285714286</v>
      </c>
      <c r="H2069" s="27"/>
    </row>
    <row r="2070" spans="1:8" x14ac:dyDescent="0.25">
      <c r="A2070" s="21">
        <v>8130009</v>
      </c>
      <c r="B2070" s="1">
        <v>45170</v>
      </c>
      <c r="C2070" t="s">
        <v>738</v>
      </c>
      <c r="D2070">
        <v>200</v>
      </c>
      <c r="E2070">
        <v>378</v>
      </c>
      <c r="F2070" s="15">
        <f>IFERROR(PRD[[#This Row],[VALOR]]/PRD[[#This Row],[KGS]],"")</f>
        <v>1.89</v>
      </c>
      <c r="H2070" s="27"/>
    </row>
    <row r="2071" spans="1:8" x14ac:dyDescent="0.25">
      <c r="A2071" s="21">
        <v>8130010</v>
      </c>
      <c r="B2071" s="1">
        <v>45170</v>
      </c>
      <c r="C2071" t="s">
        <v>619</v>
      </c>
      <c r="D2071">
        <v>200</v>
      </c>
      <c r="E2071">
        <v>282.10000000000002</v>
      </c>
      <c r="F2071" s="15">
        <f>IFERROR(PRD[[#This Row],[VALOR]]/PRD[[#This Row],[KGS]],"")</f>
        <v>1.4105000000000001</v>
      </c>
      <c r="H2071" s="27"/>
    </row>
    <row r="2072" spans="1:8" x14ac:dyDescent="0.25">
      <c r="A2072" s="21">
        <v>8130013</v>
      </c>
      <c r="B2072" s="1">
        <v>45170</v>
      </c>
      <c r="C2072" t="s">
        <v>416</v>
      </c>
      <c r="D2072">
        <v>201</v>
      </c>
      <c r="E2072">
        <v>508.64</v>
      </c>
      <c r="F2072" s="15">
        <f>IFERROR(PRD[[#This Row],[VALOR]]/PRD[[#This Row],[KGS]],"")</f>
        <v>2.530547263681592</v>
      </c>
      <c r="H2072" s="27"/>
    </row>
    <row r="2073" spans="1:8" x14ac:dyDescent="0.25">
      <c r="A2073" s="21">
        <v>8130015</v>
      </c>
      <c r="B2073" s="1">
        <v>45170</v>
      </c>
      <c r="C2073" t="s">
        <v>622</v>
      </c>
      <c r="D2073">
        <v>105</v>
      </c>
      <c r="E2073">
        <v>375.9</v>
      </c>
      <c r="F2073" s="15">
        <f>IFERROR(PRD[[#This Row],[VALOR]]/PRD[[#This Row],[KGS]],"")</f>
        <v>3.5799999999999996</v>
      </c>
      <c r="H2073" s="27"/>
    </row>
    <row r="2074" spans="1:8" x14ac:dyDescent="0.25">
      <c r="A2074" s="21">
        <v>8140001</v>
      </c>
      <c r="B2074" s="1">
        <v>45170</v>
      </c>
      <c r="C2074" t="s">
        <v>381</v>
      </c>
      <c r="D2074">
        <v>13</v>
      </c>
      <c r="E2074">
        <v>55.5</v>
      </c>
      <c r="F2074" s="15">
        <f>IFERROR(PRD[[#This Row],[VALOR]]/PRD[[#This Row],[KGS]],"")</f>
        <v>4.2692307692307692</v>
      </c>
      <c r="H2074" s="27"/>
    </row>
    <row r="2075" spans="1:8" x14ac:dyDescent="0.25">
      <c r="A2075" s="21">
        <v>8140012</v>
      </c>
      <c r="B2075" s="1">
        <v>45170</v>
      </c>
      <c r="C2075" t="s">
        <v>425</v>
      </c>
      <c r="D2075">
        <v>1.34</v>
      </c>
      <c r="E2075">
        <v>26.45</v>
      </c>
      <c r="F2075" s="15">
        <f>IFERROR(PRD[[#This Row],[VALOR]]/PRD[[#This Row],[KGS]],"")</f>
        <v>19.738805970149251</v>
      </c>
      <c r="H2075" s="27"/>
    </row>
    <row r="2076" spans="1:8" x14ac:dyDescent="0.25">
      <c r="A2076" s="21">
        <v>8140013</v>
      </c>
      <c r="B2076" s="1">
        <v>45170</v>
      </c>
      <c r="C2076" t="s">
        <v>674</v>
      </c>
      <c r="D2076">
        <v>120</v>
      </c>
      <c r="E2076">
        <v>70.8</v>
      </c>
      <c r="F2076" s="15">
        <f>IFERROR(PRD[[#This Row],[VALOR]]/PRD[[#This Row],[KGS]],"")</f>
        <v>0.59</v>
      </c>
      <c r="H2076" s="27"/>
    </row>
    <row r="2077" spans="1:8" x14ac:dyDescent="0.25">
      <c r="A2077" s="21">
        <v>8140014</v>
      </c>
      <c r="B2077" s="1">
        <v>45170</v>
      </c>
      <c r="C2077" t="s">
        <v>675</v>
      </c>
      <c r="D2077">
        <v>80</v>
      </c>
      <c r="E2077">
        <v>80</v>
      </c>
      <c r="F2077" s="15">
        <f>IFERROR(PRD[[#This Row],[VALOR]]/PRD[[#This Row],[KGS]],"")</f>
        <v>1</v>
      </c>
      <c r="H2077" s="27"/>
    </row>
    <row r="2078" spans="1:8" x14ac:dyDescent="0.25">
      <c r="A2078" s="21">
        <v>8140015</v>
      </c>
      <c r="B2078" s="1">
        <v>45170</v>
      </c>
      <c r="C2078" t="s">
        <v>676</v>
      </c>
      <c r="D2078">
        <v>2045</v>
      </c>
      <c r="E2078">
        <v>1925.2</v>
      </c>
      <c r="F2078" s="15">
        <f>IFERROR(PRD[[#This Row],[VALOR]]/PRD[[#This Row],[KGS]],"")</f>
        <v>0.94141809290953549</v>
      </c>
      <c r="H2078" s="27"/>
    </row>
    <row r="2079" spans="1:8" x14ac:dyDescent="0.25">
      <c r="A2079" s="21">
        <v>8140016</v>
      </c>
      <c r="B2079" s="1">
        <v>45170</v>
      </c>
      <c r="C2079" t="s">
        <v>677</v>
      </c>
      <c r="D2079">
        <v>1927</v>
      </c>
      <c r="E2079">
        <v>7036.92</v>
      </c>
      <c r="F2079" s="15">
        <f>IFERROR(PRD[[#This Row],[VALOR]]/PRD[[#This Row],[KGS]],"")</f>
        <v>3.6517488323819407</v>
      </c>
      <c r="H2079" s="27"/>
    </row>
    <row r="2080" spans="1:8" x14ac:dyDescent="0.25">
      <c r="A2080" s="21">
        <v>8150002</v>
      </c>
      <c r="B2080" s="1">
        <v>45170</v>
      </c>
      <c r="C2080" t="s">
        <v>383</v>
      </c>
      <c r="D2080">
        <v>3980</v>
      </c>
      <c r="E2080">
        <v>33410.5</v>
      </c>
      <c r="F2080" s="15">
        <f>IFERROR(PRD[[#This Row],[VALOR]]/PRD[[#This Row],[KGS]],"")</f>
        <v>8.394597989949748</v>
      </c>
      <c r="H2080" s="27"/>
    </row>
    <row r="2081" spans="1:8" x14ac:dyDescent="0.25">
      <c r="A2081" s="21">
        <v>8150003</v>
      </c>
      <c r="B2081" s="1">
        <v>45170</v>
      </c>
      <c r="C2081" t="s">
        <v>384</v>
      </c>
      <c r="D2081">
        <v>500</v>
      </c>
      <c r="E2081">
        <v>3925</v>
      </c>
      <c r="F2081" s="15">
        <f>IFERROR(PRD[[#This Row],[VALOR]]/PRD[[#This Row],[KGS]],"")</f>
        <v>7.85</v>
      </c>
      <c r="H2081" s="27"/>
    </row>
    <row r="2082" spans="1:8" x14ac:dyDescent="0.25">
      <c r="A2082" s="21">
        <v>8150004</v>
      </c>
      <c r="B2082" s="1">
        <v>45170</v>
      </c>
      <c r="C2082" t="s">
        <v>625</v>
      </c>
      <c r="D2082">
        <v>1182</v>
      </c>
      <c r="E2082">
        <v>7944.72</v>
      </c>
      <c r="F2082" s="15">
        <f>IFERROR(PRD[[#This Row],[VALOR]]/PRD[[#This Row],[KGS]],"")</f>
        <v>6.7214213197969546</v>
      </c>
      <c r="H2082" s="27"/>
    </row>
    <row r="2083" spans="1:8" x14ac:dyDescent="0.25">
      <c r="A2083" s="21">
        <v>8150005</v>
      </c>
      <c r="B2083" s="1">
        <v>45170</v>
      </c>
      <c r="C2083" t="s">
        <v>386</v>
      </c>
      <c r="D2083">
        <v>2570</v>
      </c>
      <c r="E2083">
        <v>14031.5</v>
      </c>
      <c r="F2083" s="15">
        <f>IFERROR(PRD[[#This Row],[VALOR]]/PRD[[#This Row],[KGS]],"")</f>
        <v>5.4597276264591441</v>
      </c>
      <c r="H2083" s="27"/>
    </row>
    <row r="2084" spans="1:8" x14ac:dyDescent="0.25">
      <c r="A2084" s="21">
        <v>8150006</v>
      </c>
      <c r="B2084" s="1">
        <v>45170</v>
      </c>
      <c r="C2084" t="s">
        <v>387</v>
      </c>
      <c r="D2084">
        <v>50</v>
      </c>
      <c r="E2084">
        <v>285</v>
      </c>
      <c r="F2084" s="15">
        <f>IFERROR(PRD[[#This Row],[VALOR]]/PRD[[#This Row],[KGS]],"")</f>
        <v>5.7</v>
      </c>
      <c r="H2084" s="27"/>
    </row>
    <row r="2085" spans="1:8" x14ac:dyDescent="0.25">
      <c r="A2085" s="21">
        <v>8150011</v>
      </c>
      <c r="B2085" s="1">
        <v>45170</v>
      </c>
      <c r="C2085" t="s">
        <v>532</v>
      </c>
      <c r="D2085">
        <v>60</v>
      </c>
      <c r="E2085">
        <v>330</v>
      </c>
      <c r="F2085" s="15">
        <f>IFERROR(PRD[[#This Row],[VALOR]]/PRD[[#This Row],[KGS]],"")</f>
        <v>5.5</v>
      </c>
      <c r="H2085" s="27"/>
    </row>
    <row r="2086" spans="1:8" x14ac:dyDescent="0.25">
      <c r="A2086" s="21">
        <v>8150012</v>
      </c>
      <c r="B2086" s="1">
        <v>45170</v>
      </c>
      <c r="C2086" t="s">
        <v>626</v>
      </c>
      <c r="D2086">
        <v>200</v>
      </c>
      <c r="E2086">
        <v>1047</v>
      </c>
      <c r="F2086" s="15">
        <f>IFERROR(PRD[[#This Row],[VALOR]]/PRD[[#This Row],[KGS]],"")</f>
        <v>5.2350000000000003</v>
      </c>
      <c r="H2086" s="27"/>
    </row>
    <row r="2087" spans="1:8" x14ac:dyDescent="0.25">
      <c r="A2087" s="21">
        <v>8150013</v>
      </c>
      <c r="B2087" s="1">
        <v>45170</v>
      </c>
      <c r="C2087" t="s">
        <v>536</v>
      </c>
      <c r="D2087">
        <v>100</v>
      </c>
      <c r="E2087">
        <v>465</v>
      </c>
      <c r="F2087" s="15">
        <f>IFERROR(PRD[[#This Row],[VALOR]]/PRD[[#This Row],[KGS]],"")</f>
        <v>4.6500000000000004</v>
      </c>
      <c r="H2087" s="27"/>
    </row>
    <row r="2088" spans="1:8" x14ac:dyDescent="0.25">
      <c r="A2088" s="21">
        <v>8150014</v>
      </c>
      <c r="B2088" s="1">
        <v>45170</v>
      </c>
      <c r="C2088" t="s">
        <v>538</v>
      </c>
      <c r="D2088">
        <v>54</v>
      </c>
      <c r="E2088">
        <v>218.7</v>
      </c>
      <c r="F2088" s="15">
        <f>IFERROR(PRD[[#This Row],[VALOR]]/PRD[[#This Row],[KGS]],"")</f>
        <v>4.05</v>
      </c>
      <c r="H2088" s="27"/>
    </row>
    <row r="2089" spans="1:8" x14ac:dyDescent="0.25">
      <c r="A2089" s="21">
        <v>8150015</v>
      </c>
      <c r="B2089" s="1">
        <v>45170</v>
      </c>
      <c r="C2089" t="s">
        <v>628</v>
      </c>
      <c r="D2089">
        <v>640</v>
      </c>
      <c r="E2089">
        <v>2400</v>
      </c>
      <c r="F2089" s="15">
        <f>IFERROR(PRD[[#This Row],[VALOR]]/PRD[[#This Row],[KGS]],"")</f>
        <v>3.75</v>
      </c>
      <c r="H2089" s="27"/>
    </row>
    <row r="2090" spans="1:8" x14ac:dyDescent="0.25">
      <c r="A2090" s="21">
        <v>8150019</v>
      </c>
      <c r="B2090" s="1">
        <v>45170</v>
      </c>
      <c r="C2090" t="s">
        <v>680</v>
      </c>
      <c r="D2090">
        <v>1</v>
      </c>
      <c r="E2090">
        <v>11</v>
      </c>
      <c r="F2090" s="15">
        <f>IFERROR(PRD[[#This Row],[VALOR]]/PRD[[#This Row],[KGS]],"")</f>
        <v>11</v>
      </c>
      <c r="H2090" s="27"/>
    </row>
    <row r="2091" spans="1:8" x14ac:dyDescent="0.25">
      <c r="A2091" s="21">
        <v>8150020</v>
      </c>
      <c r="B2091" s="1">
        <v>45170</v>
      </c>
      <c r="C2091" t="s">
        <v>706</v>
      </c>
      <c r="D2091">
        <v>13</v>
      </c>
      <c r="E2091">
        <v>109.26</v>
      </c>
      <c r="F2091" s="15">
        <f>IFERROR(PRD[[#This Row],[VALOR]]/PRD[[#This Row],[KGS]],"")</f>
        <v>8.4046153846153846</v>
      </c>
      <c r="H2091" s="27"/>
    </row>
    <row r="2092" spans="1:8" x14ac:dyDescent="0.25">
      <c r="A2092" s="21">
        <v>8150026</v>
      </c>
      <c r="B2092" s="1">
        <v>45170</v>
      </c>
      <c r="C2092" t="s">
        <v>760</v>
      </c>
      <c r="D2092">
        <v>3360</v>
      </c>
      <c r="E2092">
        <v>18648</v>
      </c>
      <c r="F2092" s="15">
        <f>IFERROR(PRD[[#This Row],[VALOR]]/PRD[[#This Row],[KGS]],"")</f>
        <v>5.55</v>
      </c>
      <c r="H2092" s="27"/>
    </row>
    <row r="2093" spans="1:8" x14ac:dyDescent="0.25">
      <c r="A2093" s="21">
        <v>1010100</v>
      </c>
      <c r="B2093" s="1">
        <v>45200</v>
      </c>
      <c r="C2093" t="s">
        <v>709</v>
      </c>
      <c r="D2093">
        <v>4.5</v>
      </c>
      <c r="E2093">
        <v>13.73</v>
      </c>
      <c r="F2093" s="15">
        <f>IFERROR(PRD[[#This Row],[VALOR]]/PRD[[#This Row],[KGS]],"")</f>
        <v>3.0511111111111111</v>
      </c>
      <c r="H2093" s="27"/>
    </row>
    <row r="2094" spans="1:8" x14ac:dyDescent="0.25">
      <c r="A2094" s="21">
        <v>1010200</v>
      </c>
      <c r="B2094" s="1">
        <v>45200</v>
      </c>
      <c r="C2094" t="s">
        <v>331</v>
      </c>
      <c r="D2094">
        <v>775.7</v>
      </c>
      <c r="E2094">
        <v>232.71</v>
      </c>
      <c r="F2094" s="15">
        <f>IFERROR(PRD[[#This Row],[VALOR]]/PRD[[#This Row],[KGS]],"")</f>
        <v>0.3</v>
      </c>
      <c r="H2094" s="27"/>
    </row>
    <row r="2095" spans="1:8" x14ac:dyDescent="0.25">
      <c r="A2095" s="21">
        <v>1010300</v>
      </c>
      <c r="B2095" s="1">
        <v>45200</v>
      </c>
      <c r="C2095" t="s">
        <v>333</v>
      </c>
      <c r="D2095">
        <v>255.3</v>
      </c>
      <c r="E2095">
        <v>76.59</v>
      </c>
      <c r="F2095" s="15">
        <f>IFERROR(PRD[[#This Row],[VALOR]]/PRD[[#This Row],[KGS]],"")</f>
        <v>0.3</v>
      </c>
      <c r="H2095" s="27"/>
    </row>
    <row r="2096" spans="1:8" x14ac:dyDescent="0.25">
      <c r="A2096" s="21">
        <v>1010500</v>
      </c>
      <c r="B2096" s="1">
        <v>45200</v>
      </c>
      <c r="C2096" t="s">
        <v>6</v>
      </c>
      <c r="D2096">
        <v>1213</v>
      </c>
      <c r="E2096">
        <v>773.76</v>
      </c>
      <c r="F2096" s="15">
        <f>IFERROR(PRD[[#This Row],[VALOR]]/PRD[[#This Row],[KGS]],"")</f>
        <v>0.63788953009068428</v>
      </c>
      <c r="H2096" s="27"/>
    </row>
    <row r="2097" spans="1:8" x14ac:dyDescent="0.25">
      <c r="A2097" s="21">
        <v>1010600</v>
      </c>
      <c r="B2097" s="1">
        <v>45200</v>
      </c>
      <c r="C2097" t="s">
        <v>334</v>
      </c>
      <c r="D2097">
        <v>7752.87</v>
      </c>
      <c r="E2097">
        <v>5732.31</v>
      </c>
      <c r="F2097" s="15">
        <f>IFERROR(PRD[[#This Row],[VALOR]]/PRD[[#This Row],[KGS]],"")</f>
        <v>0.73937909445147421</v>
      </c>
      <c r="H2097" s="27"/>
    </row>
    <row r="2098" spans="1:8" x14ac:dyDescent="0.25">
      <c r="A2098" s="21">
        <v>1010700</v>
      </c>
      <c r="B2098" s="1">
        <v>45200</v>
      </c>
      <c r="C2098" t="s">
        <v>10</v>
      </c>
      <c r="D2098">
        <v>754.16</v>
      </c>
      <c r="E2098">
        <v>1577.58</v>
      </c>
      <c r="F2098" s="15">
        <f>IFERROR(PRD[[#This Row],[VALOR]]/PRD[[#This Row],[KGS]],"")</f>
        <v>2.0918372759096213</v>
      </c>
      <c r="H2098" s="27"/>
    </row>
    <row r="2099" spans="1:8" x14ac:dyDescent="0.25">
      <c r="A2099" s="21">
        <v>1010701</v>
      </c>
      <c r="B2099" s="1">
        <v>45200</v>
      </c>
      <c r="C2099" t="s">
        <v>12</v>
      </c>
      <c r="D2099">
        <v>38.1</v>
      </c>
      <c r="E2099">
        <v>316.92</v>
      </c>
      <c r="F2099" s="15">
        <f>IFERROR(PRD[[#This Row],[VALOR]]/PRD[[#This Row],[KGS]],"")</f>
        <v>8.3181102362204733</v>
      </c>
      <c r="H2099" s="27"/>
    </row>
    <row r="2100" spans="1:8" x14ac:dyDescent="0.25">
      <c r="A2100" s="21">
        <v>1010702</v>
      </c>
      <c r="B2100" s="1">
        <v>45200</v>
      </c>
      <c r="C2100" t="s">
        <v>740</v>
      </c>
      <c r="D2100">
        <v>1898.8</v>
      </c>
      <c r="E2100">
        <v>3052.22</v>
      </c>
      <c r="F2100" s="15">
        <f>IFERROR(PRD[[#This Row],[VALOR]]/PRD[[#This Row],[KGS]],"")</f>
        <v>1.6074468085106381</v>
      </c>
      <c r="H2100" s="27"/>
    </row>
    <row r="2101" spans="1:8" x14ac:dyDescent="0.25">
      <c r="A2101" s="21">
        <v>1010902</v>
      </c>
      <c r="B2101" s="1">
        <v>45200</v>
      </c>
      <c r="C2101" t="s">
        <v>711</v>
      </c>
      <c r="D2101">
        <v>740.54</v>
      </c>
      <c r="E2101">
        <v>845.69</v>
      </c>
      <c r="F2101" s="15">
        <f>IFERROR(PRD[[#This Row],[VALOR]]/PRD[[#This Row],[KGS]],"")</f>
        <v>1.1419909795554597</v>
      </c>
      <c r="H2101" s="27"/>
    </row>
    <row r="2102" spans="1:8" x14ac:dyDescent="0.25">
      <c r="A2102" s="21">
        <v>1010903</v>
      </c>
      <c r="B2102" s="1">
        <v>45200</v>
      </c>
      <c r="C2102" t="s">
        <v>629</v>
      </c>
      <c r="D2102">
        <v>295.89999999999998</v>
      </c>
      <c r="E2102">
        <v>260.76</v>
      </c>
      <c r="F2102" s="15">
        <f>IFERROR(PRD[[#This Row],[VALOR]]/PRD[[#This Row],[KGS]],"")</f>
        <v>0.88124366339979732</v>
      </c>
      <c r="H2102" s="27"/>
    </row>
    <row r="2103" spans="1:8" x14ac:dyDescent="0.25">
      <c r="A2103" s="21">
        <v>1011000</v>
      </c>
      <c r="B2103" s="1">
        <v>45200</v>
      </c>
      <c r="C2103" t="s">
        <v>20</v>
      </c>
      <c r="D2103">
        <v>1267.05</v>
      </c>
      <c r="E2103">
        <v>898.7</v>
      </c>
      <c r="F2103" s="15">
        <f>IFERROR(PRD[[#This Row],[VALOR]]/PRD[[#This Row],[KGS]],"")</f>
        <v>0.70928534785525443</v>
      </c>
      <c r="H2103" s="27"/>
    </row>
    <row r="2104" spans="1:8" x14ac:dyDescent="0.25">
      <c r="A2104" s="21">
        <v>1011100</v>
      </c>
      <c r="B2104" s="1">
        <v>45200</v>
      </c>
      <c r="C2104" t="s">
        <v>22</v>
      </c>
      <c r="D2104">
        <v>48.7</v>
      </c>
      <c r="E2104">
        <v>22.09</v>
      </c>
      <c r="F2104" s="15">
        <f>IFERROR(PRD[[#This Row],[VALOR]]/PRD[[#This Row],[KGS]],"")</f>
        <v>0.45359342915811085</v>
      </c>
      <c r="H2104" s="27"/>
    </row>
    <row r="2105" spans="1:8" x14ac:dyDescent="0.25">
      <c r="A2105" s="21">
        <v>1011200</v>
      </c>
      <c r="B2105" s="1">
        <v>45200</v>
      </c>
      <c r="C2105" t="s">
        <v>712</v>
      </c>
      <c r="D2105">
        <v>51.9</v>
      </c>
      <c r="E2105">
        <v>71.66</v>
      </c>
      <c r="F2105" s="15">
        <f>IFERROR(PRD[[#This Row],[VALOR]]/PRD[[#This Row],[KGS]],"")</f>
        <v>1.3807321772639691</v>
      </c>
      <c r="H2105" s="27"/>
    </row>
    <row r="2106" spans="1:8" x14ac:dyDescent="0.25">
      <c r="A2106" s="21">
        <v>1011201</v>
      </c>
      <c r="B2106" s="1">
        <v>45200</v>
      </c>
      <c r="C2106" t="s">
        <v>338</v>
      </c>
      <c r="D2106">
        <v>115.6</v>
      </c>
      <c r="E2106">
        <v>312.12</v>
      </c>
      <c r="F2106" s="15">
        <f>IFERROR(PRD[[#This Row],[VALOR]]/PRD[[#This Row],[KGS]],"")</f>
        <v>2.7</v>
      </c>
      <c r="H2106" s="27"/>
    </row>
    <row r="2107" spans="1:8" x14ac:dyDescent="0.25">
      <c r="A2107" s="21">
        <v>1011202</v>
      </c>
      <c r="B2107" s="1">
        <v>45200</v>
      </c>
      <c r="C2107" t="s">
        <v>340</v>
      </c>
      <c r="D2107">
        <v>448.6</v>
      </c>
      <c r="E2107">
        <v>89.72</v>
      </c>
      <c r="F2107" s="15">
        <f>IFERROR(PRD[[#This Row],[VALOR]]/PRD[[#This Row],[KGS]],"")</f>
        <v>0.19999999999999998</v>
      </c>
      <c r="H2107" s="27"/>
    </row>
    <row r="2108" spans="1:8" x14ac:dyDescent="0.25">
      <c r="A2108" s="21">
        <v>1011203</v>
      </c>
      <c r="B2108" s="1">
        <v>45200</v>
      </c>
      <c r="C2108" t="s">
        <v>342</v>
      </c>
      <c r="D2108">
        <v>125</v>
      </c>
      <c r="E2108">
        <v>75</v>
      </c>
      <c r="F2108" s="15">
        <f>IFERROR(PRD[[#This Row],[VALOR]]/PRD[[#This Row],[KGS]],"")</f>
        <v>0.6</v>
      </c>
      <c r="H2108" s="27"/>
    </row>
    <row r="2109" spans="1:8" x14ac:dyDescent="0.25">
      <c r="A2109" s="21">
        <v>1011204</v>
      </c>
      <c r="B2109" s="1">
        <v>45200</v>
      </c>
      <c r="C2109" t="s">
        <v>344</v>
      </c>
      <c r="D2109">
        <v>126.7</v>
      </c>
      <c r="E2109">
        <v>215.39</v>
      </c>
      <c r="F2109" s="15">
        <f>IFERROR(PRD[[#This Row],[VALOR]]/PRD[[#This Row],[KGS]],"")</f>
        <v>1.7</v>
      </c>
      <c r="H2109" s="27"/>
    </row>
    <row r="2110" spans="1:8" x14ac:dyDescent="0.25">
      <c r="A2110" s="21">
        <v>1011211</v>
      </c>
      <c r="B2110" s="1">
        <v>45200</v>
      </c>
      <c r="C2110" t="s">
        <v>685</v>
      </c>
      <c r="D2110">
        <v>196.1</v>
      </c>
      <c r="E2110">
        <v>68.64</v>
      </c>
      <c r="F2110" s="15">
        <f>IFERROR(PRD[[#This Row],[VALOR]]/PRD[[#This Row],[KGS]],"")</f>
        <v>0.35002549719530851</v>
      </c>
      <c r="H2110" s="27"/>
    </row>
    <row r="2111" spans="1:8" x14ac:dyDescent="0.25">
      <c r="A2111" s="21">
        <v>1011300</v>
      </c>
      <c r="B2111" s="1">
        <v>45200</v>
      </c>
      <c r="C2111" t="s">
        <v>295</v>
      </c>
      <c r="D2111">
        <v>5221.7</v>
      </c>
      <c r="E2111">
        <v>1340.46</v>
      </c>
      <c r="F2111" s="15">
        <f>IFERROR(PRD[[#This Row],[VALOR]]/PRD[[#This Row],[KGS]],"")</f>
        <v>0.25670950073730781</v>
      </c>
      <c r="H2111" s="27"/>
    </row>
    <row r="2112" spans="1:8" x14ac:dyDescent="0.25">
      <c r="A2112" s="21">
        <v>1011400</v>
      </c>
      <c r="B2112" s="1">
        <v>45200</v>
      </c>
      <c r="C2112" t="s">
        <v>25</v>
      </c>
      <c r="D2112">
        <v>6</v>
      </c>
      <c r="E2112">
        <v>15</v>
      </c>
      <c r="F2112" s="15">
        <f>IFERROR(PRD[[#This Row],[VALOR]]/PRD[[#This Row],[KGS]],"")</f>
        <v>2.5</v>
      </c>
      <c r="H2112" s="27"/>
    </row>
    <row r="2113" spans="1:8" x14ac:dyDescent="0.25">
      <c r="A2113" s="21">
        <v>1011500</v>
      </c>
      <c r="B2113" s="1">
        <v>45200</v>
      </c>
      <c r="C2113" t="s">
        <v>27</v>
      </c>
      <c r="D2113">
        <v>2224.6799999999998</v>
      </c>
      <c r="E2113">
        <v>1760.68</v>
      </c>
      <c r="F2113" s="15">
        <f>IFERROR(PRD[[#This Row],[VALOR]]/PRD[[#This Row],[KGS]],"")</f>
        <v>0.79143067767049646</v>
      </c>
      <c r="H2113" s="27"/>
    </row>
    <row r="2114" spans="1:8" x14ac:dyDescent="0.25">
      <c r="A2114" s="21">
        <v>1011604</v>
      </c>
      <c r="B2114" s="1">
        <v>45200</v>
      </c>
      <c r="C2114" t="s">
        <v>29</v>
      </c>
      <c r="D2114">
        <v>19119</v>
      </c>
      <c r="E2114">
        <v>1529.52</v>
      </c>
      <c r="F2114" s="15">
        <f>IFERROR(PRD[[#This Row],[VALOR]]/PRD[[#This Row],[KGS]],"")</f>
        <v>0.08</v>
      </c>
      <c r="H2114" s="27"/>
    </row>
    <row r="2115" spans="1:8" x14ac:dyDescent="0.25">
      <c r="A2115" s="21">
        <v>1011700</v>
      </c>
      <c r="B2115" s="1">
        <v>45200</v>
      </c>
      <c r="C2115" t="s">
        <v>31</v>
      </c>
      <c r="D2115">
        <v>239.9</v>
      </c>
      <c r="E2115">
        <v>399.14</v>
      </c>
      <c r="F2115" s="15">
        <f>IFERROR(PRD[[#This Row],[VALOR]]/PRD[[#This Row],[KGS]],"")</f>
        <v>1.6637765735723218</v>
      </c>
      <c r="H2115" s="27"/>
    </row>
    <row r="2116" spans="1:8" x14ac:dyDescent="0.25">
      <c r="A2116" s="21">
        <v>1011800</v>
      </c>
      <c r="B2116" s="1">
        <v>45200</v>
      </c>
      <c r="C2116" t="s">
        <v>713</v>
      </c>
      <c r="D2116">
        <v>3765.73</v>
      </c>
      <c r="E2116">
        <v>6728.94</v>
      </c>
      <c r="F2116" s="15">
        <f>IFERROR(PRD[[#This Row],[VALOR]]/PRD[[#This Row],[KGS]],"")</f>
        <v>1.7868885979610858</v>
      </c>
      <c r="H2116" s="27"/>
    </row>
    <row r="2117" spans="1:8" x14ac:dyDescent="0.25">
      <c r="A2117" s="21">
        <v>1011801</v>
      </c>
      <c r="B2117" s="1">
        <v>45200</v>
      </c>
      <c r="C2117" t="s">
        <v>714</v>
      </c>
      <c r="D2117">
        <v>35.71</v>
      </c>
      <c r="E2117">
        <v>53.57</v>
      </c>
      <c r="F2117" s="15">
        <f>IFERROR(PRD[[#This Row],[VALOR]]/PRD[[#This Row],[KGS]],"")</f>
        <v>1.5001400168020163</v>
      </c>
      <c r="H2117" s="27"/>
    </row>
    <row r="2118" spans="1:8" x14ac:dyDescent="0.25">
      <c r="A2118" s="21">
        <v>1011901</v>
      </c>
      <c r="B2118" s="1">
        <v>45200</v>
      </c>
      <c r="C2118" t="s">
        <v>715</v>
      </c>
      <c r="D2118">
        <v>76.02</v>
      </c>
      <c r="E2118">
        <v>76.02</v>
      </c>
      <c r="F2118" s="15">
        <f>IFERROR(PRD[[#This Row],[VALOR]]/PRD[[#This Row],[KGS]],"")</f>
        <v>1</v>
      </c>
      <c r="H2118" s="27"/>
    </row>
    <row r="2119" spans="1:8" x14ac:dyDescent="0.25">
      <c r="A2119" s="21">
        <v>1012000</v>
      </c>
      <c r="B2119" s="1">
        <v>45200</v>
      </c>
      <c r="C2119" t="s">
        <v>761</v>
      </c>
      <c r="D2119">
        <v>1.7</v>
      </c>
      <c r="E2119">
        <v>4.25</v>
      </c>
      <c r="F2119" s="15">
        <f>IFERROR(PRD[[#This Row],[VALOR]]/PRD[[#This Row],[KGS]],"")</f>
        <v>2.5</v>
      </c>
      <c r="H2119" s="27"/>
    </row>
    <row r="2120" spans="1:8" x14ac:dyDescent="0.25">
      <c r="A2120" s="21">
        <v>1012100</v>
      </c>
      <c r="B2120" s="1">
        <v>45200</v>
      </c>
      <c r="C2120" t="s">
        <v>302</v>
      </c>
      <c r="D2120">
        <v>468.9</v>
      </c>
      <c r="E2120">
        <v>1312.92</v>
      </c>
      <c r="F2120" s="15">
        <f>IFERROR(PRD[[#This Row],[VALOR]]/PRD[[#This Row],[KGS]],"")</f>
        <v>2.8000000000000003</v>
      </c>
      <c r="H2120" s="27"/>
    </row>
    <row r="2121" spans="1:8" x14ac:dyDescent="0.25">
      <c r="A2121" s="21">
        <v>1012200</v>
      </c>
      <c r="B2121" s="1">
        <v>45200</v>
      </c>
      <c r="C2121" t="s">
        <v>39</v>
      </c>
      <c r="D2121">
        <v>1540.11</v>
      </c>
      <c r="E2121">
        <v>2426.29</v>
      </c>
      <c r="F2121" s="15">
        <f>IFERROR(PRD[[#This Row],[VALOR]]/PRD[[#This Row],[KGS]],"")</f>
        <v>1.575400458408815</v>
      </c>
      <c r="H2121" s="27"/>
    </row>
    <row r="2122" spans="1:8" x14ac:dyDescent="0.25">
      <c r="A2122" s="21">
        <v>1012201</v>
      </c>
      <c r="B2122" s="1">
        <v>45200</v>
      </c>
      <c r="C2122" t="s">
        <v>716</v>
      </c>
      <c r="D2122">
        <v>448.06</v>
      </c>
      <c r="E2122">
        <v>883.23</v>
      </c>
      <c r="F2122" s="15">
        <f>IFERROR(PRD[[#This Row],[VALOR]]/PRD[[#This Row],[KGS]],"")</f>
        <v>1.9712315314913182</v>
      </c>
      <c r="H2122" s="27"/>
    </row>
    <row r="2123" spans="1:8" x14ac:dyDescent="0.25">
      <c r="A2123" s="21">
        <v>1012203</v>
      </c>
      <c r="B2123" s="1">
        <v>45200</v>
      </c>
      <c r="C2123" t="s">
        <v>43</v>
      </c>
      <c r="D2123">
        <v>1098.5999999999999</v>
      </c>
      <c r="E2123">
        <v>1889.42</v>
      </c>
      <c r="F2123" s="15">
        <f>IFERROR(PRD[[#This Row],[VALOR]]/PRD[[#This Row],[KGS]],"")</f>
        <v>1.7198434371017661</v>
      </c>
      <c r="H2123" s="27"/>
    </row>
    <row r="2124" spans="1:8" x14ac:dyDescent="0.25">
      <c r="A2124" s="21">
        <v>1012205</v>
      </c>
      <c r="B2124" s="1">
        <v>45200</v>
      </c>
      <c r="C2124" t="s">
        <v>762</v>
      </c>
      <c r="D2124">
        <v>5315</v>
      </c>
      <c r="E2124">
        <v>5878.44</v>
      </c>
      <c r="F2124" s="15">
        <f>IFERROR(PRD[[#This Row],[VALOR]]/PRD[[#This Row],[KGS]],"")</f>
        <v>1.1060094073377233</v>
      </c>
      <c r="H2124" s="27"/>
    </row>
    <row r="2125" spans="1:8" x14ac:dyDescent="0.25">
      <c r="A2125" s="21">
        <v>1012206</v>
      </c>
      <c r="B2125" s="1">
        <v>45200</v>
      </c>
      <c r="C2125" t="s">
        <v>763</v>
      </c>
      <c r="D2125">
        <v>24</v>
      </c>
      <c r="E2125">
        <v>29.9</v>
      </c>
      <c r="F2125" s="15">
        <f>IFERROR(PRD[[#This Row],[VALOR]]/PRD[[#This Row],[KGS]],"")</f>
        <v>1.2458333333333333</v>
      </c>
      <c r="H2125" s="27"/>
    </row>
    <row r="2126" spans="1:8" x14ac:dyDescent="0.25">
      <c r="A2126" s="21">
        <v>1012300</v>
      </c>
      <c r="B2126" s="1">
        <v>45200</v>
      </c>
      <c r="C2126" t="s">
        <v>45</v>
      </c>
      <c r="D2126">
        <v>347.57</v>
      </c>
      <c r="E2126">
        <v>514.32000000000005</v>
      </c>
      <c r="F2126" s="15">
        <f>IFERROR(PRD[[#This Row],[VALOR]]/PRD[[#This Row],[KGS]],"")</f>
        <v>1.4797594729119317</v>
      </c>
      <c r="H2126" s="27"/>
    </row>
    <row r="2127" spans="1:8" x14ac:dyDescent="0.25">
      <c r="A2127" s="21">
        <v>1012301</v>
      </c>
      <c r="B2127" s="1">
        <v>45200</v>
      </c>
      <c r="C2127" t="s">
        <v>47</v>
      </c>
      <c r="D2127">
        <v>2730</v>
      </c>
      <c r="E2127">
        <v>3588.5</v>
      </c>
      <c r="F2127" s="15">
        <f>IFERROR(PRD[[#This Row],[VALOR]]/PRD[[#This Row],[KGS]],"")</f>
        <v>1.3144688644688645</v>
      </c>
      <c r="H2127" s="27"/>
    </row>
    <row r="2128" spans="1:8" x14ac:dyDescent="0.25">
      <c r="A2128" s="21">
        <v>1012400</v>
      </c>
      <c r="B2128" s="1">
        <v>45200</v>
      </c>
      <c r="C2128" t="s">
        <v>49</v>
      </c>
      <c r="D2128">
        <v>1087.97</v>
      </c>
      <c r="E2128">
        <v>1763.05</v>
      </c>
      <c r="F2128" s="15">
        <f>IFERROR(PRD[[#This Row],[VALOR]]/PRD[[#This Row],[KGS]],"")</f>
        <v>1.6204950504149931</v>
      </c>
      <c r="H2128" s="27"/>
    </row>
    <row r="2129" spans="1:8" x14ac:dyDescent="0.25">
      <c r="A2129" s="21">
        <v>1012401</v>
      </c>
      <c r="B2129" s="1">
        <v>45200</v>
      </c>
      <c r="C2129" t="s">
        <v>51</v>
      </c>
      <c r="D2129">
        <v>221.07</v>
      </c>
      <c r="E2129">
        <v>286.45999999999998</v>
      </c>
      <c r="F2129" s="15">
        <f>IFERROR(PRD[[#This Row],[VALOR]]/PRD[[#This Row],[KGS]],"")</f>
        <v>1.2957886642240013</v>
      </c>
      <c r="H2129" s="27"/>
    </row>
    <row r="2130" spans="1:8" x14ac:dyDescent="0.25">
      <c r="A2130" s="21">
        <v>1012500</v>
      </c>
      <c r="B2130" s="1">
        <v>45200</v>
      </c>
      <c r="C2130" t="s">
        <v>53</v>
      </c>
      <c r="D2130">
        <v>1158.7</v>
      </c>
      <c r="E2130">
        <v>300.58</v>
      </c>
      <c r="F2130" s="15">
        <f>IFERROR(PRD[[#This Row],[VALOR]]/PRD[[#This Row],[KGS]],"")</f>
        <v>0.25941140933805124</v>
      </c>
      <c r="H2130" s="27"/>
    </row>
    <row r="2131" spans="1:8" x14ac:dyDescent="0.25">
      <c r="A2131" s="21">
        <v>1012601</v>
      </c>
      <c r="B2131" s="1">
        <v>45200</v>
      </c>
      <c r="C2131" t="s">
        <v>55</v>
      </c>
      <c r="D2131">
        <v>134</v>
      </c>
      <c r="E2131">
        <v>134</v>
      </c>
      <c r="F2131" s="15">
        <f>IFERROR(PRD[[#This Row],[VALOR]]/PRD[[#This Row],[KGS]],"")</f>
        <v>1</v>
      </c>
      <c r="H2131" s="27"/>
    </row>
    <row r="2132" spans="1:8" x14ac:dyDescent="0.25">
      <c r="A2132" s="21">
        <v>1012700</v>
      </c>
      <c r="B2132" s="1">
        <v>45200</v>
      </c>
      <c r="C2132" t="s">
        <v>630</v>
      </c>
      <c r="D2132">
        <v>48.5</v>
      </c>
      <c r="E2132">
        <v>63.05</v>
      </c>
      <c r="F2132" s="15">
        <f>IFERROR(PRD[[#This Row],[VALOR]]/PRD[[#This Row],[KGS]],"")</f>
        <v>1.3</v>
      </c>
      <c r="H2132" s="27"/>
    </row>
    <row r="2133" spans="1:8" x14ac:dyDescent="0.25">
      <c r="A2133" s="21">
        <v>1012800</v>
      </c>
      <c r="B2133" s="1">
        <v>45200</v>
      </c>
      <c r="C2133" t="s">
        <v>439</v>
      </c>
      <c r="D2133">
        <v>49</v>
      </c>
      <c r="E2133">
        <v>68.88</v>
      </c>
      <c r="F2133" s="15">
        <f>IFERROR(PRD[[#This Row],[VALOR]]/PRD[[#This Row],[KGS]],"")</f>
        <v>1.4057142857142857</v>
      </c>
      <c r="H2133" s="27"/>
    </row>
    <row r="2134" spans="1:8" x14ac:dyDescent="0.25">
      <c r="A2134" s="21">
        <v>1013100</v>
      </c>
      <c r="B2134" s="1">
        <v>45200</v>
      </c>
      <c r="C2134" t="s">
        <v>57</v>
      </c>
      <c r="D2134">
        <v>55.7</v>
      </c>
      <c r="E2134">
        <v>76.849999999999994</v>
      </c>
      <c r="F2134" s="15">
        <f>IFERROR(PRD[[#This Row],[VALOR]]/PRD[[#This Row],[KGS]],"")</f>
        <v>1.3797127468581687</v>
      </c>
      <c r="H2134" s="27"/>
    </row>
    <row r="2135" spans="1:8" x14ac:dyDescent="0.25">
      <c r="A2135" s="21">
        <v>1013101</v>
      </c>
      <c r="B2135" s="1">
        <v>45200</v>
      </c>
      <c r="C2135" t="s">
        <v>717</v>
      </c>
      <c r="D2135">
        <v>3951</v>
      </c>
      <c r="E2135">
        <v>4050</v>
      </c>
      <c r="F2135" s="15">
        <f>IFERROR(PRD[[#This Row],[VALOR]]/PRD[[#This Row],[KGS]],"")</f>
        <v>1.0250569476082005</v>
      </c>
      <c r="H2135" s="27"/>
    </row>
    <row r="2136" spans="1:8" x14ac:dyDescent="0.25">
      <c r="A2136" s="21">
        <v>1013200</v>
      </c>
      <c r="B2136" s="1">
        <v>45200</v>
      </c>
      <c r="C2136" t="s">
        <v>59</v>
      </c>
      <c r="D2136">
        <v>2703.5</v>
      </c>
      <c r="E2136">
        <v>2881.42</v>
      </c>
      <c r="F2136" s="15">
        <f>IFERROR(PRD[[#This Row],[VALOR]]/PRD[[#This Row],[KGS]],"")</f>
        <v>1.0658109857592011</v>
      </c>
      <c r="H2136" s="27"/>
    </row>
    <row r="2137" spans="1:8" x14ac:dyDescent="0.25">
      <c r="A2137" s="21">
        <v>1013201</v>
      </c>
      <c r="B2137" s="1">
        <v>45200</v>
      </c>
      <c r="C2137" t="s">
        <v>347</v>
      </c>
      <c r="D2137">
        <v>1867</v>
      </c>
      <c r="E2137">
        <v>2148</v>
      </c>
      <c r="F2137" s="15">
        <f>IFERROR(PRD[[#This Row],[VALOR]]/PRD[[#This Row],[KGS]],"")</f>
        <v>1.1505088377075523</v>
      </c>
      <c r="H2137" s="27"/>
    </row>
    <row r="2138" spans="1:8" x14ac:dyDescent="0.25">
      <c r="A2138" s="21">
        <v>1013202</v>
      </c>
      <c r="B2138" s="1">
        <v>45200</v>
      </c>
      <c r="C2138" t="s">
        <v>443</v>
      </c>
      <c r="D2138">
        <v>76</v>
      </c>
      <c r="E2138">
        <v>76</v>
      </c>
      <c r="F2138" s="15">
        <f>IFERROR(PRD[[#This Row],[VALOR]]/PRD[[#This Row],[KGS]],"")</f>
        <v>1</v>
      </c>
      <c r="H2138" s="27"/>
    </row>
    <row r="2139" spans="1:8" x14ac:dyDescent="0.25">
      <c r="A2139" s="21">
        <v>1013300</v>
      </c>
      <c r="B2139" s="1">
        <v>45200</v>
      </c>
      <c r="C2139" t="s">
        <v>348</v>
      </c>
      <c r="D2139">
        <v>800.1</v>
      </c>
      <c r="E2139">
        <v>240.03</v>
      </c>
      <c r="F2139" s="15">
        <f>IFERROR(PRD[[#This Row],[VALOR]]/PRD[[#This Row],[KGS]],"")</f>
        <v>0.3</v>
      </c>
      <c r="H2139" s="27"/>
    </row>
    <row r="2140" spans="1:8" x14ac:dyDescent="0.25">
      <c r="A2140" s="21">
        <v>1013500</v>
      </c>
      <c r="B2140" s="1">
        <v>45200</v>
      </c>
      <c r="C2140" t="s">
        <v>61</v>
      </c>
      <c r="D2140">
        <v>22.8</v>
      </c>
      <c r="E2140">
        <v>11.4</v>
      </c>
      <c r="F2140" s="15">
        <f>IFERROR(PRD[[#This Row],[VALOR]]/PRD[[#This Row],[KGS]],"")</f>
        <v>0.5</v>
      </c>
      <c r="H2140" s="27"/>
    </row>
    <row r="2141" spans="1:8" x14ac:dyDescent="0.25">
      <c r="A2141" s="21">
        <v>1100100</v>
      </c>
      <c r="B2141" s="1">
        <v>45200</v>
      </c>
      <c r="C2141" t="s">
        <v>63</v>
      </c>
      <c r="D2141">
        <v>57382.68</v>
      </c>
      <c r="E2141">
        <v>152514.26999999999</v>
      </c>
      <c r="F2141" s="15">
        <f>IFERROR(PRD[[#This Row],[VALOR]]/PRD[[#This Row],[KGS]],"")</f>
        <v>2.6578450152554742</v>
      </c>
      <c r="H2141" s="27"/>
    </row>
    <row r="2142" spans="1:8" x14ac:dyDescent="0.25">
      <c r="A2142" s="21">
        <v>1100101</v>
      </c>
      <c r="B2142" s="1">
        <v>45200</v>
      </c>
      <c r="C2142" t="s">
        <v>65</v>
      </c>
      <c r="D2142">
        <v>459.8</v>
      </c>
      <c r="E2142">
        <v>1243.6099999999999</v>
      </c>
      <c r="F2142" s="15">
        <f>IFERROR(PRD[[#This Row],[VALOR]]/PRD[[#This Row],[KGS]],"")</f>
        <v>2.7046759460635057</v>
      </c>
      <c r="H2142" s="27"/>
    </row>
    <row r="2143" spans="1:8" x14ac:dyDescent="0.25">
      <c r="A2143" s="21">
        <v>1100200</v>
      </c>
      <c r="B2143" s="1">
        <v>45200</v>
      </c>
      <c r="C2143" t="s">
        <v>67</v>
      </c>
      <c r="D2143">
        <v>57969.83</v>
      </c>
      <c r="E2143">
        <v>170716.68</v>
      </c>
      <c r="F2143" s="15">
        <f>IFERROR(PRD[[#This Row],[VALOR]]/PRD[[#This Row],[KGS]],"")</f>
        <v>2.9449229021371979</v>
      </c>
      <c r="H2143" s="27"/>
    </row>
    <row r="2144" spans="1:8" x14ac:dyDescent="0.25">
      <c r="A2144" s="21">
        <v>1100300</v>
      </c>
      <c r="B2144" s="1">
        <v>45200</v>
      </c>
      <c r="C2144" t="s">
        <v>69</v>
      </c>
      <c r="D2144">
        <v>15327.46</v>
      </c>
      <c r="E2144">
        <v>44930.44</v>
      </c>
      <c r="F2144" s="15">
        <f>IFERROR(PRD[[#This Row],[VALOR]]/PRD[[#This Row],[KGS]],"")</f>
        <v>2.9313689287070397</v>
      </c>
      <c r="H2144" s="27"/>
    </row>
    <row r="2145" spans="1:8" x14ac:dyDescent="0.25">
      <c r="A2145" s="21">
        <v>1100301</v>
      </c>
      <c r="B2145" s="1">
        <v>45200</v>
      </c>
      <c r="C2145" t="s">
        <v>71</v>
      </c>
      <c r="D2145">
        <v>411</v>
      </c>
      <c r="E2145">
        <v>1309.22</v>
      </c>
      <c r="F2145" s="15">
        <f>IFERROR(PRD[[#This Row],[VALOR]]/PRD[[#This Row],[KGS]],"")</f>
        <v>3.1854501216545015</v>
      </c>
      <c r="H2145" s="27"/>
    </row>
    <row r="2146" spans="1:8" x14ac:dyDescent="0.25">
      <c r="A2146" s="21">
        <v>1100400</v>
      </c>
      <c r="B2146" s="1">
        <v>45200</v>
      </c>
      <c r="C2146" t="s">
        <v>73</v>
      </c>
      <c r="D2146">
        <v>11856.6</v>
      </c>
      <c r="E2146">
        <v>30858.25</v>
      </c>
      <c r="F2146" s="15">
        <f>IFERROR(PRD[[#This Row],[VALOR]]/PRD[[#This Row],[KGS]],"")</f>
        <v>2.6026221682438471</v>
      </c>
      <c r="H2146" s="27"/>
    </row>
    <row r="2147" spans="1:8" x14ac:dyDescent="0.25">
      <c r="A2147" s="21">
        <v>1100500</v>
      </c>
      <c r="B2147" s="1">
        <v>45200</v>
      </c>
      <c r="C2147" t="s">
        <v>75</v>
      </c>
      <c r="D2147">
        <v>771.48</v>
      </c>
      <c r="E2147">
        <v>2081.3000000000002</v>
      </c>
      <c r="F2147" s="15">
        <f>IFERROR(PRD[[#This Row],[VALOR]]/PRD[[#This Row],[KGS]],"")</f>
        <v>2.6978016280396124</v>
      </c>
      <c r="H2147" s="27"/>
    </row>
    <row r="2148" spans="1:8" x14ac:dyDescent="0.25">
      <c r="A2148" s="21">
        <v>1100600</v>
      </c>
      <c r="B2148" s="1">
        <v>45200</v>
      </c>
      <c r="C2148" t="s">
        <v>77</v>
      </c>
      <c r="D2148">
        <v>6980.18</v>
      </c>
      <c r="E2148">
        <v>24354.01</v>
      </c>
      <c r="F2148" s="15">
        <f>IFERROR(PRD[[#This Row],[VALOR]]/PRD[[#This Row],[KGS]],"")</f>
        <v>3.4890232057052968</v>
      </c>
      <c r="H2148" s="27"/>
    </row>
    <row r="2149" spans="1:8" x14ac:dyDescent="0.25">
      <c r="A2149" s="21">
        <v>1100602</v>
      </c>
      <c r="B2149" s="1">
        <v>45200</v>
      </c>
      <c r="C2149" t="s">
        <v>79</v>
      </c>
      <c r="D2149">
        <v>807.1</v>
      </c>
      <c r="E2149">
        <v>4158.47</v>
      </c>
      <c r="F2149" s="15">
        <f>IFERROR(PRD[[#This Row],[VALOR]]/PRD[[#This Row],[KGS]],"")</f>
        <v>5.1523603023169375</v>
      </c>
      <c r="H2149" s="27"/>
    </row>
    <row r="2150" spans="1:8" x14ac:dyDescent="0.25">
      <c r="A2150" s="21">
        <v>1100603</v>
      </c>
      <c r="B2150" s="1">
        <v>45200</v>
      </c>
      <c r="C2150" t="s">
        <v>304</v>
      </c>
      <c r="D2150">
        <v>70</v>
      </c>
      <c r="E2150">
        <v>405.9</v>
      </c>
      <c r="F2150" s="15">
        <f>IFERROR(PRD[[#This Row],[VALOR]]/PRD[[#This Row],[KGS]],"")</f>
        <v>5.798571428571428</v>
      </c>
      <c r="H2150" s="27"/>
    </row>
    <row r="2151" spans="1:8" x14ac:dyDescent="0.25">
      <c r="A2151" s="21">
        <v>1100605</v>
      </c>
      <c r="B2151" s="1">
        <v>45200</v>
      </c>
      <c r="C2151" t="s">
        <v>631</v>
      </c>
      <c r="D2151">
        <v>405</v>
      </c>
      <c r="E2151">
        <v>1519.1</v>
      </c>
      <c r="F2151" s="15">
        <f>IFERROR(PRD[[#This Row],[VALOR]]/PRD[[#This Row],[KGS]],"")</f>
        <v>3.7508641975308641</v>
      </c>
      <c r="H2151" s="27"/>
    </row>
    <row r="2152" spans="1:8" x14ac:dyDescent="0.25">
      <c r="A2152" s="21">
        <v>1100608</v>
      </c>
      <c r="B2152" s="1">
        <v>45200</v>
      </c>
      <c r="C2152" t="s">
        <v>349</v>
      </c>
      <c r="D2152">
        <v>7405.01</v>
      </c>
      <c r="E2152">
        <v>24774.02</v>
      </c>
      <c r="F2152" s="15">
        <f>IFERROR(PRD[[#This Row],[VALOR]]/PRD[[#This Row],[KGS]],"")</f>
        <v>3.3455754955091215</v>
      </c>
      <c r="H2152" s="27"/>
    </row>
    <row r="2153" spans="1:8" x14ac:dyDescent="0.25">
      <c r="A2153" s="21">
        <v>1100700</v>
      </c>
      <c r="B2153" s="1">
        <v>45200</v>
      </c>
      <c r="C2153" t="s">
        <v>83</v>
      </c>
      <c r="D2153">
        <v>12850.25</v>
      </c>
      <c r="E2153">
        <v>42256.86</v>
      </c>
      <c r="F2153" s="15">
        <f>IFERROR(PRD[[#This Row],[VALOR]]/PRD[[#This Row],[KGS]],"")</f>
        <v>3.2884076185288222</v>
      </c>
      <c r="H2153" s="27"/>
    </row>
    <row r="2154" spans="1:8" x14ac:dyDescent="0.25">
      <c r="A2154" s="21">
        <v>1100701</v>
      </c>
      <c r="B2154" s="1">
        <v>45200</v>
      </c>
      <c r="C2154" t="s">
        <v>84</v>
      </c>
      <c r="D2154">
        <v>207.9</v>
      </c>
      <c r="E2154">
        <v>806.82</v>
      </c>
      <c r="F2154" s="15">
        <f>IFERROR(PRD[[#This Row],[VALOR]]/PRD[[#This Row],[KGS]],"")</f>
        <v>3.8808080808080812</v>
      </c>
      <c r="H2154" s="27"/>
    </row>
    <row r="2155" spans="1:8" x14ac:dyDescent="0.25">
      <c r="A2155" s="21">
        <v>1100703</v>
      </c>
      <c r="B2155" s="1">
        <v>45200</v>
      </c>
      <c r="C2155" t="s">
        <v>86</v>
      </c>
      <c r="D2155">
        <v>1192.8800000000001</v>
      </c>
      <c r="E2155">
        <v>4637.41</v>
      </c>
      <c r="F2155" s="15">
        <f>IFERROR(PRD[[#This Row],[VALOR]]/PRD[[#This Row],[KGS]],"")</f>
        <v>3.8875746093488024</v>
      </c>
      <c r="H2155" s="27"/>
    </row>
    <row r="2156" spans="1:8" x14ac:dyDescent="0.25">
      <c r="A2156" s="21">
        <v>1100705</v>
      </c>
      <c r="B2156" s="1">
        <v>45200</v>
      </c>
      <c r="C2156" t="s">
        <v>88</v>
      </c>
      <c r="D2156">
        <v>187.8</v>
      </c>
      <c r="E2156">
        <v>296.33</v>
      </c>
      <c r="F2156" s="15">
        <f>IFERROR(PRD[[#This Row],[VALOR]]/PRD[[#This Row],[KGS]],"")</f>
        <v>1.5779020234291798</v>
      </c>
      <c r="H2156" s="27"/>
    </row>
    <row r="2157" spans="1:8" x14ac:dyDescent="0.25">
      <c r="A2157" s="21">
        <v>1100706</v>
      </c>
      <c r="B2157" s="1">
        <v>45200</v>
      </c>
      <c r="C2157" t="s">
        <v>305</v>
      </c>
      <c r="D2157">
        <v>7.47</v>
      </c>
      <c r="E2157">
        <v>14.19</v>
      </c>
      <c r="F2157" s="15">
        <f>IFERROR(PRD[[#This Row],[VALOR]]/PRD[[#This Row],[KGS]],"")</f>
        <v>1.8995983935742973</v>
      </c>
      <c r="H2157" s="27"/>
    </row>
    <row r="2158" spans="1:8" x14ac:dyDescent="0.25">
      <c r="A2158" s="21">
        <v>1100707</v>
      </c>
      <c r="B2158" s="1">
        <v>45200</v>
      </c>
      <c r="C2158" t="s">
        <v>686</v>
      </c>
      <c r="D2158">
        <v>1303.77</v>
      </c>
      <c r="E2158">
        <v>5283.08</v>
      </c>
      <c r="F2158" s="15">
        <f>IFERROR(PRD[[#This Row],[VALOR]]/PRD[[#This Row],[KGS]],"")</f>
        <v>4.0521564386356488</v>
      </c>
      <c r="H2158" s="27"/>
    </row>
    <row r="2159" spans="1:8" x14ac:dyDescent="0.25">
      <c r="A2159" s="21">
        <v>1100709</v>
      </c>
      <c r="B2159" s="1">
        <v>45200</v>
      </c>
      <c r="C2159" t="s">
        <v>764</v>
      </c>
      <c r="D2159">
        <v>753.26</v>
      </c>
      <c r="E2159">
        <v>3154.21</v>
      </c>
      <c r="F2159" s="15">
        <f>IFERROR(PRD[[#This Row],[VALOR]]/PRD[[#This Row],[KGS]],"")</f>
        <v>4.1874120489605184</v>
      </c>
      <c r="H2159" s="27"/>
    </row>
    <row r="2160" spans="1:8" x14ac:dyDescent="0.25">
      <c r="A2160" s="21">
        <v>1100800</v>
      </c>
      <c r="B2160" s="1">
        <v>45200</v>
      </c>
      <c r="C2160" t="s">
        <v>90</v>
      </c>
      <c r="D2160">
        <v>13162.57</v>
      </c>
      <c r="E2160">
        <v>40296.35</v>
      </c>
      <c r="F2160" s="15">
        <f>IFERROR(PRD[[#This Row],[VALOR]]/PRD[[#This Row],[KGS]],"")</f>
        <v>3.0614348109829614</v>
      </c>
      <c r="H2160" s="27"/>
    </row>
    <row r="2161" spans="1:8" x14ac:dyDescent="0.25">
      <c r="A2161" s="21">
        <v>1100802</v>
      </c>
      <c r="B2161" s="1">
        <v>45200</v>
      </c>
      <c r="C2161" t="s">
        <v>306</v>
      </c>
      <c r="D2161">
        <v>200.2</v>
      </c>
      <c r="E2161">
        <v>611.01</v>
      </c>
      <c r="F2161" s="15">
        <f>IFERROR(PRD[[#This Row],[VALOR]]/PRD[[#This Row],[KGS]],"")</f>
        <v>3.051998001998002</v>
      </c>
      <c r="H2161" s="27"/>
    </row>
    <row r="2162" spans="1:8" x14ac:dyDescent="0.25">
      <c r="A2162" s="21">
        <v>1100900</v>
      </c>
      <c r="B2162" s="1">
        <v>45200</v>
      </c>
      <c r="C2162" t="s">
        <v>94</v>
      </c>
      <c r="D2162">
        <v>638.45000000000005</v>
      </c>
      <c r="E2162">
        <v>3530.88</v>
      </c>
      <c r="F2162" s="15">
        <f>IFERROR(PRD[[#This Row],[VALOR]]/PRD[[#This Row],[KGS]],"")</f>
        <v>5.5303939227817365</v>
      </c>
      <c r="H2162" s="27"/>
    </row>
    <row r="2163" spans="1:8" x14ac:dyDescent="0.25">
      <c r="A2163" s="21">
        <v>1101000</v>
      </c>
      <c r="B2163" s="1">
        <v>45200</v>
      </c>
      <c r="C2163" t="s">
        <v>96</v>
      </c>
      <c r="D2163">
        <v>10905.86</v>
      </c>
      <c r="E2163">
        <v>39101.629999999997</v>
      </c>
      <c r="F2163" s="15">
        <f>IFERROR(PRD[[#This Row],[VALOR]]/PRD[[#This Row],[KGS]],"")</f>
        <v>3.5853779527703451</v>
      </c>
      <c r="H2163" s="27"/>
    </row>
    <row r="2164" spans="1:8" x14ac:dyDescent="0.25">
      <c r="A2164" s="21">
        <v>1101001</v>
      </c>
      <c r="B2164" s="1">
        <v>45200</v>
      </c>
      <c r="C2164" t="s">
        <v>98</v>
      </c>
      <c r="D2164">
        <v>215.6</v>
      </c>
      <c r="E2164">
        <v>950.85</v>
      </c>
      <c r="F2164" s="15">
        <f>IFERROR(PRD[[#This Row],[VALOR]]/PRD[[#This Row],[KGS]],"")</f>
        <v>4.4102504638218925</v>
      </c>
      <c r="H2164" s="27"/>
    </row>
    <row r="2165" spans="1:8" x14ac:dyDescent="0.25">
      <c r="A2165" s="21">
        <v>1101002</v>
      </c>
      <c r="B2165" s="1">
        <v>45200</v>
      </c>
      <c r="C2165" t="s">
        <v>687</v>
      </c>
      <c r="D2165">
        <v>1307.9000000000001</v>
      </c>
      <c r="E2165">
        <v>5881.08</v>
      </c>
      <c r="F2165" s="15">
        <f>IFERROR(PRD[[#This Row],[VALOR]]/PRD[[#This Row],[KGS]],"")</f>
        <v>4.4965823075158644</v>
      </c>
      <c r="H2165" s="27"/>
    </row>
    <row r="2166" spans="1:8" x14ac:dyDescent="0.25">
      <c r="A2166" s="21">
        <v>1101100</v>
      </c>
      <c r="B2166" s="1">
        <v>45200</v>
      </c>
      <c r="C2166" t="s">
        <v>100</v>
      </c>
      <c r="D2166">
        <v>41279.910000000003</v>
      </c>
      <c r="E2166">
        <v>132957.91</v>
      </c>
      <c r="F2166" s="15">
        <f>IFERROR(PRD[[#This Row],[VALOR]]/PRD[[#This Row],[KGS]],"")</f>
        <v>3.2208866249950638</v>
      </c>
      <c r="H2166" s="27"/>
    </row>
    <row r="2167" spans="1:8" x14ac:dyDescent="0.25">
      <c r="A2167" s="21">
        <v>1101102</v>
      </c>
      <c r="B2167" s="1">
        <v>45200</v>
      </c>
      <c r="C2167" t="s">
        <v>742</v>
      </c>
      <c r="D2167">
        <v>843.5</v>
      </c>
      <c r="E2167">
        <v>3020.02</v>
      </c>
      <c r="F2167" s="15">
        <f>IFERROR(PRD[[#This Row],[VALOR]]/PRD[[#This Row],[KGS]],"")</f>
        <v>3.5803438055720211</v>
      </c>
      <c r="H2167" s="27"/>
    </row>
    <row r="2168" spans="1:8" x14ac:dyDescent="0.25">
      <c r="A2168" s="21">
        <v>1101108</v>
      </c>
      <c r="B2168" s="1">
        <v>45200</v>
      </c>
      <c r="C2168" t="s">
        <v>743</v>
      </c>
      <c r="D2168">
        <v>100.71</v>
      </c>
      <c r="E2168">
        <v>434.18</v>
      </c>
      <c r="F2168" s="15">
        <f>IFERROR(PRD[[#This Row],[VALOR]]/PRD[[#This Row],[KGS]],"")</f>
        <v>4.3111905471154808</v>
      </c>
      <c r="H2168" s="27"/>
    </row>
    <row r="2169" spans="1:8" x14ac:dyDescent="0.25">
      <c r="A2169" s="21">
        <v>1101300</v>
      </c>
      <c r="B2169" s="1">
        <v>45200</v>
      </c>
      <c r="C2169" t="s">
        <v>102</v>
      </c>
      <c r="D2169">
        <v>143.08000000000001</v>
      </c>
      <c r="E2169">
        <v>661.52</v>
      </c>
      <c r="F2169" s="15">
        <f>IFERROR(PRD[[#This Row],[VALOR]]/PRD[[#This Row],[KGS]],"")</f>
        <v>4.6234274531730497</v>
      </c>
      <c r="H2169" s="27"/>
    </row>
    <row r="2170" spans="1:8" x14ac:dyDescent="0.25">
      <c r="A2170" s="21">
        <v>1101400</v>
      </c>
      <c r="B2170" s="1">
        <v>45200</v>
      </c>
      <c r="C2170" t="s">
        <v>104</v>
      </c>
      <c r="D2170">
        <v>20593.189999999999</v>
      </c>
      <c r="E2170">
        <v>53861.86</v>
      </c>
      <c r="F2170" s="15">
        <f>IFERROR(PRD[[#This Row],[VALOR]]/PRD[[#This Row],[KGS]],"")</f>
        <v>2.6155180426150588</v>
      </c>
      <c r="H2170" s="27"/>
    </row>
    <row r="2171" spans="1:8" x14ac:dyDescent="0.25">
      <c r="A2171" s="21">
        <v>1101500</v>
      </c>
      <c r="B2171" s="1">
        <v>45200</v>
      </c>
      <c r="C2171" t="s">
        <v>106</v>
      </c>
      <c r="D2171">
        <v>420.4</v>
      </c>
      <c r="E2171">
        <v>1213.5</v>
      </c>
      <c r="F2171" s="15">
        <f>IFERROR(PRD[[#This Row],[VALOR]]/PRD[[#This Row],[KGS]],"")</f>
        <v>2.8865366317792578</v>
      </c>
      <c r="H2171" s="27"/>
    </row>
    <row r="2172" spans="1:8" x14ac:dyDescent="0.25">
      <c r="A2172" s="21">
        <v>1101600</v>
      </c>
      <c r="B2172" s="1">
        <v>45200</v>
      </c>
      <c r="C2172" t="s">
        <v>720</v>
      </c>
      <c r="D2172">
        <v>70.5</v>
      </c>
      <c r="E2172">
        <v>205.98</v>
      </c>
      <c r="F2172" s="15">
        <f>IFERROR(PRD[[#This Row],[VALOR]]/PRD[[#This Row],[KGS]],"")</f>
        <v>2.9217021276595743</v>
      </c>
      <c r="H2172" s="27"/>
    </row>
    <row r="2173" spans="1:8" x14ac:dyDescent="0.25">
      <c r="A2173" s="21">
        <v>1101700</v>
      </c>
      <c r="B2173" s="1">
        <v>45200</v>
      </c>
      <c r="C2173" t="s">
        <v>110</v>
      </c>
      <c r="D2173">
        <v>2232.6999999999998</v>
      </c>
      <c r="E2173">
        <v>5954</v>
      </c>
      <c r="F2173" s="15">
        <f>IFERROR(PRD[[#This Row],[VALOR]]/PRD[[#This Row],[KGS]],"")</f>
        <v>2.6667263850942806</v>
      </c>
      <c r="H2173" s="27"/>
    </row>
    <row r="2174" spans="1:8" x14ac:dyDescent="0.25">
      <c r="A2174" s="21">
        <v>1101801</v>
      </c>
      <c r="B2174" s="1">
        <v>45200</v>
      </c>
      <c r="C2174" t="s">
        <v>112</v>
      </c>
      <c r="D2174">
        <v>5913.45</v>
      </c>
      <c r="E2174">
        <v>14887.29</v>
      </c>
      <c r="F2174" s="15">
        <f>IFERROR(PRD[[#This Row],[VALOR]]/PRD[[#This Row],[KGS]],"")</f>
        <v>2.5175303756690259</v>
      </c>
      <c r="H2174" s="27"/>
    </row>
    <row r="2175" spans="1:8" x14ac:dyDescent="0.25">
      <c r="A2175" s="21">
        <v>1101900</v>
      </c>
      <c r="B2175" s="1">
        <v>45200</v>
      </c>
      <c r="C2175" t="s">
        <v>114</v>
      </c>
      <c r="D2175">
        <v>5577.9</v>
      </c>
      <c r="E2175">
        <v>19079.259999999998</v>
      </c>
      <c r="F2175" s="15">
        <f>IFERROR(PRD[[#This Row],[VALOR]]/PRD[[#This Row],[KGS]],"")</f>
        <v>3.4205095107477725</v>
      </c>
      <c r="H2175" s="27"/>
    </row>
    <row r="2176" spans="1:8" x14ac:dyDescent="0.25">
      <c r="A2176" s="21">
        <v>1101901</v>
      </c>
      <c r="B2176" s="1">
        <v>45200</v>
      </c>
      <c r="C2176" t="s">
        <v>448</v>
      </c>
      <c r="D2176">
        <v>1795</v>
      </c>
      <c r="E2176">
        <v>6655.52</v>
      </c>
      <c r="F2176" s="15">
        <f>IFERROR(PRD[[#This Row],[VALOR]]/PRD[[#This Row],[KGS]],"")</f>
        <v>3.7078105849582177</v>
      </c>
      <c r="H2176" s="27"/>
    </row>
    <row r="2177" spans="1:8" x14ac:dyDescent="0.25">
      <c r="A2177" s="21">
        <v>1101902</v>
      </c>
      <c r="B2177" s="1">
        <v>45200</v>
      </c>
      <c r="C2177" t="s">
        <v>351</v>
      </c>
      <c r="D2177">
        <v>561.16</v>
      </c>
      <c r="E2177">
        <v>2372.88</v>
      </c>
      <c r="F2177" s="15">
        <f>IFERROR(PRD[[#This Row],[VALOR]]/PRD[[#This Row],[KGS]],"")</f>
        <v>4.2285266234229102</v>
      </c>
      <c r="H2177" s="27"/>
    </row>
    <row r="2178" spans="1:8" x14ac:dyDescent="0.25">
      <c r="A2178" s="21">
        <v>1101903</v>
      </c>
      <c r="B2178" s="1">
        <v>45200</v>
      </c>
      <c r="C2178" t="s">
        <v>745</v>
      </c>
      <c r="D2178">
        <v>298</v>
      </c>
      <c r="E2178">
        <v>1311.2</v>
      </c>
      <c r="F2178" s="15">
        <f>IFERROR(PRD[[#This Row],[VALOR]]/PRD[[#This Row],[KGS]],"")</f>
        <v>4.4000000000000004</v>
      </c>
      <c r="H2178" s="27"/>
    </row>
    <row r="2179" spans="1:8" x14ac:dyDescent="0.25">
      <c r="A2179" s="21">
        <v>1101904</v>
      </c>
      <c r="B2179" s="1">
        <v>45200</v>
      </c>
      <c r="C2179" t="s">
        <v>765</v>
      </c>
      <c r="D2179">
        <v>563.99</v>
      </c>
      <c r="E2179">
        <v>2481.56</v>
      </c>
      <c r="F2179" s="15">
        <f>IFERROR(PRD[[#This Row],[VALOR]]/PRD[[#This Row],[KGS]],"")</f>
        <v>4.4000070923243317</v>
      </c>
      <c r="H2179" s="27"/>
    </row>
    <row r="2180" spans="1:8" x14ac:dyDescent="0.25">
      <c r="A2180" s="21">
        <v>1101906</v>
      </c>
      <c r="B2180" s="1">
        <v>45200</v>
      </c>
      <c r="C2180" t="s">
        <v>632</v>
      </c>
      <c r="D2180">
        <v>171.15</v>
      </c>
      <c r="E2180">
        <v>551.12</v>
      </c>
      <c r="F2180" s="15">
        <f>IFERROR(PRD[[#This Row],[VALOR]]/PRD[[#This Row],[KGS]],"")</f>
        <v>3.220099328074788</v>
      </c>
      <c r="H2180" s="27"/>
    </row>
    <row r="2181" spans="1:8" x14ac:dyDescent="0.25">
      <c r="A2181" s="21">
        <v>1102000</v>
      </c>
      <c r="B2181" s="1">
        <v>45200</v>
      </c>
      <c r="C2181" t="s">
        <v>115</v>
      </c>
      <c r="D2181">
        <v>105.4</v>
      </c>
      <c r="E2181">
        <v>438.18</v>
      </c>
      <c r="F2181" s="15">
        <f>IFERROR(PRD[[#This Row],[VALOR]]/PRD[[#This Row],[KGS]],"")</f>
        <v>4.1573055028462997</v>
      </c>
      <c r="H2181" s="27"/>
    </row>
    <row r="2182" spans="1:8" x14ac:dyDescent="0.25">
      <c r="A2182" s="21">
        <v>1102200</v>
      </c>
      <c r="B2182" s="1">
        <v>45200</v>
      </c>
      <c r="C2182" t="s">
        <v>117</v>
      </c>
      <c r="D2182">
        <v>239.9</v>
      </c>
      <c r="E2182">
        <v>786.87</v>
      </c>
      <c r="F2182" s="15">
        <f>IFERROR(PRD[[#This Row],[VALOR]]/PRD[[#This Row],[KGS]],"")</f>
        <v>3.2799916631929968</v>
      </c>
      <c r="H2182" s="27"/>
    </row>
    <row r="2183" spans="1:8" x14ac:dyDescent="0.25">
      <c r="A2183" s="21">
        <v>1102300</v>
      </c>
      <c r="B2183" s="1">
        <v>45200</v>
      </c>
      <c r="C2183" t="s">
        <v>119</v>
      </c>
      <c r="D2183">
        <v>3755.6</v>
      </c>
      <c r="E2183">
        <v>11313.42</v>
      </c>
      <c r="F2183" s="15">
        <f>IFERROR(PRD[[#This Row],[VALOR]]/PRD[[#This Row],[KGS]],"")</f>
        <v>3.0124134625625731</v>
      </c>
      <c r="H2183" s="27"/>
    </row>
    <row r="2184" spans="1:8" x14ac:dyDescent="0.25">
      <c r="A2184" s="21">
        <v>1103000</v>
      </c>
      <c r="B2184" s="1">
        <v>45200</v>
      </c>
      <c r="C2184" t="s">
        <v>121</v>
      </c>
      <c r="D2184">
        <v>383.97</v>
      </c>
      <c r="E2184">
        <v>785.31</v>
      </c>
      <c r="F2184" s="15">
        <f>IFERROR(PRD[[#This Row],[VALOR]]/PRD[[#This Row],[KGS]],"")</f>
        <v>2.0452379092116568</v>
      </c>
      <c r="H2184" s="27"/>
    </row>
    <row r="2185" spans="1:8" x14ac:dyDescent="0.25">
      <c r="A2185" s="21">
        <v>1103001</v>
      </c>
      <c r="B2185" s="1">
        <v>45200</v>
      </c>
      <c r="C2185" t="s">
        <v>123</v>
      </c>
      <c r="D2185">
        <v>218.15</v>
      </c>
      <c r="E2185">
        <v>437.33</v>
      </c>
      <c r="F2185" s="15">
        <f>IFERROR(PRD[[#This Row],[VALOR]]/PRD[[#This Row],[KGS]],"")</f>
        <v>2.0047215218886087</v>
      </c>
      <c r="H2185" s="27"/>
    </row>
    <row r="2186" spans="1:8" x14ac:dyDescent="0.25">
      <c r="A2186" s="21">
        <v>2010904</v>
      </c>
      <c r="B2186" s="1">
        <v>45200</v>
      </c>
      <c r="C2186" t="s">
        <v>721</v>
      </c>
      <c r="D2186">
        <v>8640</v>
      </c>
      <c r="E2186">
        <v>5070.25</v>
      </c>
      <c r="F2186" s="15">
        <f>IFERROR(PRD[[#This Row],[VALOR]]/PRD[[#This Row],[KGS]],"")</f>
        <v>0.58683449074074079</v>
      </c>
      <c r="H2186" s="27"/>
    </row>
    <row r="2187" spans="1:8" x14ac:dyDescent="0.25">
      <c r="A2187" s="21">
        <v>2010905</v>
      </c>
      <c r="B2187" s="1">
        <v>45200</v>
      </c>
      <c r="C2187" t="s">
        <v>544</v>
      </c>
      <c r="D2187">
        <v>6930</v>
      </c>
      <c r="E2187">
        <v>3649</v>
      </c>
      <c r="F2187" s="15">
        <f>IFERROR(PRD[[#This Row],[VALOR]]/PRD[[#This Row],[KGS]],"")</f>
        <v>0.52655122655122655</v>
      </c>
      <c r="H2187" s="27"/>
    </row>
    <row r="2188" spans="1:8" x14ac:dyDescent="0.25">
      <c r="A2188" s="21">
        <v>2010910</v>
      </c>
      <c r="B2188" s="1">
        <v>45200</v>
      </c>
      <c r="C2188" t="s">
        <v>766</v>
      </c>
      <c r="D2188">
        <v>21.3</v>
      </c>
      <c r="E2188">
        <v>14.91</v>
      </c>
      <c r="F2188" s="15">
        <f>IFERROR(PRD[[#This Row],[VALOR]]/PRD[[#This Row],[KGS]],"")</f>
        <v>0.7</v>
      </c>
      <c r="H2188" s="27"/>
    </row>
    <row r="2189" spans="1:8" x14ac:dyDescent="0.25">
      <c r="A2189" s="21">
        <v>2011700</v>
      </c>
      <c r="B2189" s="1">
        <v>45200</v>
      </c>
      <c r="C2189" t="s">
        <v>129</v>
      </c>
      <c r="D2189">
        <v>200.78</v>
      </c>
      <c r="E2189">
        <v>514.14</v>
      </c>
      <c r="F2189" s="15">
        <f>IFERROR(PRD[[#This Row],[VALOR]]/PRD[[#This Row],[KGS]],"")</f>
        <v>2.5607132184480523</v>
      </c>
      <c r="H2189" s="27"/>
    </row>
    <row r="2190" spans="1:8" x14ac:dyDescent="0.25">
      <c r="A2190" s="21">
        <v>2090002</v>
      </c>
      <c r="B2190" s="1">
        <v>45200</v>
      </c>
      <c r="C2190" t="s">
        <v>451</v>
      </c>
      <c r="D2190">
        <v>357.68</v>
      </c>
      <c r="E2190">
        <v>1807.42</v>
      </c>
      <c r="F2190" s="15">
        <f>IFERROR(PRD[[#This Row],[VALOR]]/PRD[[#This Row],[KGS]],"")</f>
        <v>5.0531760232610159</v>
      </c>
      <c r="H2190" s="27"/>
    </row>
    <row r="2191" spans="1:8" x14ac:dyDescent="0.25">
      <c r="A2191" s="21">
        <v>3020103</v>
      </c>
      <c r="B2191" s="1">
        <v>45200</v>
      </c>
      <c r="C2191" t="s">
        <v>131</v>
      </c>
      <c r="D2191">
        <v>6762.73</v>
      </c>
      <c r="E2191">
        <v>22019.59</v>
      </c>
      <c r="F2191" s="15">
        <f>IFERROR(PRD[[#This Row],[VALOR]]/PRD[[#This Row],[KGS]],"")</f>
        <v>3.2560208673124613</v>
      </c>
      <c r="H2191" s="27"/>
    </row>
    <row r="2192" spans="1:8" x14ac:dyDescent="0.25">
      <c r="A2192" s="21">
        <v>3020212</v>
      </c>
      <c r="B2192" s="1">
        <v>45200</v>
      </c>
      <c r="C2192" t="s">
        <v>133</v>
      </c>
      <c r="D2192">
        <v>1652.26</v>
      </c>
      <c r="E2192">
        <v>6074.24</v>
      </c>
      <c r="F2192" s="15">
        <f>IFERROR(PRD[[#This Row],[VALOR]]/PRD[[#This Row],[KGS]],"")</f>
        <v>3.6763221284785685</v>
      </c>
      <c r="H2192" s="27"/>
    </row>
    <row r="2193" spans="1:8" x14ac:dyDescent="0.25">
      <c r="A2193" s="21">
        <v>3020214</v>
      </c>
      <c r="B2193" s="1">
        <v>45200</v>
      </c>
      <c r="C2193" t="s">
        <v>135</v>
      </c>
      <c r="D2193">
        <v>586.12</v>
      </c>
      <c r="E2193">
        <v>2078.39</v>
      </c>
      <c r="F2193" s="15">
        <f>IFERROR(PRD[[#This Row],[VALOR]]/PRD[[#This Row],[KGS]],"")</f>
        <v>3.5460144680270251</v>
      </c>
      <c r="H2193" s="27"/>
    </row>
    <row r="2194" spans="1:8" x14ac:dyDescent="0.25">
      <c r="A2194" s="21">
        <v>3020315</v>
      </c>
      <c r="B2194" s="1">
        <v>45200</v>
      </c>
      <c r="C2194" t="s">
        <v>137</v>
      </c>
      <c r="D2194">
        <v>2475.66</v>
      </c>
      <c r="E2194">
        <v>8836.02</v>
      </c>
      <c r="F2194" s="15">
        <f>IFERROR(PRD[[#This Row],[VALOR]]/PRD[[#This Row],[KGS]],"")</f>
        <v>3.5691573156249246</v>
      </c>
      <c r="H2194" s="27"/>
    </row>
    <row r="2195" spans="1:8" x14ac:dyDescent="0.25">
      <c r="A2195" s="21">
        <v>3020316</v>
      </c>
      <c r="B2195" s="1">
        <v>45200</v>
      </c>
      <c r="C2195" t="s">
        <v>139</v>
      </c>
      <c r="D2195">
        <v>241.3</v>
      </c>
      <c r="E2195">
        <v>767.36</v>
      </c>
      <c r="F2195" s="15">
        <f>IFERROR(PRD[[#This Row],[VALOR]]/PRD[[#This Row],[KGS]],"")</f>
        <v>3.1801077496891836</v>
      </c>
      <c r="H2195" s="27"/>
    </row>
    <row r="2196" spans="1:8" x14ac:dyDescent="0.25">
      <c r="A2196" s="21">
        <v>3020402</v>
      </c>
      <c r="B2196" s="1">
        <v>45200</v>
      </c>
      <c r="C2196" t="s">
        <v>141</v>
      </c>
      <c r="D2196">
        <v>2915.05</v>
      </c>
      <c r="E2196">
        <v>10564.39</v>
      </c>
      <c r="F2196" s="15">
        <f>IFERROR(PRD[[#This Row],[VALOR]]/PRD[[#This Row],[KGS]],"")</f>
        <v>3.6240853501655197</v>
      </c>
      <c r="H2196" s="27"/>
    </row>
    <row r="2197" spans="1:8" x14ac:dyDescent="0.25">
      <c r="A2197" s="21">
        <v>3020504</v>
      </c>
      <c r="B2197" s="1">
        <v>45200</v>
      </c>
      <c r="C2197" t="s">
        <v>143</v>
      </c>
      <c r="D2197">
        <v>448.86</v>
      </c>
      <c r="E2197">
        <v>1692.61</v>
      </c>
      <c r="F2197" s="15">
        <f>IFERROR(PRD[[#This Row],[VALOR]]/PRD[[#This Row],[KGS]],"")</f>
        <v>3.7709085238158888</v>
      </c>
      <c r="H2197" s="27"/>
    </row>
    <row r="2198" spans="1:8" x14ac:dyDescent="0.25">
      <c r="A2198" s="21">
        <v>3020622</v>
      </c>
      <c r="B2198" s="1">
        <v>45200</v>
      </c>
      <c r="C2198" t="s">
        <v>145</v>
      </c>
      <c r="D2198">
        <v>9176.77</v>
      </c>
      <c r="E2198">
        <v>32609.85</v>
      </c>
      <c r="F2198" s="15">
        <f>IFERROR(PRD[[#This Row],[VALOR]]/PRD[[#This Row],[KGS]],"")</f>
        <v>3.5535215549697767</v>
      </c>
      <c r="H2198" s="27"/>
    </row>
    <row r="2199" spans="1:8" x14ac:dyDescent="0.25">
      <c r="A2199" s="21">
        <v>3020623</v>
      </c>
      <c r="B2199" s="1">
        <v>45200</v>
      </c>
      <c r="C2199" t="s">
        <v>147</v>
      </c>
      <c r="D2199">
        <v>739.18</v>
      </c>
      <c r="E2199">
        <v>2849.73</v>
      </c>
      <c r="F2199" s="15">
        <f>IFERROR(PRD[[#This Row],[VALOR]]/PRD[[#This Row],[KGS]],"")</f>
        <v>3.8552585297221249</v>
      </c>
      <c r="H2199" s="27"/>
    </row>
    <row r="2200" spans="1:8" x14ac:dyDescent="0.25">
      <c r="A2200" s="21">
        <v>3020725</v>
      </c>
      <c r="B2200" s="1">
        <v>45200</v>
      </c>
      <c r="C2200" t="s">
        <v>149</v>
      </c>
      <c r="D2200">
        <v>393.56</v>
      </c>
      <c r="E2200">
        <v>1488.82</v>
      </c>
      <c r="F2200" s="15">
        <f>IFERROR(PRD[[#This Row],[VALOR]]/PRD[[#This Row],[KGS]],"")</f>
        <v>3.7829555849171661</v>
      </c>
      <c r="H2200" s="27"/>
    </row>
    <row r="2201" spans="1:8" x14ac:dyDescent="0.25">
      <c r="A2201" s="21">
        <v>3020823</v>
      </c>
      <c r="B2201" s="1">
        <v>45200</v>
      </c>
      <c r="C2201" t="s">
        <v>151</v>
      </c>
      <c r="D2201">
        <v>1640.18</v>
      </c>
      <c r="E2201">
        <v>6270.02</v>
      </c>
      <c r="F2201" s="15">
        <f>IFERROR(PRD[[#This Row],[VALOR]]/PRD[[#This Row],[KGS]],"")</f>
        <v>3.8227633552414981</v>
      </c>
      <c r="H2201" s="27"/>
    </row>
    <row r="2202" spans="1:8" x14ac:dyDescent="0.25">
      <c r="A2202" s="21">
        <v>3020824</v>
      </c>
      <c r="B2202" s="1">
        <v>45200</v>
      </c>
      <c r="C2202" t="s">
        <v>153</v>
      </c>
      <c r="D2202">
        <v>1614.94</v>
      </c>
      <c r="E2202">
        <v>6032.73</v>
      </c>
      <c r="F2202" s="15">
        <f>IFERROR(PRD[[#This Row],[VALOR]]/PRD[[#This Row],[KGS]],"")</f>
        <v>3.7355753154915967</v>
      </c>
      <c r="H2202" s="27"/>
    </row>
    <row r="2203" spans="1:8" x14ac:dyDescent="0.25">
      <c r="A2203" s="21">
        <v>3020825</v>
      </c>
      <c r="B2203" s="1">
        <v>45200</v>
      </c>
      <c r="C2203" t="s">
        <v>455</v>
      </c>
      <c r="D2203">
        <v>665.06</v>
      </c>
      <c r="E2203">
        <v>2726.77</v>
      </c>
      <c r="F2203" s="15">
        <f>IFERROR(PRD[[#This Row],[VALOR]]/PRD[[#This Row],[KGS]],"")</f>
        <v>4.1000360869695971</v>
      </c>
      <c r="H2203" s="27"/>
    </row>
    <row r="2204" spans="1:8" x14ac:dyDescent="0.25">
      <c r="A2204" s="21">
        <v>3020924</v>
      </c>
      <c r="B2204" s="1">
        <v>45200</v>
      </c>
      <c r="C2204" t="s">
        <v>155</v>
      </c>
      <c r="D2204">
        <v>1044.31</v>
      </c>
      <c r="E2204">
        <v>4023.06</v>
      </c>
      <c r="F2204" s="15">
        <f>IFERROR(PRD[[#This Row],[VALOR]]/PRD[[#This Row],[KGS]],"")</f>
        <v>3.8523618465781233</v>
      </c>
      <c r="H2204" s="27"/>
    </row>
    <row r="2205" spans="1:8" x14ac:dyDescent="0.25">
      <c r="A2205" s="21">
        <v>3020925</v>
      </c>
      <c r="B2205" s="1">
        <v>45200</v>
      </c>
      <c r="C2205" t="s">
        <v>157</v>
      </c>
      <c r="D2205">
        <v>1650.89</v>
      </c>
      <c r="E2205">
        <v>6328.34</v>
      </c>
      <c r="F2205" s="15">
        <f>IFERROR(PRD[[#This Row],[VALOR]]/PRD[[#This Row],[KGS]],"")</f>
        <v>3.8332899224054904</v>
      </c>
      <c r="H2205" s="27"/>
    </row>
    <row r="2206" spans="1:8" x14ac:dyDescent="0.25">
      <c r="A2206" s="21">
        <v>3021435</v>
      </c>
      <c r="B2206" s="1">
        <v>45200</v>
      </c>
      <c r="C2206" t="s">
        <v>159</v>
      </c>
      <c r="D2206">
        <v>11.16</v>
      </c>
      <c r="E2206">
        <v>35.15</v>
      </c>
      <c r="F2206" s="15">
        <f>IFERROR(PRD[[#This Row],[VALOR]]/PRD[[#This Row],[KGS]],"")</f>
        <v>3.1496415770609318</v>
      </c>
      <c r="H2206" s="27"/>
    </row>
    <row r="2207" spans="1:8" x14ac:dyDescent="0.25">
      <c r="A2207" s="21">
        <v>3021436</v>
      </c>
      <c r="B2207" s="1">
        <v>45200</v>
      </c>
      <c r="C2207" t="s">
        <v>546</v>
      </c>
      <c r="D2207">
        <v>233.44</v>
      </c>
      <c r="E2207">
        <v>767.01</v>
      </c>
      <c r="F2207" s="15">
        <f>IFERROR(PRD[[#This Row],[VALOR]]/PRD[[#This Row],[KGS]],"")</f>
        <v>3.2856836874571624</v>
      </c>
      <c r="H2207" s="27"/>
    </row>
    <row r="2208" spans="1:8" x14ac:dyDescent="0.25">
      <c r="A2208" s="21">
        <v>3021538</v>
      </c>
      <c r="B2208" s="1">
        <v>45200</v>
      </c>
      <c r="C2208" t="s">
        <v>548</v>
      </c>
      <c r="D2208">
        <v>37.25</v>
      </c>
      <c r="E2208">
        <v>120.69</v>
      </c>
      <c r="F2208" s="15">
        <f>IFERROR(PRD[[#This Row],[VALOR]]/PRD[[#This Row],[KGS]],"")</f>
        <v>3.2399999999999998</v>
      </c>
      <c r="H2208" s="27"/>
    </row>
    <row r="2209" spans="1:8" x14ac:dyDescent="0.25">
      <c r="A2209" s="21">
        <v>3021639</v>
      </c>
      <c r="B2209" s="1">
        <v>45200</v>
      </c>
      <c r="C2209" t="s">
        <v>457</v>
      </c>
      <c r="D2209">
        <v>25.19</v>
      </c>
      <c r="E2209">
        <v>78.650000000000006</v>
      </c>
      <c r="F2209" s="15">
        <f>IFERROR(PRD[[#This Row],[VALOR]]/PRD[[#This Row],[KGS]],"")</f>
        <v>3.1222707423580789</v>
      </c>
      <c r="H2209" s="27"/>
    </row>
    <row r="2210" spans="1:8" x14ac:dyDescent="0.25">
      <c r="A2210" s="21">
        <v>3021740</v>
      </c>
      <c r="B2210" s="1">
        <v>45200</v>
      </c>
      <c r="C2210" t="s">
        <v>459</v>
      </c>
      <c r="D2210">
        <v>808.59</v>
      </c>
      <c r="E2210">
        <v>2084.94</v>
      </c>
      <c r="F2210" s="15">
        <f>IFERROR(PRD[[#This Row],[VALOR]]/PRD[[#This Row],[KGS]],"")</f>
        <v>2.5784884799465737</v>
      </c>
      <c r="H2210" s="27"/>
    </row>
    <row r="2211" spans="1:8" x14ac:dyDescent="0.25">
      <c r="A2211" s="21">
        <v>3021760</v>
      </c>
      <c r="B2211" s="1">
        <v>45200</v>
      </c>
      <c r="C2211" t="s">
        <v>167</v>
      </c>
      <c r="D2211">
        <v>1799.75</v>
      </c>
      <c r="E2211">
        <v>3579.71</v>
      </c>
      <c r="F2211" s="15">
        <f>IFERROR(PRD[[#This Row],[VALOR]]/PRD[[#This Row],[KGS]],"")</f>
        <v>1.9890040283372692</v>
      </c>
      <c r="H2211" s="27"/>
    </row>
    <row r="2212" spans="1:8" x14ac:dyDescent="0.25">
      <c r="A2212" s="21">
        <v>3021811</v>
      </c>
      <c r="B2212" s="1">
        <v>45200</v>
      </c>
      <c r="C2212" t="s">
        <v>169</v>
      </c>
      <c r="D2212">
        <v>668.35</v>
      </c>
      <c r="E2212">
        <v>1667.34</v>
      </c>
      <c r="F2212" s="15">
        <f>IFERROR(PRD[[#This Row],[VALOR]]/PRD[[#This Row],[KGS]],"")</f>
        <v>2.4947108550908954</v>
      </c>
      <c r="H2212" s="27"/>
    </row>
    <row r="2213" spans="1:8" x14ac:dyDescent="0.25">
      <c r="A2213" s="21">
        <v>3021812</v>
      </c>
      <c r="B2213" s="1">
        <v>45200</v>
      </c>
      <c r="C2213" t="s">
        <v>171</v>
      </c>
      <c r="D2213">
        <v>1265.5</v>
      </c>
      <c r="E2213">
        <v>2965.43</v>
      </c>
      <c r="F2213" s="15">
        <f>IFERROR(PRD[[#This Row],[VALOR]]/PRD[[#This Row],[KGS]],"")</f>
        <v>2.3432872382457526</v>
      </c>
      <c r="H2213" s="27"/>
    </row>
    <row r="2214" spans="1:8" x14ac:dyDescent="0.25">
      <c r="A2214" s="21">
        <v>3022100</v>
      </c>
      <c r="B2214" s="1">
        <v>45200</v>
      </c>
      <c r="C2214" t="s">
        <v>173</v>
      </c>
      <c r="D2214">
        <v>109.67</v>
      </c>
      <c r="E2214">
        <v>416.97</v>
      </c>
      <c r="F2214" s="15">
        <f>IFERROR(PRD[[#This Row],[VALOR]]/PRD[[#This Row],[KGS]],"")</f>
        <v>3.8020424911096931</v>
      </c>
      <c r="H2214" s="27"/>
    </row>
    <row r="2215" spans="1:8" x14ac:dyDescent="0.25">
      <c r="A2215" s="21">
        <v>3022208</v>
      </c>
      <c r="B2215" s="1">
        <v>45200</v>
      </c>
      <c r="C2215" t="s">
        <v>307</v>
      </c>
      <c r="D2215">
        <v>178.15</v>
      </c>
      <c r="E2215">
        <v>669.7</v>
      </c>
      <c r="F2215" s="15">
        <f>IFERROR(PRD[[#This Row],[VALOR]]/PRD[[#This Row],[KGS]],"")</f>
        <v>3.75919169239405</v>
      </c>
      <c r="H2215" s="27"/>
    </row>
    <row r="2216" spans="1:8" x14ac:dyDescent="0.25">
      <c r="A2216" s="21">
        <v>3022311</v>
      </c>
      <c r="B2216" s="1">
        <v>45200</v>
      </c>
      <c r="C2216" t="s">
        <v>176</v>
      </c>
      <c r="D2216">
        <v>2229.46</v>
      </c>
      <c r="E2216">
        <v>5341.77</v>
      </c>
      <c r="F2216" s="15">
        <f>IFERROR(PRD[[#This Row],[VALOR]]/PRD[[#This Row],[KGS]],"")</f>
        <v>2.3959927516080128</v>
      </c>
      <c r="H2216" s="27"/>
    </row>
    <row r="2217" spans="1:8" x14ac:dyDescent="0.25">
      <c r="A2217" s="21">
        <v>3022411</v>
      </c>
      <c r="B2217" s="1">
        <v>45200</v>
      </c>
      <c r="C2217" t="s">
        <v>178</v>
      </c>
      <c r="D2217">
        <v>41.83</v>
      </c>
      <c r="E2217">
        <v>121.8</v>
      </c>
      <c r="F2217" s="15">
        <f>IFERROR(PRD[[#This Row],[VALOR]]/PRD[[#This Row],[KGS]],"")</f>
        <v>2.9117857996653118</v>
      </c>
      <c r="H2217" s="27"/>
    </row>
    <row r="2218" spans="1:8" x14ac:dyDescent="0.25">
      <c r="A2218" s="21">
        <v>3022511</v>
      </c>
      <c r="B2218" s="1">
        <v>45200</v>
      </c>
      <c r="C2218" t="s">
        <v>180</v>
      </c>
      <c r="D2218">
        <v>8</v>
      </c>
      <c r="E2218">
        <v>20.67</v>
      </c>
      <c r="F2218" s="15">
        <f>IFERROR(PRD[[#This Row],[VALOR]]/PRD[[#This Row],[KGS]],"")</f>
        <v>2.5837500000000002</v>
      </c>
      <c r="H2218" s="27"/>
    </row>
    <row r="2219" spans="1:8" x14ac:dyDescent="0.25">
      <c r="A2219" s="21">
        <v>3022601</v>
      </c>
      <c r="B2219" s="1">
        <v>45200</v>
      </c>
      <c r="C2219" t="s">
        <v>182</v>
      </c>
      <c r="D2219">
        <v>366.75</v>
      </c>
      <c r="E2219">
        <v>1435.83</v>
      </c>
      <c r="F2219" s="15">
        <f>IFERROR(PRD[[#This Row],[VALOR]]/PRD[[#This Row],[KGS]],"")</f>
        <v>3.9150102249488752</v>
      </c>
      <c r="H2219" s="27"/>
    </row>
    <row r="2220" spans="1:8" x14ac:dyDescent="0.25">
      <c r="A2220" s="21">
        <v>3022703</v>
      </c>
      <c r="B2220" s="1">
        <v>45200</v>
      </c>
      <c r="C2220" t="s">
        <v>309</v>
      </c>
      <c r="D2220">
        <v>960</v>
      </c>
      <c r="E2220">
        <v>2639</v>
      </c>
      <c r="F2220" s="15">
        <f>IFERROR(PRD[[#This Row],[VALOR]]/PRD[[#This Row],[KGS]],"")</f>
        <v>2.7489583333333334</v>
      </c>
      <c r="H2220" s="27"/>
    </row>
    <row r="2221" spans="1:8" x14ac:dyDescent="0.25">
      <c r="A2221" s="21">
        <v>3022805</v>
      </c>
      <c r="B2221" s="1">
        <v>45200</v>
      </c>
      <c r="C2221" t="s">
        <v>186</v>
      </c>
      <c r="D2221">
        <v>1692.5</v>
      </c>
      <c r="E2221">
        <v>3586.68</v>
      </c>
      <c r="F2221" s="15">
        <f>IFERROR(PRD[[#This Row],[VALOR]]/PRD[[#This Row],[KGS]],"")</f>
        <v>2.1191610044313145</v>
      </c>
      <c r="H2221" s="27"/>
    </row>
    <row r="2222" spans="1:8" x14ac:dyDescent="0.25">
      <c r="A2222" s="21">
        <v>3022906</v>
      </c>
      <c r="B2222" s="1">
        <v>45200</v>
      </c>
      <c r="C2222" t="s">
        <v>188</v>
      </c>
      <c r="D2222">
        <v>3780</v>
      </c>
      <c r="E2222">
        <v>7684.73</v>
      </c>
      <c r="F2222" s="15">
        <f>IFERROR(PRD[[#This Row],[VALOR]]/PRD[[#This Row],[KGS]],"")</f>
        <v>2.0329973544973545</v>
      </c>
      <c r="H2222" s="27"/>
    </row>
    <row r="2223" spans="1:8" x14ac:dyDescent="0.25">
      <c r="A2223" s="21">
        <v>3023007</v>
      </c>
      <c r="B2223" s="1">
        <v>45200</v>
      </c>
      <c r="C2223" t="s">
        <v>190</v>
      </c>
      <c r="D2223">
        <v>780</v>
      </c>
      <c r="E2223">
        <v>1577.3</v>
      </c>
      <c r="F2223" s="15">
        <f>IFERROR(PRD[[#This Row],[VALOR]]/PRD[[#This Row],[KGS]],"")</f>
        <v>2.0221794871794869</v>
      </c>
      <c r="H2223" s="27"/>
    </row>
    <row r="2224" spans="1:8" x14ac:dyDescent="0.25">
      <c r="A2224" s="21">
        <v>3024001</v>
      </c>
      <c r="B2224" s="1">
        <v>45200</v>
      </c>
      <c r="C2224" t="s">
        <v>192</v>
      </c>
      <c r="D2224">
        <v>2043.19</v>
      </c>
      <c r="E2224">
        <v>7636.67</v>
      </c>
      <c r="F2224" s="15">
        <f>IFERROR(PRD[[#This Row],[VALOR]]/PRD[[#This Row],[KGS]],"")</f>
        <v>3.7376210729300752</v>
      </c>
      <c r="H2224" s="27"/>
    </row>
    <row r="2225" spans="1:8" x14ac:dyDescent="0.25">
      <c r="A2225" s="21">
        <v>3024003</v>
      </c>
      <c r="B2225" s="1">
        <v>45200</v>
      </c>
      <c r="C2225" t="s">
        <v>196</v>
      </c>
      <c r="D2225">
        <v>447.84</v>
      </c>
      <c r="E2225">
        <v>1262.3800000000001</v>
      </c>
      <c r="F2225" s="15">
        <f>IFERROR(PRD[[#This Row],[VALOR]]/PRD[[#This Row],[KGS]],"")</f>
        <v>2.8188192211504113</v>
      </c>
      <c r="H2225" s="27"/>
    </row>
    <row r="2226" spans="1:8" x14ac:dyDescent="0.25">
      <c r="A2226" s="21">
        <v>3024004</v>
      </c>
      <c r="B2226" s="1">
        <v>45200</v>
      </c>
      <c r="C2226" t="s">
        <v>198</v>
      </c>
      <c r="D2226">
        <v>1710.74</v>
      </c>
      <c r="E2226">
        <v>1733.49</v>
      </c>
      <c r="F2226" s="15">
        <f>IFERROR(PRD[[#This Row],[VALOR]]/PRD[[#This Row],[KGS]],"")</f>
        <v>1.0132983387306078</v>
      </c>
      <c r="H2226" s="27"/>
    </row>
    <row r="2227" spans="1:8" x14ac:dyDescent="0.25">
      <c r="A2227" s="21">
        <v>4030100</v>
      </c>
      <c r="B2227" s="1">
        <v>45200</v>
      </c>
      <c r="C2227" t="s">
        <v>200</v>
      </c>
      <c r="D2227">
        <v>406.22</v>
      </c>
      <c r="E2227">
        <v>2472.56</v>
      </c>
      <c r="F2227" s="15">
        <f>IFERROR(PRD[[#This Row],[VALOR]]/PRD[[#This Row],[KGS]],"")</f>
        <v>6.0867510216139031</v>
      </c>
      <c r="H2227" s="27"/>
    </row>
    <row r="2228" spans="1:8" x14ac:dyDescent="0.25">
      <c r="A2228" s="21">
        <v>4030211</v>
      </c>
      <c r="B2228" s="1">
        <v>45200</v>
      </c>
      <c r="C2228" t="s">
        <v>202</v>
      </c>
      <c r="D2228">
        <v>858.42</v>
      </c>
      <c r="E2228">
        <v>5040.91</v>
      </c>
      <c r="F2228" s="15">
        <f>IFERROR(PRD[[#This Row],[VALOR]]/PRD[[#This Row],[KGS]],"")</f>
        <v>5.8723119219030311</v>
      </c>
      <c r="H2228" s="27"/>
    </row>
    <row r="2229" spans="1:8" x14ac:dyDescent="0.25">
      <c r="A2229" s="21">
        <v>4030311</v>
      </c>
      <c r="B2229" s="1">
        <v>45200</v>
      </c>
      <c r="C2229" t="s">
        <v>311</v>
      </c>
      <c r="D2229">
        <v>257.43</v>
      </c>
      <c r="E2229">
        <v>1755.37</v>
      </c>
      <c r="F2229" s="15">
        <f>IFERROR(PRD[[#This Row],[VALOR]]/PRD[[#This Row],[KGS]],"")</f>
        <v>6.8188245348250005</v>
      </c>
      <c r="H2229" s="27"/>
    </row>
    <row r="2230" spans="1:8" x14ac:dyDescent="0.25">
      <c r="A2230" s="21">
        <v>4030401</v>
      </c>
      <c r="B2230" s="1">
        <v>45200</v>
      </c>
      <c r="C2230" t="s">
        <v>461</v>
      </c>
      <c r="D2230">
        <v>392.91</v>
      </c>
      <c r="E2230">
        <v>1998.51</v>
      </c>
      <c r="F2230" s="15">
        <f>IFERROR(PRD[[#This Row],[VALOR]]/PRD[[#This Row],[KGS]],"")</f>
        <v>5.0864320073299227</v>
      </c>
      <c r="H2230" s="27"/>
    </row>
    <row r="2231" spans="1:8" x14ac:dyDescent="0.25">
      <c r="A2231" s="21">
        <v>4030532</v>
      </c>
      <c r="B2231" s="1">
        <v>45200</v>
      </c>
      <c r="C2231" t="s">
        <v>210</v>
      </c>
      <c r="D2231">
        <v>24.6</v>
      </c>
      <c r="E2231">
        <v>144.30000000000001</v>
      </c>
      <c r="F2231" s="15">
        <f>IFERROR(PRD[[#This Row],[VALOR]]/PRD[[#This Row],[KGS]],"")</f>
        <v>5.8658536585365857</v>
      </c>
      <c r="H2231" s="27"/>
    </row>
    <row r="2232" spans="1:8" x14ac:dyDescent="0.25">
      <c r="A2232" s="21">
        <v>4030600</v>
      </c>
      <c r="B2232" s="1">
        <v>45200</v>
      </c>
      <c r="C2232" t="s">
        <v>212</v>
      </c>
      <c r="D2232">
        <v>1028.6400000000001</v>
      </c>
      <c r="E2232">
        <v>3188.96</v>
      </c>
      <c r="F2232" s="15">
        <f>IFERROR(PRD[[#This Row],[VALOR]]/PRD[[#This Row],[KGS]],"")</f>
        <v>3.1001710997044638</v>
      </c>
      <c r="H2232" s="27"/>
    </row>
    <row r="2233" spans="1:8" x14ac:dyDescent="0.25">
      <c r="A2233" s="21">
        <v>4030711</v>
      </c>
      <c r="B2233" s="1">
        <v>45200</v>
      </c>
      <c r="C2233" t="s">
        <v>214</v>
      </c>
      <c r="D2233">
        <v>1827.89</v>
      </c>
      <c r="E2233">
        <v>6020.58</v>
      </c>
      <c r="F2233" s="15">
        <f>IFERROR(PRD[[#This Row],[VALOR]]/PRD[[#This Row],[KGS]],"")</f>
        <v>3.2937321173593594</v>
      </c>
      <c r="H2233" s="27"/>
    </row>
    <row r="2234" spans="1:8" x14ac:dyDescent="0.25">
      <c r="A2234" s="21">
        <v>4030811</v>
      </c>
      <c r="B2234" s="1">
        <v>45200</v>
      </c>
      <c r="C2234" t="s">
        <v>722</v>
      </c>
      <c r="D2234">
        <v>1338.8</v>
      </c>
      <c r="E2234">
        <v>4211.45</v>
      </c>
      <c r="F2234" s="15">
        <f>IFERROR(PRD[[#This Row],[VALOR]]/PRD[[#This Row],[KGS]],"")</f>
        <v>3.1456901703017626</v>
      </c>
      <c r="H2234" s="27"/>
    </row>
    <row r="2235" spans="1:8" x14ac:dyDescent="0.25">
      <c r="A2235" s="21">
        <v>4030813</v>
      </c>
      <c r="B2235" s="1">
        <v>45200</v>
      </c>
      <c r="C2235" t="s">
        <v>218</v>
      </c>
      <c r="D2235">
        <v>2390.6999999999998</v>
      </c>
      <c r="E2235">
        <v>7150.8</v>
      </c>
      <c r="F2235" s="15">
        <f>IFERROR(PRD[[#This Row],[VALOR]]/PRD[[#This Row],[KGS]],"")</f>
        <v>2.9910904755929231</v>
      </c>
      <c r="H2235" s="27"/>
    </row>
    <row r="2236" spans="1:8" x14ac:dyDescent="0.25">
      <c r="A2236" s="21">
        <v>4030900</v>
      </c>
      <c r="B2236" s="1">
        <v>45200</v>
      </c>
      <c r="C2236" t="s">
        <v>220</v>
      </c>
      <c r="D2236">
        <v>6241.85</v>
      </c>
      <c r="E2236">
        <v>18655.04</v>
      </c>
      <c r="F2236" s="15">
        <f>IFERROR(PRD[[#This Row],[VALOR]]/PRD[[#This Row],[KGS]],"")</f>
        <v>2.988703669585139</v>
      </c>
      <c r="H2236" s="27"/>
    </row>
    <row r="2237" spans="1:8" x14ac:dyDescent="0.25">
      <c r="A2237" s="21">
        <v>4030910</v>
      </c>
      <c r="B2237" s="1">
        <v>45200</v>
      </c>
      <c r="C2237" t="s">
        <v>724</v>
      </c>
      <c r="D2237">
        <v>95.65</v>
      </c>
      <c r="E2237">
        <v>326.08</v>
      </c>
      <c r="F2237" s="15">
        <f>IFERROR(PRD[[#This Row],[VALOR]]/PRD[[#This Row],[KGS]],"")</f>
        <v>3.4090956612650283</v>
      </c>
      <c r="H2237" s="27"/>
    </row>
    <row r="2238" spans="1:8" x14ac:dyDescent="0.25">
      <c r="A2238" s="21">
        <v>4031012</v>
      </c>
      <c r="B2238" s="1">
        <v>45200</v>
      </c>
      <c r="C2238" t="s">
        <v>224</v>
      </c>
      <c r="D2238">
        <v>1489.72</v>
      </c>
      <c r="E2238">
        <v>4640.76</v>
      </c>
      <c r="F2238" s="15">
        <f>IFERROR(PRD[[#This Row],[VALOR]]/PRD[[#This Row],[KGS]],"")</f>
        <v>3.1151894315710336</v>
      </c>
      <c r="H2238" s="27"/>
    </row>
    <row r="2239" spans="1:8" x14ac:dyDescent="0.25">
      <c r="A2239" s="21">
        <v>4031017</v>
      </c>
      <c r="B2239" s="1">
        <v>45200</v>
      </c>
      <c r="C2239" t="s">
        <v>226</v>
      </c>
      <c r="D2239">
        <v>63</v>
      </c>
      <c r="E2239">
        <v>43.65</v>
      </c>
      <c r="F2239" s="15">
        <f>IFERROR(PRD[[#This Row],[VALOR]]/PRD[[#This Row],[KGS]],"")</f>
        <v>0.69285714285714284</v>
      </c>
      <c r="H2239" s="27"/>
    </row>
    <row r="2240" spans="1:8" x14ac:dyDescent="0.25">
      <c r="A2240" s="21">
        <v>4031102</v>
      </c>
      <c r="B2240" s="1">
        <v>45200</v>
      </c>
      <c r="C2240" t="s">
        <v>228</v>
      </c>
      <c r="D2240">
        <v>11339.8</v>
      </c>
      <c r="E2240">
        <v>33119.94</v>
      </c>
      <c r="F2240" s="15">
        <f>IFERROR(PRD[[#This Row],[VALOR]]/PRD[[#This Row],[KGS]],"")</f>
        <v>2.9206811407608604</v>
      </c>
      <c r="H2240" s="27"/>
    </row>
    <row r="2241" spans="1:8" x14ac:dyDescent="0.25">
      <c r="A2241" s="21">
        <v>4031200</v>
      </c>
      <c r="B2241" s="1">
        <v>45200</v>
      </c>
      <c r="C2241" t="s">
        <v>230</v>
      </c>
      <c r="D2241">
        <v>1058.98</v>
      </c>
      <c r="E2241">
        <v>3177.04</v>
      </c>
      <c r="F2241" s="15">
        <f>IFERROR(PRD[[#This Row],[VALOR]]/PRD[[#This Row],[KGS]],"")</f>
        <v>3.0000944304897166</v>
      </c>
      <c r="H2241" s="27"/>
    </row>
    <row r="2242" spans="1:8" x14ac:dyDescent="0.25">
      <c r="A2242" s="21">
        <v>4031304</v>
      </c>
      <c r="B2242" s="1">
        <v>45200</v>
      </c>
      <c r="C2242" t="s">
        <v>232</v>
      </c>
      <c r="D2242">
        <v>1501.59</v>
      </c>
      <c r="E2242">
        <v>4333.59</v>
      </c>
      <c r="F2242" s="15">
        <f>IFERROR(PRD[[#This Row],[VALOR]]/PRD[[#This Row],[KGS]],"")</f>
        <v>2.8860008391105429</v>
      </c>
      <c r="H2242" s="27"/>
    </row>
    <row r="2243" spans="1:8" x14ac:dyDescent="0.25">
      <c r="A2243" s="21">
        <v>4031411</v>
      </c>
      <c r="B2243" s="1">
        <v>45200</v>
      </c>
      <c r="C2243" t="s">
        <v>234</v>
      </c>
      <c r="D2243">
        <v>50.68</v>
      </c>
      <c r="E2243">
        <v>161.44</v>
      </c>
      <c r="F2243" s="15">
        <f>IFERROR(PRD[[#This Row],[VALOR]]/PRD[[#This Row],[KGS]],"")</f>
        <v>3.1854775059194949</v>
      </c>
      <c r="H2243" s="27"/>
    </row>
    <row r="2244" spans="1:8" x14ac:dyDescent="0.25">
      <c r="A2244" s="21">
        <v>4031500</v>
      </c>
      <c r="B2244" s="1">
        <v>45200</v>
      </c>
      <c r="C2244" t="s">
        <v>236</v>
      </c>
      <c r="D2244">
        <v>6346.66</v>
      </c>
      <c r="E2244">
        <v>17832.27</v>
      </c>
      <c r="F2244" s="15">
        <f>IFERROR(PRD[[#This Row],[VALOR]]/PRD[[#This Row],[KGS]],"")</f>
        <v>2.8097093589384023</v>
      </c>
      <c r="H2244" s="27"/>
    </row>
    <row r="2245" spans="1:8" x14ac:dyDescent="0.25">
      <c r="A2245" s="21">
        <v>4031604</v>
      </c>
      <c r="B2245" s="1">
        <v>45200</v>
      </c>
      <c r="C2245" t="s">
        <v>238</v>
      </c>
      <c r="D2245">
        <v>6678.68</v>
      </c>
      <c r="E2245">
        <v>18292.330000000002</v>
      </c>
      <c r="F2245" s="15">
        <f>IFERROR(PRD[[#This Row],[VALOR]]/PRD[[#This Row],[KGS]],"")</f>
        <v>2.7389139770134219</v>
      </c>
      <c r="H2245" s="27"/>
    </row>
    <row r="2246" spans="1:8" x14ac:dyDescent="0.25">
      <c r="A2246" s="21">
        <v>4031605</v>
      </c>
      <c r="B2246" s="1">
        <v>45200</v>
      </c>
      <c r="C2246" t="s">
        <v>240</v>
      </c>
      <c r="D2246">
        <v>72.08</v>
      </c>
      <c r="E2246">
        <v>233.97</v>
      </c>
      <c r="F2246" s="15">
        <f>IFERROR(PRD[[#This Row],[VALOR]]/PRD[[#This Row],[KGS]],"")</f>
        <v>3.245976692563818</v>
      </c>
      <c r="H2246" s="27"/>
    </row>
    <row r="2247" spans="1:8" x14ac:dyDescent="0.25">
      <c r="A2247" s="21">
        <v>4031700</v>
      </c>
      <c r="B2247" s="1">
        <v>45200</v>
      </c>
      <c r="C2247" t="s">
        <v>242</v>
      </c>
      <c r="D2247">
        <v>755.1</v>
      </c>
      <c r="E2247">
        <v>2233.92</v>
      </c>
      <c r="F2247" s="15">
        <f>IFERROR(PRD[[#This Row],[VALOR]]/PRD[[#This Row],[KGS]],"")</f>
        <v>2.9584425903853795</v>
      </c>
      <c r="H2247" s="27"/>
    </row>
    <row r="2248" spans="1:8" x14ac:dyDescent="0.25">
      <c r="A2248" s="21">
        <v>4031812</v>
      </c>
      <c r="B2248" s="1">
        <v>45200</v>
      </c>
      <c r="C2248" t="s">
        <v>244</v>
      </c>
      <c r="D2248">
        <v>425.67</v>
      </c>
      <c r="E2248">
        <v>1318.27</v>
      </c>
      <c r="F2248" s="15">
        <f>IFERROR(PRD[[#This Row],[VALOR]]/PRD[[#This Row],[KGS]],"")</f>
        <v>3.0969295463622055</v>
      </c>
      <c r="H2248" s="27"/>
    </row>
    <row r="2249" spans="1:8" x14ac:dyDescent="0.25">
      <c r="A2249" s="21">
        <v>4031813</v>
      </c>
      <c r="B2249" s="1">
        <v>45200</v>
      </c>
      <c r="C2249" t="s">
        <v>464</v>
      </c>
      <c r="D2249">
        <v>70</v>
      </c>
      <c r="E2249">
        <v>46.9</v>
      </c>
      <c r="F2249" s="15">
        <f>IFERROR(PRD[[#This Row],[VALOR]]/PRD[[#This Row],[KGS]],"")</f>
        <v>0.66999999999999993</v>
      </c>
      <c r="H2249" s="27"/>
    </row>
    <row r="2250" spans="1:8" x14ac:dyDescent="0.25">
      <c r="A2250" s="21">
        <v>4031904</v>
      </c>
      <c r="B2250" s="1">
        <v>45200</v>
      </c>
      <c r="C2250" t="s">
        <v>246</v>
      </c>
      <c r="D2250">
        <v>1246.5899999999999</v>
      </c>
      <c r="E2250">
        <v>3651.61</v>
      </c>
      <c r="F2250" s="15">
        <f>IFERROR(PRD[[#This Row],[VALOR]]/PRD[[#This Row],[KGS]],"")</f>
        <v>2.9292790733119953</v>
      </c>
      <c r="H2250" s="27"/>
    </row>
    <row r="2251" spans="1:8" x14ac:dyDescent="0.25">
      <c r="A2251" s="21">
        <v>4032204</v>
      </c>
      <c r="B2251" s="1">
        <v>45200</v>
      </c>
      <c r="C2251" t="s">
        <v>315</v>
      </c>
      <c r="D2251">
        <v>30.64</v>
      </c>
      <c r="E2251">
        <v>153.16</v>
      </c>
      <c r="F2251" s="15">
        <f>IFERROR(PRD[[#This Row],[VALOR]]/PRD[[#This Row],[KGS]],"")</f>
        <v>4.9986945169712795</v>
      </c>
      <c r="H2251" s="27"/>
    </row>
    <row r="2252" spans="1:8" x14ac:dyDescent="0.25">
      <c r="A2252" s="21">
        <v>4032205</v>
      </c>
      <c r="B2252" s="1">
        <v>45200</v>
      </c>
      <c r="C2252" t="s">
        <v>553</v>
      </c>
      <c r="D2252">
        <v>372.12</v>
      </c>
      <c r="E2252">
        <v>1916.9</v>
      </c>
      <c r="F2252" s="15">
        <f>IFERROR(PRD[[#This Row],[VALOR]]/PRD[[#This Row],[KGS]],"")</f>
        <v>5.1512952810921213</v>
      </c>
      <c r="H2252" s="27"/>
    </row>
    <row r="2253" spans="1:8" x14ac:dyDescent="0.25">
      <c r="A2253" s="21">
        <v>4032206</v>
      </c>
      <c r="B2253" s="1">
        <v>45200</v>
      </c>
      <c r="C2253" t="s">
        <v>555</v>
      </c>
      <c r="D2253">
        <v>35.97</v>
      </c>
      <c r="E2253">
        <v>192.37</v>
      </c>
      <c r="F2253" s="15">
        <f>IFERROR(PRD[[#This Row],[VALOR]]/PRD[[#This Row],[KGS]],"")</f>
        <v>5.3480678343063666</v>
      </c>
      <c r="H2253" s="27"/>
    </row>
    <row r="2254" spans="1:8" x14ac:dyDescent="0.25">
      <c r="A2254" s="21">
        <v>4032312</v>
      </c>
      <c r="B2254" s="1">
        <v>45200</v>
      </c>
      <c r="C2254" t="s">
        <v>252</v>
      </c>
      <c r="D2254">
        <v>562.45000000000005</v>
      </c>
      <c r="E2254">
        <v>2358.7199999999998</v>
      </c>
      <c r="F2254" s="15">
        <f>IFERROR(PRD[[#This Row],[VALOR]]/PRD[[#This Row],[KGS]],"")</f>
        <v>4.1936527691350332</v>
      </c>
      <c r="H2254" s="27"/>
    </row>
    <row r="2255" spans="1:8" x14ac:dyDescent="0.25">
      <c r="A2255" s="21">
        <v>4032404</v>
      </c>
      <c r="B2255" s="1">
        <v>45200</v>
      </c>
      <c r="C2255" t="s">
        <v>254</v>
      </c>
      <c r="D2255">
        <v>69.41</v>
      </c>
      <c r="E2255">
        <v>300.20999999999998</v>
      </c>
      <c r="F2255" s="15">
        <f>IFERROR(PRD[[#This Row],[VALOR]]/PRD[[#This Row],[KGS]],"")</f>
        <v>4.3251692839648461</v>
      </c>
      <c r="H2255" s="27"/>
    </row>
    <row r="2256" spans="1:8" x14ac:dyDescent="0.25">
      <c r="A2256" s="21">
        <v>4032500</v>
      </c>
      <c r="B2256" s="1">
        <v>45200</v>
      </c>
      <c r="C2256" t="s">
        <v>256</v>
      </c>
      <c r="D2256">
        <v>315.89999999999998</v>
      </c>
      <c r="E2256">
        <v>872.4</v>
      </c>
      <c r="F2256" s="15">
        <f>IFERROR(PRD[[#This Row],[VALOR]]/PRD[[#This Row],[KGS]],"")</f>
        <v>2.7616334283000952</v>
      </c>
      <c r="H2256" s="27"/>
    </row>
    <row r="2257" spans="1:8" x14ac:dyDescent="0.25">
      <c r="A2257" s="21">
        <v>4032611</v>
      </c>
      <c r="B2257" s="1">
        <v>45200</v>
      </c>
      <c r="C2257" t="s">
        <v>258</v>
      </c>
      <c r="D2257">
        <v>276.77999999999997</v>
      </c>
      <c r="E2257">
        <v>772.55</v>
      </c>
      <c r="F2257" s="15">
        <f>IFERROR(PRD[[#This Row],[VALOR]]/PRD[[#This Row],[KGS]],"")</f>
        <v>2.7912060119950866</v>
      </c>
      <c r="H2257" s="27"/>
    </row>
    <row r="2258" spans="1:8" x14ac:dyDescent="0.25">
      <c r="A2258" s="21">
        <v>4032704</v>
      </c>
      <c r="B2258" s="1">
        <v>45200</v>
      </c>
      <c r="C2258" t="s">
        <v>260</v>
      </c>
      <c r="D2258">
        <v>319.45999999999998</v>
      </c>
      <c r="E2258">
        <v>970.84</v>
      </c>
      <c r="F2258" s="15">
        <f>IFERROR(PRD[[#This Row],[VALOR]]/PRD[[#This Row],[KGS]],"")</f>
        <v>3.0390033180992928</v>
      </c>
      <c r="H2258" s="27"/>
    </row>
    <row r="2259" spans="1:8" x14ac:dyDescent="0.25">
      <c r="A2259" s="21">
        <v>4032800</v>
      </c>
      <c r="B2259" s="1">
        <v>45200</v>
      </c>
      <c r="C2259" t="s">
        <v>262</v>
      </c>
      <c r="D2259">
        <v>240.04</v>
      </c>
      <c r="E2259">
        <v>1309.7</v>
      </c>
      <c r="F2259" s="15">
        <f>IFERROR(PRD[[#This Row],[VALOR]]/PRD[[#This Row],[KGS]],"")</f>
        <v>5.4561739710048327</v>
      </c>
      <c r="H2259" s="27"/>
    </row>
    <row r="2260" spans="1:8" x14ac:dyDescent="0.25">
      <c r="A2260" s="21">
        <v>4032902</v>
      </c>
      <c r="B2260" s="1">
        <v>45200</v>
      </c>
      <c r="C2260" t="s">
        <v>264</v>
      </c>
      <c r="D2260">
        <v>371.33</v>
      </c>
      <c r="E2260">
        <v>1964.05</v>
      </c>
      <c r="F2260" s="15">
        <f>IFERROR(PRD[[#This Row],[VALOR]]/PRD[[#This Row],[KGS]],"")</f>
        <v>5.289230603506315</v>
      </c>
      <c r="H2260" s="27"/>
    </row>
    <row r="2261" spans="1:8" x14ac:dyDescent="0.25">
      <c r="A2261" s="21">
        <v>4033011</v>
      </c>
      <c r="B2261" s="1">
        <v>45200</v>
      </c>
      <c r="C2261" t="s">
        <v>266</v>
      </c>
      <c r="D2261">
        <v>93.77</v>
      </c>
      <c r="E2261">
        <v>482.9</v>
      </c>
      <c r="F2261" s="15">
        <f>IFERROR(PRD[[#This Row],[VALOR]]/PRD[[#This Row],[KGS]],"")</f>
        <v>5.1498347019302546</v>
      </c>
      <c r="H2261" s="27"/>
    </row>
    <row r="2262" spans="1:8" x14ac:dyDescent="0.25">
      <c r="A2262" s="21">
        <v>4033111</v>
      </c>
      <c r="B2262" s="1">
        <v>45200</v>
      </c>
      <c r="C2262" t="s">
        <v>268</v>
      </c>
      <c r="D2262">
        <v>338</v>
      </c>
      <c r="E2262">
        <v>1448.27</v>
      </c>
      <c r="F2262" s="15">
        <f>IFERROR(PRD[[#This Row],[VALOR]]/PRD[[#This Row],[KGS]],"")</f>
        <v>4.2848224852071004</v>
      </c>
      <c r="H2262" s="27"/>
    </row>
    <row r="2263" spans="1:8" x14ac:dyDescent="0.25">
      <c r="A2263" s="21">
        <v>4033211</v>
      </c>
      <c r="B2263" s="1">
        <v>45200</v>
      </c>
      <c r="C2263" t="s">
        <v>270</v>
      </c>
      <c r="D2263">
        <v>62.26</v>
      </c>
      <c r="E2263">
        <v>283.54000000000002</v>
      </c>
      <c r="F2263" s="15">
        <f>IFERROR(PRD[[#This Row],[VALOR]]/PRD[[#This Row],[KGS]],"")</f>
        <v>4.5541278509476397</v>
      </c>
      <c r="H2263" s="27"/>
    </row>
    <row r="2264" spans="1:8" x14ac:dyDescent="0.25">
      <c r="A2264" s="21">
        <v>4033311</v>
      </c>
      <c r="B2264" s="1">
        <v>45200</v>
      </c>
      <c r="C2264" t="s">
        <v>272</v>
      </c>
      <c r="D2264">
        <v>10.56</v>
      </c>
      <c r="E2264">
        <v>65.72</v>
      </c>
      <c r="F2264" s="15">
        <f>IFERROR(PRD[[#This Row],[VALOR]]/PRD[[#This Row],[KGS]],"")</f>
        <v>6.2234848484848477</v>
      </c>
      <c r="H2264" s="27"/>
    </row>
    <row r="2265" spans="1:8" x14ac:dyDescent="0.25">
      <c r="A2265" s="21">
        <v>4033400</v>
      </c>
      <c r="B2265" s="1">
        <v>45200</v>
      </c>
      <c r="C2265" t="s">
        <v>274</v>
      </c>
      <c r="D2265">
        <v>1354.39</v>
      </c>
      <c r="E2265">
        <v>3952.88</v>
      </c>
      <c r="F2265" s="15">
        <f>IFERROR(PRD[[#This Row],[VALOR]]/PRD[[#This Row],[KGS]],"")</f>
        <v>2.9185685068554847</v>
      </c>
      <c r="H2265" s="27"/>
    </row>
    <row r="2266" spans="1:8" x14ac:dyDescent="0.25">
      <c r="A2266" s="21">
        <v>4033511</v>
      </c>
      <c r="B2266" s="1">
        <v>45200</v>
      </c>
      <c r="C2266" t="s">
        <v>276</v>
      </c>
      <c r="D2266">
        <v>2239.4299999999998</v>
      </c>
      <c r="E2266">
        <v>7084.55</v>
      </c>
      <c r="F2266" s="15">
        <f>IFERROR(PRD[[#This Row],[VALOR]]/PRD[[#This Row],[KGS]],"")</f>
        <v>3.1635505463443825</v>
      </c>
      <c r="H2266" s="27"/>
    </row>
    <row r="2267" spans="1:8" x14ac:dyDescent="0.25">
      <c r="A2267" s="21">
        <v>4033900</v>
      </c>
      <c r="B2267" s="1">
        <v>45200</v>
      </c>
      <c r="C2267" t="s">
        <v>725</v>
      </c>
      <c r="D2267">
        <v>31.22</v>
      </c>
      <c r="E2267">
        <v>160.18</v>
      </c>
      <c r="F2267" s="15">
        <f>IFERROR(PRD[[#This Row],[VALOR]]/PRD[[#This Row],[KGS]],"")</f>
        <v>5.1306854580397188</v>
      </c>
      <c r="H2267" s="27"/>
    </row>
    <row r="2268" spans="1:8" x14ac:dyDescent="0.25">
      <c r="A2268" s="21">
        <v>4034011</v>
      </c>
      <c r="B2268" s="1">
        <v>45200</v>
      </c>
      <c r="C2268" t="s">
        <v>726</v>
      </c>
      <c r="D2268">
        <v>701.16</v>
      </c>
      <c r="E2268">
        <v>3658.35</v>
      </c>
      <c r="F2268" s="15">
        <f>IFERROR(PRD[[#This Row],[VALOR]]/PRD[[#This Row],[KGS]],"")</f>
        <v>5.2175680301215133</v>
      </c>
      <c r="H2268" s="27"/>
    </row>
    <row r="2269" spans="1:8" x14ac:dyDescent="0.25">
      <c r="A2269" s="21">
        <v>4034211</v>
      </c>
      <c r="B2269" s="1">
        <v>45200</v>
      </c>
      <c r="C2269" t="s">
        <v>728</v>
      </c>
      <c r="D2269">
        <v>156.47999999999999</v>
      </c>
      <c r="E2269">
        <v>676.39</v>
      </c>
      <c r="F2269" s="15">
        <f>IFERROR(PRD[[#This Row],[VALOR]]/PRD[[#This Row],[KGS]],"")</f>
        <v>4.3225332310838445</v>
      </c>
      <c r="H2269" s="27"/>
    </row>
    <row r="2270" spans="1:8" x14ac:dyDescent="0.25">
      <c r="A2270" s="21">
        <v>4034400</v>
      </c>
      <c r="B2270" s="1">
        <v>45200</v>
      </c>
      <c r="C2270" t="s">
        <v>284</v>
      </c>
      <c r="D2270">
        <v>185.8</v>
      </c>
      <c r="E2270">
        <v>487.53</v>
      </c>
      <c r="F2270" s="15">
        <f>IFERROR(PRD[[#This Row],[VALOR]]/PRD[[#This Row],[KGS]],"")</f>
        <v>2.6239504843918189</v>
      </c>
      <c r="H2270" s="27"/>
    </row>
    <row r="2271" spans="1:8" x14ac:dyDescent="0.25">
      <c r="A2271" s="21">
        <v>4034502</v>
      </c>
      <c r="B2271" s="1">
        <v>45200</v>
      </c>
      <c r="C2271" t="s">
        <v>286</v>
      </c>
      <c r="D2271">
        <v>169.88</v>
      </c>
      <c r="E2271">
        <v>475.86</v>
      </c>
      <c r="F2271" s="15">
        <f>IFERROR(PRD[[#This Row],[VALOR]]/PRD[[#This Row],[KGS]],"")</f>
        <v>2.8011537555921828</v>
      </c>
      <c r="H2271" s="27"/>
    </row>
    <row r="2272" spans="1:8" x14ac:dyDescent="0.25">
      <c r="A2272" s="21">
        <v>8040001</v>
      </c>
      <c r="B2272" s="1">
        <v>45200</v>
      </c>
      <c r="C2272" t="s">
        <v>557</v>
      </c>
      <c r="D2272">
        <v>1</v>
      </c>
      <c r="E2272">
        <v>7.5</v>
      </c>
      <c r="F2272" s="15">
        <f>IFERROR(PRD[[#This Row],[VALOR]]/PRD[[#This Row],[KGS]],"")</f>
        <v>7.5</v>
      </c>
      <c r="H2272" s="27"/>
    </row>
    <row r="2273" spans="1:8" x14ac:dyDescent="0.25">
      <c r="A2273" s="21">
        <v>8040008</v>
      </c>
      <c r="B2273" s="1">
        <v>45200</v>
      </c>
      <c r="C2273" t="s">
        <v>318</v>
      </c>
      <c r="D2273">
        <v>1</v>
      </c>
      <c r="E2273">
        <v>17.91</v>
      </c>
      <c r="F2273" s="15">
        <f>IFERROR(PRD[[#This Row],[VALOR]]/PRD[[#This Row],[KGS]],"")</f>
        <v>17.91</v>
      </c>
      <c r="H2273" s="27"/>
    </row>
    <row r="2274" spans="1:8" x14ac:dyDescent="0.25">
      <c r="A2274" s="21">
        <v>8040011</v>
      </c>
      <c r="B2274" s="1">
        <v>45200</v>
      </c>
      <c r="C2274" t="s">
        <v>560</v>
      </c>
      <c r="D2274">
        <v>12</v>
      </c>
      <c r="E2274">
        <v>35.880000000000003</v>
      </c>
      <c r="F2274" s="15">
        <f>IFERROR(PRD[[#This Row],[VALOR]]/PRD[[#This Row],[KGS]],"")</f>
        <v>2.99</v>
      </c>
      <c r="H2274" s="27"/>
    </row>
    <row r="2275" spans="1:8" x14ac:dyDescent="0.25">
      <c r="A2275" s="21">
        <v>8040034</v>
      </c>
      <c r="B2275" s="1">
        <v>45200</v>
      </c>
      <c r="C2275" t="s">
        <v>767</v>
      </c>
      <c r="D2275">
        <v>453.6</v>
      </c>
      <c r="E2275">
        <v>5080.32</v>
      </c>
      <c r="F2275" s="15">
        <f>IFERROR(PRD[[#This Row],[VALOR]]/PRD[[#This Row],[KGS]],"")</f>
        <v>11.2</v>
      </c>
      <c r="H2275" s="27"/>
    </row>
    <row r="2276" spans="1:8" x14ac:dyDescent="0.25">
      <c r="A2276" s="21">
        <v>8040035</v>
      </c>
      <c r="B2276" s="1">
        <v>45200</v>
      </c>
      <c r="C2276" t="s">
        <v>768</v>
      </c>
      <c r="D2276">
        <v>432</v>
      </c>
      <c r="E2276">
        <v>5270.4</v>
      </c>
      <c r="F2276" s="15">
        <f>IFERROR(PRD[[#This Row],[VALOR]]/PRD[[#This Row],[KGS]],"")</f>
        <v>12.2</v>
      </c>
      <c r="H2276" s="27"/>
    </row>
    <row r="2277" spans="1:8" x14ac:dyDescent="0.25">
      <c r="A2277" s="21">
        <v>8040048</v>
      </c>
      <c r="B2277" s="1">
        <v>45200</v>
      </c>
      <c r="C2277" t="s">
        <v>699</v>
      </c>
      <c r="D2277">
        <v>728</v>
      </c>
      <c r="E2277">
        <v>1870.96</v>
      </c>
      <c r="F2277" s="15">
        <f>IFERROR(PRD[[#This Row],[VALOR]]/PRD[[#This Row],[KGS]],"")</f>
        <v>2.57</v>
      </c>
      <c r="H2277" s="27"/>
    </row>
    <row r="2278" spans="1:8" x14ac:dyDescent="0.25">
      <c r="A2278" s="21">
        <v>8040049</v>
      </c>
      <c r="B2278" s="1">
        <v>45200</v>
      </c>
      <c r="C2278" t="s">
        <v>643</v>
      </c>
      <c r="D2278">
        <v>40</v>
      </c>
      <c r="E2278">
        <v>475.2</v>
      </c>
      <c r="F2278" s="15">
        <f>IFERROR(PRD[[#This Row],[VALOR]]/PRD[[#This Row],[KGS]],"")</f>
        <v>11.879999999999999</v>
      </c>
      <c r="H2278" s="27"/>
    </row>
    <row r="2279" spans="1:8" x14ac:dyDescent="0.25">
      <c r="A2279" s="21">
        <v>8040050</v>
      </c>
      <c r="B2279" s="1">
        <v>45200</v>
      </c>
      <c r="C2279" t="s">
        <v>746</v>
      </c>
      <c r="D2279">
        <v>384</v>
      </c>
      <c r="E2279">
        <v>5197.4399999999996</v>
      </c>
      <c r="F2279" s="15">
        <f>IFERROR(PRD[[#This Row],[VALOR]]/PRD[[#This Row],[KGS]],"")</f>
        <v>13.534999999999998</v>
      </c>
      <c r="H2279" s="27"/>
    </row>
    <row r="2280" spans="1:8" x14ac:dyDescent="0.25">
      <c r="A2280" s="21">
        <v>8040051</v>
      </c>
      <c r="B2280" s="1">
        <v>45200</v>
      </c>
      <c r="C2280" t="s">
        <v>644</v>
      </c>
      <c r="D2280">
        <v>1.2</v>
      </c>
      <c r="E2280">
        <v>14.26</v>
      </c>
      <c r="F2280" s="15">
        <f>IFERROR(PRD[[#This Row],[VALOR]]/PRD[[#This Row],[KGS]],"")</f>
        <v>11.883333333333333</v>
      </c>
      <c r="H2280" s="27"/>
    </row>
    <row r="2281" spans="1:8" x14ac:dyDescent="0.25">
      <c r="A2281" s="21">
        <v>8040052</v>
      </c>
      <c r="B2281" s="1">
        <v>45200</v>
      </c>
      <c r="C2281" t="s">
        <v>700</v>
      </c>
      <c r="D2281">
        <v>163.80000000000001</v>
      </c>
      <c r="E2281">
        <v>1828.89</v>
      </c>
      <c r="F2281" s="15">
        <f>IFERROR(PRD[[#This Row],[VALOR]]/PRD[[#This Row],[KGS]],"")</f>
        <v>11.165384615384616</v>
      </c>
      <c r="H2281" s="27"/>
    </row>
    <row r="2282" spans="1:8" x14ac:dyDescent="0.25">
      <c r="A2282" s="21">
        <v>8040053</v>
      </c>
      <c r="B2282" s="1">
        <v>45200</v>
      </c>
      <c r="C2282" t="s">
        <v>747</v>
      </c>
      <c r="D2282">
        <v>10.57</v>
      </c>
      <c r="E2282">
        <v>131.04</v>
      </c>
      <c r="F2282" s="15">
        <f>IFERROR(PRD[[#This Row],[VALOR]]/PRD[[#This Row],[KGS]],"")</f>
        <v>12.397350993377483</v>
      </c>
      <c r="H2282" s="27"/>
    </row>
    <row r="2283" spans="1:8" x14ac:dyDescent="0.25">
      <c r="A2283" s="21">
        <v>8040054</v>
      </c>
      <c r="B2283" s="1">
        <v>45200</v>
      </c>
      <c r="C2283" t="s">
        <v>645</v>
      </c>
      <c r="D2283">
        <v>14</v>
      </c>
      <c r="E2283">
        <v>123.2</v>
      </c>
      <c r="F2283" s="15">
        <f>IFERROR(PRD[[#This Row],[VALOR]]/PRD[[#This Row],[KGS]],"")</f>
        <v>8.8000000000000007</v>
      </c>
      <c r="H2283" s="27"/>
    </row>
    <row r="2284" spans="1:8" x14ac:dyDescent="0.25">
      <c r="A2284" s="21">
        <v>8040057</v>
      </c>
      <c r="B2284" s="1">
        <v>45200</v>
      </c>
      <c r="C2284" t="s">
        <v>734</v>
      </c>
      <c r="D2284">
        <v>4</v>
      </c>
      <c r="E2284">
        <v>19.2</v>
      </c>
      <c r="F2284" s="15">
        <f>IFERROR(PRD[[#This Row],[VALOR]]/PRD[[#This Row],[KGS]],"")</f>
        <v>4.8</v>
      </c>
      <c r="H2284" s="27"/>
    </row>
    <row r="2285" spans="1:8" x14ac:dyDescent="0.25">
      <c r="A2285" s="21">
        <v>8040060</v>
      </c>
      <c r="B2285" s="1">
        <v>45200</v>
      </c>
      <c r="C2285" t="s">
        <v>769</v>
      </c>
      <c r="D2285">
        <v>40</v>
      </c>
      <c r="E2285">
        <v>532.79999999999995</v>
      </c>
      <c r="F2285" s="15">
        <f>IFERROR(PRD[[#This Row],[VALOR]]/PRD[[#This Row],[KGS]],"")</f>
        <v>13.319999999999999</v>
      </c>
      <c r="H2285" s="27"/>
    </row>
    <row r="2286" spans="1:8" x14ac:dyDescent="0.25">
      <c r="A2286" s="21">
        <v>8040061</v>
      </c>
      <c r="B2286" s="1">
        <v>45200</v>
      </c>
      <c r="C2286" t="s">
        <v>770</v>
      </c>
      <c r="D2286">
        <v>5000</v>
      </c>
      <c r="E2286">
        <v>48750</v>
      </c>
      <c r="F2286" s="15">
        <f>IFERROR(PRD[[#This Row],[VALOR]]/PRD[[#This Row],[KGS]],"")</f>
        <v>9.75</v>
      </c>
      <c r="H2286" s="27"/>
    </row>
    <row r="2287" spans="1:8" x14ac:dyDescent="0.25">
      <c r="A2287" s="21">
        <v>8050002</v>
      </c>
      <c r="B2287" s="1">
        <v>45200</v>
      </c>
      <c r="C2287" t="s">
        <v>322</v>
      </c>
      <c r="D2287">
        <v>10</v>
      </c>
      <c r="E2287">
        <v>64.599999999999994</v>
      </c>
      <c r="F2287" s="15">
        <f>IFERROR(PRD[[#This Row],[VALOR]]/PRD[[#This Row],[KGS]],"")</f>
        <v>6.4599999999999991</v>
      </c>
      <c r="H2287" s="27"/>
    </row>
    <row r="2288" spans="1:8" x14ac:dyDescent="0.25">
      <c r="A2288" s="21">
        <v>8060003</v>
      </c>
      <c r="B2288" s="1">
        <v>45200</v>
      </c>
      <c r="C2288" t="s">
        <v>771</v>
      </c>
      <c r="D2288">
        <v>864</v>
      </c>
      <c r="E2288">
        <v>4017.6</v>
      </c>
      <c r="F2288" s="15">
        <f>IFERROR(PRD[[#This Row],[VALOR]]/PRD[[#This Row],[KGS]],"")</f>
        <v>4.6499999999999995</v>
      </c>
      <c r="H2288" s="27"/>
    </row>
    <row r="2289" spans="1:8" x14ac:dyDescent="0.25">
      <c r="A2289" s="21">
        <v>8070001</v>
      </c>
      <c r="B2289" s="1">
        <v>45200</v>
      </c>
      <c r="C2289" t="s">
        <v>326</v>
      </c>
      <c r="D2289">
        <v>3</v>
      </c>
      <c r="E2289">
        <v>7.2</v>
      </c>
      <c r="F2289" s="15">
        <f>IFERROR(PRD[[#This Row],[VALOR]]/PRD[[#This Row],[KGS]],"")</f>
        <v>2.4</v>
      </c>
      <c r="H2289" s="27"/>
    </row>
    <row r="2290" spans="1:8" x14ac:dyDescent="0.25">
      <c r="A2290" s="21">
        <v>8070009</v>
      </c>
      <c r="B2290" s="1">
        <v>45200</v>
      </c>
      <c r="C2290" t="s">
        <v>581</v>
      </c>
      <c r="D2290">
        <v>1372</v>
      </c>
      <c r="E2290">
        <v>4597.18</v>
      </c>
      <c r="F2290" s="15">
        <f>IFERROR(PRD[[#This Row],[VALOR]]/PRD[[#This Row],[KGS]],"")</f>
        <v>3.350714285714286</v>
      </c>
      <c r="H2290" s="27"/>
    </row>
    <row r="2291" spans="1:8" x14ac:dyDescent="0.25">
      <c r="A2291" s="21">
        <v>8070012</v>
      </c>
      <c r="B2291" s="1">
        <v>45200</v>
      </c>
      <c r="C2291" t="s">
        <v>372</v>
      </c>
      <c r="D2291">
        <v>152</v>
      </c>
      <c r="E2291">
        <v>288.8</v>
      </c>
      <c r="F2291" s="15">
        <f>IFERROR(PRD[[#This Row],[VALOR]]/PRD[[#This Row],[KGS]],"")</f>
        <v>1.9000000000000001</v>
      </c>
      <c r="H2291" s="27"/>
    </row>
    <row r="2292" spans="1:8" x14ac:dyDescent="0.25">
      <c r="A2292" s="21">
        <v>8070014</v>
      </c>
      <c r="B2292" s="1">
        <v>45200</v>
      </c>
      <c r="C2292" t="s">
        <v>394</v>
      </c>
      <c r="D2292">
        <v>7159.88</v>
      </c>
      <c r="E2292">
        <v>26849.58</v>
      </c>
      <c r="F2292" s="15">
        <f>IFERROR(PRD[[#This Row],[VALOR]]/PRD[[#This Row],[KGS]],"")</f>
        <v>3.7500041900143581</v>
      </c>
      <c r="H2292" s="27"/>
    </row>
    <row r="2293" spans="1:8" x14ac:dyDescent="0.25">
      <c r="A2293" s="21">
        <v>8070016</v>
      </c>
      <c r="B2293" s="1">
        <v>45200</v>
      </c>
      <c r="C2293" t="s">
        <v>395</v>
      </c>
      <c r="D2293">
        <v>13440</v>
      </c>
      <c r="E2293">
        <v>75264</v>
      </c>
      <c r="F2293" s="15">
        <f>IFERROR(PRD[[#This Row],[VALOR]]/PRD[[#This Row],[KGS]],"")</f>
        <v>5.6</v>
      </c>
      <c r="H2293" s="27"/>
    </row>
    <row r="2294" spans="1:8" x14ac:dyDescent="0.25">
      <c r="A2294" s="21">
        <v>8070018</v>
      </c>
      <c r="B2294" s="1">
        <v>45200</v>
      </c>
      <c r="C2294" t="s">
        <v>397</v>
      </c>
      <c r="D2294">
        <v>1891.94</v>
      </c>
      <c r="E2294">
        <v>6527.15</v>
      </c>
      <c r="F2294" s="15">
        <f>IFERROR(PRD[[#This Row],[VALOR]]/PRD[[#This Row],[KGS]],"")</f>
        <v>3.4499772720065116</v>
      </c>
      <c r="H2294" s="27"/>
    </row>
    <row r="2295" spans="1:8" x14ac:dyDescent="0.25">
      <c r="A2295" s="21">
        <v>8070027</v>
      </c>
      <c r="B2295" s="1">
        <v>45200</v>
      </c>
      <c r="C2295" t="s">
        <v>772</v>
      </c>
      <c r="D2295">
        <v>1801.8</v>
      </c>
      <c r="E2295">
        <v>6522.53</v>
      </c>
      <c r="F2295" s="15">
        <f>IFERROR(PRD[[#This Row],[VALOR]]/PRD[[#This Row],[KGS]],"")</f>
        <v>3.6200077700077697</v>
      </c>
      <c r="H2295" s="27"/>
    </row>
    <row r="2296" spans="1:8" x14ac:dyDescent="0.25">
      <c r="A2296" s="21">
        <v>8070028</v>
      </c>
      <c r="B2296" s="1">
        <v>45200</v>
      </c>
      <c r="C2296" t="s">
        <v>748</v>
      </c>
      <c r="D2296">
        <v>1440</v>
      </c>
      <c r="E2296">
        <v>5328</v>
      </c>
      <c r="F2296" s="15">
        <f>IFERROR(PRD[[#This Row],[VALOR]]/PRD[[#This Row],[KGS]],"")</f>
        <v>3.7</v>
      </c>
      <c r="H2296" s="27"/>
    </row>
    <row r="2297" spans="1:8" x14ac:dyDescent="0.25">
      <c r="A2297" s="21">
        <v>8070029</v>
      </c>
      <c r="B2297" s="1">
        <v>45200</v>
      </c>
      <c r="C2297" t="s">
        <v>491</v>
      </c>
      <c r="D2297">
        <v>1800</v>
      </c>
      <c r="E2297">
        <v>6930</v>
      </c>
      <c r="F2297" s="15">
        <f>IFERROR(PRD[[#This Row],[VALOR]]/PRD[[#This Row],[KGS]],"")</f>
        <v>3.85</v>
      </c>
      <c r="H2297" s="27"/>
    </row>
    <row r="2298" spans="1:8" x14ac:dyDescent="0.25">
      <c r="A2298" s="21">
        <v>8070051</v>
      </c>
      <c r="B2298" s="1">
        <v>45200</v>
      </c>
      <c r="C2298" t="s">
        <v>750</v>
      </c>
      <c r="D2298">
        <v>1.2</v>
      </c>
      <c r="E2298">
        <v>6.68</v>
      </c>
      <c r="F2298" s="15">
        <f>IFERROR(PRD[[#This Row],[VALOR]]/PRD[[#This Row],[KGS]],"")</f>
        <v>5.5666666666666664</v>
      </c>
      <c r="H2298" s="27"/>
    </row>
    <row r="2299" spans="1:8" x14ac:dyDescent="0.25">
      <c r="A2299" s="21">
        <v>8070052</v>
      </c>
      <c r="B2299" s="1">
        <v>45200</v>
      </c>
      <c r="C2299" t="s">
        <v>751</v>
      </c>
      <c r="D2299">
        <v>3.88</v>
      </c>
      <c r="E2299">
        <v>12.45</v>
      </c>
      <c r="F2299" s="15">
        <f>IFERROR(PRD[[#This Row],[VALOR]]/PRD[[#This Row],[KGS]],"")</f>
        <v>3.2087628865979378</v>
      </c>
      <c r="H2299" s="27"/>
    </row>
    <row r="2300" spans="1:8" x14ac:dyDescent="0.25">
      <c r="A2300" s="21">
        <v>8070054</v>
      </c>
      <c r="B2300" s="1">
        <v>45200</v>
      </c>
      <c r="C2300" t="s">
        <v>773</v>
      </c>
      <c r="D2300">
        <v>3.5</v>
      </c>
      <c r="E2300">
        <v>26.28</v>
      </c>
      <c r="F2300" s="15">
        <f>IFERROR(PRD[[#This Row],[VALOR]]/PRD[[#This Row],[KGS]],"")</f>
        <v>7.5085714285714289</v>
      </c>
      <c r="H2300" s="27"/>
    </row>
    <row r="2301" spans="1:8" x14ac:dyDescent="0.25">
      <c r="A2301" s="21">
        <v>8070060</v>
      </c>
      <c r="B2301" s="1">
        <v>45200</v>
      </c>
      <c r="C2301" t="s">
        <v>701</v>
      </c>
      <c r="D2301">
        <v>126</v>
      </c>
      <c r="E2301">
        <v>299.14</v>
      </c>
      <c r="F2301" s="15">
        <f>IFERROR(PRD[[#This Row],[VALOR]]/PRD[[#This Row],[KGS]],"")</f>
        <v>2.3741269841269839</v>
      </c>
      <c r="H2301" s="27"/>
    </row>
    <row r="2302" spans="1:8" x14ac:dyDescent="0.25">
      <c r="A2302" s="21">
        <v>8070061</v>
      </c>
      <c r="B2302" s="1">
        <v>45200</v>
      </c>
      <c r="C2302" t="s">
        <v>752</v>
      </c>
      <c r="D2302">
        <v>2</v>
      </c>
      <c r="E2302">
        <v>5.18</v>
      </c>
      <c r="F2302" s="15">
        <f>IFERROR(PRD[[#This Row],[VALOR]]/PRD[[#This Row],[KGS]],"")</f>
        <v>2.59</v>
      </c>
      <c r="H2302" s="27"/>
    </row>
    <row r="2303" spans="1:8" x14ac:dyDescent="0.25">
      <c r="A2303" s="21">
        <v>8070068</v>
      </c>
      <c r="B2303" s="1">
        <v>45200</v>
      </c>
      <c r="C2303" t="s">
        <v>398</v>
      </c>
      <c r="D2303">
        <v>1890</v>
      </c>
      <c r="E2303">
        <v>6804</v>
      </c>
      <c r="F2303" s="15">
        <f>IFERROR(PRD[[#This Row],[VALOR]]/PRD[[#This Row],[KGS]],"")</f>
        <v>3.6</v>
      </c>
      <c r="H2303" s="27"/>
    </row>
    <row r="2304" spans="1:8" x14ac:dyDescent="0.25">
      <c r="A2304" s="21">
        <v>8070069</v>
      </c>
      <c r="B2304" s="1">
        <v>45200</v>
      </c>
      <c r="C2304" t="s">
        <v>774</v>
      </c>
      <c r="D2304">
        <v>1008</v>
      </c>
      <c r="E2304">
        <v>1209.5999999999999</v>
      </c>
      <c r="F2304" s="15">
        <f>IFERROR(PRD[[#This Row],[VALOR]]/PRD[[#This Row],[KGS]],"")</f>
        <v>1.2</v>
      </c>
      <c r="H2304" s="27"/>
    </row>
    <row r="2305" spans="1:8" x14ac:dyDescent="0.25">
      <c r="A2305" s="21">
        <v>8120002</v>
      </c>
      <c r="B2305" s="1">
        <v>45200</v>
      </c>
      <c r="C2305" t="s">
        <v>501</v>
      </c>
      <c r="D2305">
        <v>1600</v>
      </c>
      <c r="E2305">
        <v>4720</v>
      </c>
      <c r="F2305" s="15">
        <f>IFERROR(PRD[[#This Row],[VALOR]]/PRD[[#This Row],[KGS]],"")</f>
        <v>2.95</v>
      </c>
      <c r="H2305" s="27"/>
    </row>
    <row r="2306" spans="1:8" x14ac:dyDescent="0.25">
      <c r="A2306" s="21">
        <v>8120003</v>
      </c>
      <c r="B2306" s="1">
        <v>45200</v>
      </c>
      <c r="C2306" t="s">
        <v>376</v>
      </c>
      <c r="D2306">
        <v>182</v>
      </c>
      <c r="E2306">
        <v>539.98</v>
      </c>
      <c r="F2306" s="15">
        <f>IFERROR(PRD[[#This Row],[VALOR]]/PRD[[#This Row],[KGS]],"")</f>
        <v>2.9669230769230772</v>
      </c>
      <c r="H2306" s="27"/>
    </row>
    <row r="2307" spans="1:8" x14ac:dyDescent="0.25">
      <c r="A2307" s="21">
        <v>8120005</v>
      </c>
      <c r="B2307" s="1">
        <v>45200</v>
      </c>
      <c r="C2307" t="s">
        <v>407</v>
      </c>
      <c r="D2307">
        <v>-500</v>
      </c>
      <c r="E2307">
        <v>2330</v>
      </c>
      <c r="F2307" s="15">
        <f>IFERROR(PRD[[#This Row],[VALOR]]/PRD[[#This Row],[KGS]],"")</f>
        <v>-4.66</v>
      </c>
      <c r="H2307" s="27"/>
    </row>
    <row r="2308" spans="1:8" x14ac:dyDescent="0.25">
      <c r="A2308" s="21">
        <v>8120006</v>
      </c>
      <c r="B2308" s="1">
        <v>45200</v>
      </c>
      <c r="C2308" t="s">
        <v>408</v>
      </c>
      <c r="D2308">
        <v>6.78</v>
      </c>
      <c r="E2308">
        <v>51.48</v>
      </c>
      <c r="F2308" s="15">
        <f>IFERROR(PRD[[#This Row],[VALOR]]/PRD[[#This Row],[KGS]],"")</f>
        <v>7.5929203539822998</v>
      </c>
      <c r="H2308" s="27"/>
    </row>
    <row r="2309" spans="1:8" x14ac:dyDescent="0.25">
      <c r="A2309" s="21">
        <v>8120007</v>
      </c>
      <c r="B2309" s="1">
        <v>45200</v>
      </c>
      <c r="C2309" t="s">
        <v>377</v>
      </c>
      <c r="D2309">
        <v>12.51</v>
      </c>
      <c r="E2309">
        <v>119.21</v>
      </c>
      <c r="F2309" s="15">
        <f>IFERROR(PRD[[#This Row],[VALOR]]/PRD[[#This Row],[KGS]],"")</f>
        <v>9.5291766586730606</v>
      </c>
      <c r="H2309" s="27"/>
    </row>
    <row r="2310" spans="1:8" x14ac:dyDescent="0.25">
      <c r="A2310" s="21">
        <v>8120008</v>
      </c>
      <c r="B2310" s="1">
        <v>45200</v>
      </c>
      <c r="C2310" t="s">
        <v>409</v>
      </c>
      <c r="D2310">
        <v>363.57</v>
      </c>
      <c r="E2310">
        <v>3581.16</v>
      </c>
      <c r="F2310" s="15">
        <f>IFERROR(PRD[[#This Row],[VALOR]]/PRD[[#This Row],[KGS]],"")</f>
        <v>9.8499876227411498</v>
      </c>
      <c r="H2310" s="27"/>
    </row>
    <row r="2311" spans="1:8" x14ac:dyDescent="0.25">
      <c r="A2311" s="21">
        <v>8120009</v>
      </c>
      <c r="B2311" s="1">
        <v>45200</v>
      </c>
      <c r="C2311" t="s">
        <v>506</v>
      </c>
      <c r="D2311">
        <v>425.63</v>
      </c>
      <c r="E2311">
        <v>4830.91</v>
      </c>
      <c r="F2311" s="15">
        <f>IFERROR(PRD[[#This Row],[VALOR]]/PRD[[#This Row],[KGS]],"")</f>
        <v>11.350022319855274</v>
      </c>
      <c r="H2311" s="27"/>
    </row>
    <row r="2312" spans="1:8" x14ac:dyDescent="0.25">
      <c r="A2312" s="21">
        <v>8120010</v>
      </c>
      <c r="B2312" s="1">
        <v>45200</v>
      </c>
      <c r="C2312" t="s">
        <v>378</v>
      </c>
      <c r="D2312">
        <v>1884.45</v>
      </c>
      <c r="E2312">
        <v>22996.68</v>
      </c>
      <c r="F2312" s="15">
        <f>IFERROR(PRD[[#This Row],[VALOR]]/PRD[[#This Row],[KGS]],"")</f>
        <v>12.203390909814535</v>
      </c>
      <c r="H2312" s="27"/>
    </row>
    <row r="2313" spans="1:8" x14ac:dyDescent="0.25">
      <c r="A2313" s="21">
        <v>8120015</v>
      </c>
      <c r="B2313" s="1">
        <v>45200</v>
      </c>
      <c r="C2313" t="s">
        <v>412</v>
      </c>
      <c r="D2313">
        <v>1949</v>
      </c>
      <c r="E2313">
        <v>5561.55</v>
      </c>
      <c r="F2313" s="15">
        <f>IFERROR(PRD[[#This Row],[VALOR]]/PRD[[#This Row],[KGS]],"")</f>
        <v>2.8535402770651617</v>
      </c>
      <c r="H2313" s="27"/>
    </row>
    <row r="2314" spans="1:8" x14ac:dyDescent="0.25">
      <c r="A2314" s="21">
        <v>8120016</v>
      </c>
      <c r="B2314" s="1">
        <v>45200</v>
      </c>
      <c r="C2314" t="s">
        <v>510</v>
      </c>
      <c r="D2314">
        <v>1868.96</v>
      </c>
      <c r="E2314">
        <v>12708.97</v>
      </c>
      <c r="F2314" s="15">
        <f>IFERROR(PRD[[#This Row],[VALOR]]/PRD[[#This Row],[KGS]],"")</f>
        <v>6.8000224723910616</v>
      </c>
      <c r="H2314" s="27"/>
    </row>
    <row r="2315" spans="1:8" x14ac:dyDescent="0.25">
      <c r="A2315" s="21">
        <v>8120051</v>
      </c>
      <c r="B2315" s="1">
        <v>45200</v>
      </c>
      <c r="C2315" t="s">
        <v>775</v>
      </c>
      <c r="D2315">
        <v>1359.64</v>
      </c>
      <c r="E2315">
        <v>10605.23</v>
      </c>
      <c r="F2315" s="15">
        <f>IFERROR(PRD[[#This Row],[VALOR]]/PRD[[#This Row],[KGS]],"")</f>
        <v>7.8000279485746216</v>
      </c>
      <c r="H2315" s="27"/>
    </row>
    <row r="2316" spans="1:8" x14ac:dyDescent="0.25">
      <c r="A2316" s="21">
        <v>8130001</v>
      </c>
      <c r="B2316" s="1">
        <v>45200</v>
      </c>
      <c r="C2316" t="s">
        <v>380</v>
      </c>
      <c r="D2316">
        <v>2</v>
      </c>
      <c r="E2316">
        <v>4.5199999999999996</v>
      </c>
      <c r="F2316" s="15">
        <f>IFERROR(PRD[[#This Row],[VALOR]]/PRD[[#This Row],[KGS]],"")</f>
        <v>2.2599999999999998</v>
      </c>
      <c r="H2316" s="27"/>
    </row>
    <row r="2317" spans="1:8" x14ac:dyDescent="0.25">
      <c r="A2317" s="21">
        <v>8130007</v>
      </c>
      <c r="B2317" s="1">
        <v>45200</v>
      </c>
      <c r="C2317" t="s">
        <v>737</v>
      </c>
      <c r="D2317">
        <v>3700</v>
      </c>
      <c r="E2317">
        <v>5846</v>
      </c>
      <c r="F2317" s="15">
        <f>IFERROR(PRD[[#This Row],[VALOR]]/PRD[[#This Row],[KGS]],"")</f>
        <v>1.58</v>
      </c>
      <c r="H2317" s="27"/>
    </row>
    <row r="2318" spans="1:8" x14ac:dyDescent="0.25">
      <c r="A2318" s="21">
        <v>8130009</v>
      </c>
      <c r="B2318" s="1">
        <v>45200</v>
      </c>
      <c r="C2318" t="s">
        <v>738</v>
      </c>
      <c r="D2318">
        <v>1050</v>
      </c>
      <c r="E2318">
        <v>1992.5</v>
      </c>
      <c r="F2318" s="15">
        <f>IFERROR(PRD[[#This Row],[VALOR]]/PRD[[#This Row],[KGS]],"")</f>
        <v>1.8976190476190475</v>
      </c>
      <c r="H2318" s="27"/>
    </row>
    <row r="2319" spans="1:8" x14ac:dyDescent="0.25">
      <c r="A2319" s="21">
        <v>8130010</v>
      </c>
      <c r="B2319" s="1">
        <v>45200</v>
      </c>
      <c r="C2319" t="s">
        <v>619</v>
      </c>
      <c r="D2319">
        <v>1430</v>
      </c>
      <c r="E2319">
        <v>2003</v>
      </c>
      <c r="F2319" s="15">
        <f>IFERROR(PRD[[#This Row],[VALOR]]/PRD[[#This Row],[KGS]],"")</f>
        <v>1.4006993006993007</v>
      </c>
      <c r="H2319" s="27"/>
    </row>
    <row r="2320" spans="1:8" x14ac:dyDescent="0.25">
      <c r="A2320" s="21">
        <v>8130015</v>
      </c>
      <c r="B2320" s="1">
        <v>45200</v>
      </c>
      <c r="C2320" t="s">
        <v>622</v>
      </c>
      <c r="D2320">
        <v>16</v>
      </c>
      <c r="E2320">
        <v>59.67</v>
      </c>
      <c r="F2320" s="15">
        <f>IFERROR(PRD[[#This Row],[VALOR]]/PRD[[#This Row],[KGS]],"")</f>
        <v>3.7293750000000001</v>
      </c>
      <c r="H2320" s="27"/>
    </row>
    <row r="2321" spans="1:8" x14ac:dyDescent="0.25">
      <c r="A2321" s="21">
        <v>8130016</v>
      </c>
      <c r="B2321" s="1">
        <v>45200</v>
      </c>
      <c r="C2321" t="s">
        <v>776</v>
      </c>
      <c r="D2321">
        <v>280</v>
      </c>
      <c r="E2321">
        <v>1100.8</v>
      </c>
      <c r="F2321" s="15">
        <f>IFERROR(PRD[[#This Row],[VALOR]]/PRD[[#This Row],[KGS]],"")</f>
        <v>3.9314285714285711</v>
      </c>
      <c r="H2321" s="27"/>
    </row>
    <row r="2322" spans="1:8" x14ac:dyDescent="0.25">
      <c r="A2322" s="21">
        <v>8140001</v>
      </c>
      <c r="B2322" s="1">
        <v>45200</v>
      </c>
      <c r="C2322" t="s">
        <v>381</v>
      </c>
      <c r="D2322">
        <v>65</v>
      </c>
      <c r="E2322">
        <v>269.7</v>
      </c>
      <c r="F2322" s="15">
        <f>IFERROR(PRD[[#This Row],[VALOR]]/PRD[[#This Row],[KGS]],"")</f>
        <v>4.1492307692307691</v>
      </c>
      <c r="H2322" s="27"/>
    </row>
    <row r="2323" spans="1:8" x14ac:dyDescent="0.25">
      <c r="A2323" s="21">
        <v>8140003</v>
      </c>
      <c r="B2323" s="1">
        <v>45200</v>
      </c>
      <c r="C2323" t="s">
        <v>777</v>
      </c>
      <c r="D2323">
        <v>1200</v>
      </c>
      <c r="E2323">
        <v>2340</v>
      </c>
      <c r="F2323" s="15">
        <f>IFERROR(PRD[[#This Row],[VALOR]]/PRD[[#This Row],[KGS]],"")</f>
        <v>1.95</v>
      </c>
      <c r="H2323" s="27"/>
    </row>
    <row r="2324" spans="1:8" x14ac:dyDescent="0.25">
      <c r="A2324" s="21">
        <v>8140006</v>
      </c>
      <c r="B2324" s="1">
        <v>45200</v>
      </c>
      <c r="C2324" t="s">
        <v>423</v>
      </c>
      <c r="D2324">
        <v>25</v>
      </c>
      <c r="E2324">
        <v>58</v>
      </c>
      <c r="F2324" s="15">
        <f>IFERROR(PRD[[#This Row],[VALOR]]/PRD[[#This Row],[KGS]],"")</f>
        <v>2.3199999999999998</v>
      </c>
      <c r="H2324" s="27"/>
    </row>
    <row r="2325" spans="1:8" x14ac:dyDescent="0.25">
      <c r="A2325" s="21">
        <v>8140010</v>
      </c>
      <c r="B2325" s="1">
        <v>45200</v>
      </c>
      <c r="C2325" t="s">
        <v>424</v>
      </c>
      <c r="D2325">
        <v>600</v>
      </c>
      <c r="E2325">
        <v>1668</v>
      </c>
      <c r="F2325" s="15">
        <f>IFERROR(PRD[[#This Row],[VALOR]]/PRD[[#This Row],[KGS]],"")</f>
        <v>2.78</v>
      </c>
      <c r="H2325" s="27"/>
    </row>
    <row r="2326" spans="1:8" x14ac:dyDescent="0.25">
      <c r="A2326" s="21">
        <v>8140012</v>
      </c>
      <c r="B2326" s="1">
        <v>45200</v>
      </c>
      <c r="C2326" t="s">
        <v>425</v>
      </c>
      <c r="D2326">
        <v>320.18</v>
      </c>
      <c r="E2326">
        <v>6036.73</v>
      </c>
      <c r="F2326" s="15">
        <f>IFERROR(PRD[[#This Row],[VALOR]]/PRD[[#This Row],[KGS]],"")</f>
        <v>18.854175776125928</v>
      </c>
      <c r="H2326" s="27"/>
    </row>
    <row r="2327" spans="1:8" x14ac:dyDescent="0.25">
      <c r="A2327" s="21">
        <v>8140013</v>
      </c>
      <c r="B2327" s="1">
        <v>45200</v>
      </c>
      <c r="C2327" t="s">
        <v>674</v>
      </c>
      <c r="D2327">
        <v>2042</v>
      </c>
      <c r="E2327">
        <v>1123.22</v>
      </c>
      <c r="F2327" s="15">
        <f>IFERROR(PRD[[#This Row],[VALOR]]/PRD[[#This Row],[KGS]],"")</f>
        <v>0.55005876591576885</v>
      </c>
      <c r="H2327" s="27"/>
    </row>
    <row r="2328" spans="1:8" x14ac:dyDescent="0.25">
      <c r="A2328" s="21">
        <v>8140014</v>
      </c>
      <c r="B2328" s="1">
        <v>45200</v>
      </c>
      <c r="C2328" t="s">
        <v>675</v>
      </c>
      <c r="D2328">
        <v>20</v>
      </c>
      <c r="E2328">
        <v>20</v>
      </c>
      <c r="F2328" s="15">
        <f>IFERROR(PRD[[#This Row],[VALOR]]/PRD[[#This Row],[KGS]],"")</f>
        <v>1</v>
      </c>
      <c r="H2328" s="27"/>
    </row>
    <row r="2329" spans="1:8" x14ac:dyDescent="0.25">
      <c r="A2329" s="21">
        <v>8140015</v>
      </c>
      <c r="B2329" s="1">
        <v>45200</v>
      </c>
      <c r="C2329" t="s">
        <v>676</v>
      </c>
      <c r="D2329">
        <v>4041</v>
      </c>
      <c r="E2329">
        <v>3961.84</v>
      </c>
      <c r="F2329" s="15">
        <f>IFERROR(PRD[[#This Row],[VALOR]]/PRD[[#This Row],[KGS]],"")</f>
        <v>0.9804107894085623</v>
      </c>
      <c r="H2329" s="27"/>
    </row>
    <row r="2330" spans="1:8" x14ac:dyDescent="0.25">
      <c r="A2330" s="21">
        <v>8140016</v>
      </c>
      <c r="B2330" s="1">
        <v>45200</v>
      </c>
      <c r="C2330" t="s">
        <v>677</v>
      </c>
      <c r="D2330">
        <v>1000</v>
      </c>
      <c r="E2330">
        <v>3369.29</v>
      </c>
      <c r="F2330" s="15">
        <f>IFERROR(PRD[[#This Row],[VALOR]]/PRD[[#This Row],[KGS]],"")</f>
        <v>3.3692899999999999</v>
      </c>
      <c r="H2330" s="27"/>
    </row>
    <row r="2331" spans="1:8" x14ac:dyDescent="0.25">
      <c r="A2331" s="21">
        <v>8150001</v>
      </c>
      <c r="B2331" s="1">
        <v>45200</v>
      </c>
      <c r="C2331" t="s">
        <v>382</v>
      </c>
      <c r="D2331">
        <v>3</v>
      </c>
      <c r="E2331">
        <v>36.159999999999997</v>
      </c>
      <c r="F2331" s="15">
        <f>IFERROR(PRD[[#This Row],[VALOR]]/PRD[[#This Row],[KGS]],"")</f>
        <v>12.053333333333333</v>
      </c>
      <c r="H2331" s="27"/>
    </row>
    <row r="2332" spans="1:8" x14ac:dyDescent="0.25">
      <c r="A2332" s="21">
        <v>8150003</v>
      </c>
      <c r="B2332" s="1">
        <v>45200</v>
      </c>
      <c r="C2332" t="s">
        <v>384</v>
      </c>
      <c r="D2332">
        <v>200</v>
      </c>
      <c r="E2332">
        <v>1500</v>
      </c>
      <c r="F2332" s="15">
        <f>IFERROR(PRD[[#This Row],[VALOR]]/PRD[[#This Row],[KGS]],"")</f>
        <v>7.5</v>
      </c>
      <c r="H2332" s="27"/>
    </row>
    <row r="2333" spans="1:8" x14ac:dyDescent="0.25">
      <c r="A2333" s="21">
        <v>8150004</v>
      </c>
      <c r="B2333" s="1">
        <v>45200</v>
      </c>
      <c r="C2333" t="s">
        <v>625</v>
      </c>
      <c r="D2333">
        <v>2283</v>
      </c>
      <c r="E2333">
        <v>15304.11</v>
      </c>
      <c r="F2333" s="15">
        <f>IFERROR(PRD[[#This Row],[VALOR]]/PRD[[#This Row],[KGS]],"")</f>
        <v>6.7035085413929041</v>
      </c>
      <c r="H2333" s="27"/>
    </row>
    <row r="2334" spans="1:8" x14ac:dyDescent="0.25">
      <c r="A2334" s="21">
        <v>8150005</v>
      </c>
      <c r="B2334" s="1">
        <v>45200</v>
      </c>
      <c r="C2334" t="s">
        <v>386</v>
      </c>
      <c r="D2334">
        <v>10</v>
      </c>
      <c r="E2334">
        <v>55</v>
      </c>
      <c r="F2334" s="15">
        <f>IFERROR(PRD[[#This Row],[VALOR]]/PRD[[#This Row],[KGS]],"")</f>
        <v>5.5</v>
      </c>
      <c r="H2334" s="27"/>
    </row>
    <row r="2335" spans="1:8" x14ac:dyDescent="0.25">
      <c r="A2335" s="21">
        <v>8150009</v>
      </c>
      <c r="B2335" s="1">
        <v>45200</v>
      </c>
      <c r="C2335" t="s">
        <v>678</v>
      </c>
      <c r="D2335">
        <v>1000</v>
      </c>
      <c r="E2335">
        <v>19500</v>
      </c>
      <c r="F2335" s="15">
        <f>IFERROR(PRD[[#This Row],[VALOR]]/PRD[[#This Row],[KGS]],"")</f>
        <v>19.5</v>
      </c>
      <c r="H2335" s="27"/>
    </row>
    <row r="2336" spans="1:8" x14ac:dyDescent="0.25">
      <c r="A2336" s="21">
        <v>8150011</v>
      </c>
      <c r="B2336" s="1">
        <v>45200</v>
      </c>
      <c r="C2336" t="s">
        <v>532</v>
      </c>
      <c r="D2336">
        <v>1100</v>
      </c>
      <c r="E2336">
        <v>5826</v>
      </c>
      <c r="F2336" s="15">
        <f>IFERROR(PRD[[#This Row],[VALOR]]/PRD[[#This Row],[KGS]],"")</f>
        <v>5.2963636363636359</v>
      </c>
      <c r="H2336" s="27"/>
    </row>
    <row r="2337" spans="1:8" x14ac:dyDescent="0.25">
      <c r="A2337" s="21">
        <v>8150012</v>
      </c>
      <c r="B2337" s="1">
        <v>45200</v>
      </c>
      <c r="C2337" t="s">
        <v>626</v>
      </c>
      <c r="D2337">
        <v>690</v>
      </c>
      <c r="E2337">
        <v>3449.7</v>
      </c>
      <c r="F2337" s="15">
        <f>IFERROR(PRD[[#This Row],[VALOR]]/PRD[[#This Row],[KGS]],"")</f>
        <v>4.9995652173913037</v>
      </c>
      <c r="H2337" s="27"/>
    </row>
    <row r="2338" spans="1:8" x14ac:dyDescent="0.25">
      <c r="A2338" s="21">
        <v>8150013</v>
      </c>
      <c r="B2338" s="1">
        <v>45200</v>
      </c>
      <c r="C2338" t="s">
        <v>536</v>
      </c>
      <c r="D2338">
        <v>50</v>
      </c>
      <c r="E2338">
        <v>232.5</v>
      </c>
      <c r="F2338" s="15">
        <f>IFERROR(PRD[[#This Row],[VALOR]]/PRD[[#This Row],[KGS]],"")</f>
        <v>4.6500000000000004</v>
      </c>
      <c r="H2338" s="27"/>
    </row>
    <row r="2339" spans="1:8" x14ac:dyDescent="0.25">
      <c r="A2339" s="21">
        <v>8150014</v>
      </c>
      <c r="B2339" s="1">
        <v>45200</v>
      </c>
      <c r="C2339" t="s">
        <v>538</v>
      </c>
      <c r="D2339">
        <v>7</v>
      </c>
      <c r="E2339">
        <v>28.35</v>
      </c>
      <c r="F2339" s="15">
        <f>IFERROR(PRD[[#This Row],[VALOR]]/PRD[[#This Row],[KGS]],"")</f>
        <v>4.05</v>
      </c>
      <c r="H2339" s="27"/>
    </row>
    <row r="2340" spans="1:8" x14ac:dyDescent="0.25">
      <c r="A2340" s="21">
        <v>8150015</v>
      </c>
      <c r="B2340" s="1">
        <v>45200</v>
      </c>
      <c r="C2340" t="s">
        <v>628</v>
      </c>
      <c r="D2340">
        <v>80</v>
      </c>
      <c r="E2340">
        <v>316</v>
      </c>
      <c r="F2340" s="15">
        <f>IFERROR(PRD[[#This Row],[VALOR]]/PRD[[#This Row],[KGS]],"")</f>
        <v>3.95</v>
      </c>
      <c r="H2340" s="27"/>
    </row>
    <row r="2341" spans="1:8" x14ac:dyDescent="0.25">
      <c r="A2341" s="21">
        <v>8150020</v>
      </c>
      <c r="B2341" s="1">
        <v>45200</v>
      </c>
      <c r="C2341" t="s">
        <v>706</v>
      </c>
      <c r="D2341">
        <v>631</v>
      </c>
      <c r="E2341">
        <v>5332.36</v>
      </c>
      <c r="F2341" s="15">
        <f>IFERROR(PRD[[#This Row],[VALOR]]/PRD[[#This Row],[KGS]],"")</f>
        <v>8.450649762282092</v>
      </c>
      <c r="H2341" s="27"/>
    </row>
    <row r="2342" spans="1:8" x14ac:dyDescent="0.25">
      <c r="A2342" s="21">
        <v>1010200</v>
      </c>
      <c r="B2342" s="1">
        <v>45231</v>
      </c>
      <c r="C2342" t="s">
        <v>331</v>
      </c>
      <c r="D2342">
        <v>876.2</v>
      </c>
      <c r="E2342">
        <v>262.86</v>
      </c>
      <c r="F2342" s="15">
        <f>IFERROR(PRD[[#This Row],[VALOR]]/PRD[[#This Row],[KGS]],"")</f>
        <v>0.3</v>
      </c>
      <c r="H2342" s="27"/>
    </row>
    <row r="2343" spans="1:8" x14ac:dyDescent="0.25">
      <c r="A2343" s="21">
        <v>1010300</v>
      </c>
      <c r="B2343" s="1">
        <v>45231</v>
      </c>
      <c r="C2343" t="s">
        <v>333</v>
      </c>
      <c r="D2343">
        <v>151.6</v>
      </c>
      <c r="E2343">
        <v>45.48</v>
      </c>
      <c r="F2343" s="15">
        <f>IFERROR(PRD[[#This Row],[VALOR]]/PRD[[#This Row],[KGS]],"")</f>
        <v>0.3</v>
      </c>
      <c r="H2343" s="27"/>
    </row>
    <row r="2344" spans="1:8" x14ac:dyDescent="0.25">
      <c r="A2344" s="21">
        <v>1010500</v>
      </c>
      <c r="B2344" s="1">
        <v>45231</v>
      </c>
      <c r="C2344" t="s">
        <v>6</v>
      </c>
      <c r="D2344">
        <v>1408.3</v>
      </c>
      <c r="E2344">
        <v>914.08</v>
      </c>
      <c r="F2344" s="15">
        <f>IFERROR(PRD[[#This Row],[VALOR]]/PRD[[#This Row],[KGS]],"")</f>
        <v>0.64906625008875951</v>
      </c>
      <c r="H2344" s="27"/>
    </row>
    <row r="2345" spans="1:8" x14ac:dyDescent="0.25">
      <c r="A2345" s="21">
        <v>1010600</v>
      </c>
      <c r="B2345" s="1">
        <v>45231</v>
      </c>
      <c r="C2345" t="s">
        <v>334</v>
      </c>
      <c r="D2345">
        <v>7729.4</v>
      </c>
      <c r="E2345">
        <v>5750</v>
      </c>
      <c r="F2345" s="15">
        <f>IFERROR(PRD[[#This Row],[VALOR]]/PRD[[#This Row],[KGS]],"")</f>
        <v>0.74391285222656356</v>
      </c>
      <c r="H2345" s="27"/>
    </row>
    <row r="2346" spans="1:8" x14ac:dyDescent="0.25">
      <c r="A2346" s="21">
        <v>1010700</v>
      </c>
      <c r="B2346" s="1">
        <v>45231</v>
      </c>
      <c r="C2346" t="s">
        <v>10</v>
      </c>
      <c r="D2346">
        <v>1219.8399999999999</v>
      </c>
      <c r="E2346">
        <v>2528.7399999999998</v>
      </c>
      <c r="F2346" s="15">
        <f>IFERROR(PRD[[#This Row],[VALOR]]/PRD[[#This Row],[KGS]],"")</f>
        <v>2.0730095750262327</v>
      </c>
      <c r="H2346" s="27"/>
    </row>
    <row r="2347" spans="1:8" x14ac:dyDescent="0.25">
      <c r="A2347" s="21">
        <v>1010701</v>
      </c>
      <c r="B2347" s="1">
        <v>45231</v>
      </c>
      <c r="C2347" t="s">
        <v>12</v>
      </c>
      <c r="D2347">
        <v>173.68</v>
      </c>
      <c r="E2347">
        <v>1430</v>
      </c>
      <c r="F2347" s="15">
        <f>IFERROR(PRD[[#This Row],[VALOR]]/PRD[[#This Row],[KGS]],"")</f>
        <v>8.2335329341317358</v>
      </c>
      <c r="H2347" s="27"/>
    </row>
    <row r="2348" spans="1:8" x14ac:dyDescent="0.25">
      <c r="A2348" s="21">
        <v>1010702</v>
      </c>
      <c r="B2348" s="1">
        <v>45231</v>
      </c>
      <c r="C2348" t="s">
        <v>740</v>
      </c>
      <c r="D2348">
        <v>3441</v>
      </c>
      <c r="E2348">
        <v>5487.9</v>
      </c>
      <c r="F2348" s="15">
        <f>IFERROR(PRD[[#This Row],[VALOR]]/PRD[[#This Row],[KGS]],"")</f>
        <v>1.5948561464690496</v>
      </c>
      <c r="H2348" s="27"/>
    </row>
    <row r="2349" spans="1:8" x14ac:dyDescent="0.25">
      <c r="A2349" s="21">
        <v>1010902</v>
      </c>
      <c r="B2349" s="1">
        <v>45231</v>
      </c>
      <c r="C2349" t="s">
        <v>431</v>
      </c>
      <c r="D2349">
        <v>1043.9000000000001</v>
      </c>
      <c r="E2349">
        <v>1239.8</v>
      </c>
      <c r="F2349" s="15">
        <f>IFERROR(PRD[[#This Row],[VALOR]]/PRD[[#This Row],[KGS]],"")</f>
        <v>1.1876616534150779</v>
      </c>
      <c r="H2349" s="27"/>
    </row>
    <row r="2350" spans="1:8" x14ac:dyDescent="0.25">
      <c r="A2350" s="21">
        <v>1010903</v>
      </c>
      <c r="B2350" s="1">
        <v>45231</v>
      </c>
      <c r="C2350" t="s">
        <v>629</v>
      </c>
      <c r="D2350">
        <v>382.68</v>
      </c>
      <c r="E2350">
        <v>331.63</v>
      </c>
      <c r="F2350" s="15">
        <f>IFERROR(PRD[[#This Row],[VALOR]]/PRD[[#This Row],[KGS]],"")</f>
        <v>0.86659872478310862</v>
      </c>
      <c r="H2350" s="27"/>
    </row>
    <row r="2351" spans="1:8" x14ac:dyDescent="0.25">
      <c r="A2351" s="21">
        <v>1011000</v>
      </c>
      <c r="B2351" s="1">
        <v>45231</v>
      </c>
      <c r="C2351" t="s">
        <v>20</v>
      </c>
      <c r="D2351">
        <v>1685.48</v>
      </c>
      <c r="E2351">
        <v>1222.76</v>
      </c>
      <c r="F2351" s="15">
        <f>IFERROR(PRD[[#This Row],[VALOR]]/PRD[[#This Row],[KGS]],"")</f>
        <v>0.7254669293020386</v>
      </c>
      <c r="H2351" s="27"/>
    </row>
    <row r="2352" spans="1:8" x14ac:dyDescent="0.25">
      <c r="A2352" s="21">
        <v>1011100</v>
      </c>
      <c r="B2352" s="1">
        <v>45231</v>
      </c>
      <c r="C2352" t="s">
        <v>22</v>
      </c>
      <c r="D2352">
        <v>50.2</v>
      </c>
      <c r="E2352">
        <v>23.7</v>
      </c>
      <c r="F2352" s="15">
        <f>IFERROR(PRD[[#This Row],[VALOR]]/PRD[[#This Row],[KGS]],"")</f>
        <v>0.47211155378486053</v>
      </c>
      <c r="H2352" s="27"/>
    </row>
    <row r="2353" spans="1:8" x14ac:dyDescent="0.25">
      <c r="A2353" s="21">
        <v>1011200</v>
      </c>
      <c r="B2353" s="1">
        <v>45231</v>
      </c>
      <c r="C2353" t="s">
        <v>24</v>
      </c>
      <c r="D2353">
        <v>77.8</v>
      </c>
      <c r="E2353">
        <v>106.75</v>
      </c>
      <c r="F2353" s="15">
        <f>IFERROR(PRD[[#This Row],[VALOR]]/PRD[[#This Row],[KGS]],"")</f>
        <v>1.3721079691516711</v>
      </c>
      <c r="H2353" s="27"/>
    </row>
    <row r="2354" spans="1:8" x14ac:dyDescent="0.25">
      <c r="A2354" s="21">
        <v>1011201</v>
      </c>
      <c r="B2354" s="1">
        <v>45231</v>
      </c>
      <c r="C2354" t="s">
        <v>338</v>
      </c>
      <c r="D2354">
        <v>119.1</v>
      </c>
      <c r="E2354">
        <v>321.57</v>
      </c>
      <c r="F2354" s="15">
        <f>IFERROR(PRD[[#This Row],[VALOR]]/PRD[[#This Row],[KGS]],"")</f>
        <v>2.7</v>
      </c>
      <c r="H2354" s="27"/>
    </row>
    <row r="2355" spans="1:8" x14ac:dyDescent="0.25">
      <c r="A2355" s="21">
        <v>1011202</v>
      </c>
      <c r="B2355" s="1">
        <v>45231</v>
      </c>
      <c r="C2355" t="s">
        <v>340</v>
      </c>
      <c r="D2355">
        <v>407.7</v>
      </c>
      <c r="E2355">
        <v>81.540000000000006</v>
      </c>
      <c r="F2355" s="15">
        <f>IFERROR(PRD[[#This Row],[VALOR]]/PRD[[#This Row],[KGS]],"")</f>
        <v>0.2</v>
      </c>
      <c r="H2355" s="27"/>
    </row>
    <row r="2356" spans="1:8" x14ac:dyDescent="0.25">
      <c r="A2356" s="21">
        <v>1011203</v>
      </c>
      <c r="B2356" s="1">
        <v>45231</v>
      </c>
      <c r="C2356" t="s">
        <v>342</v>
      </c>
      <c r="D2356">
        <v>107.5</v>
      </c>
      <c r="E2356">
        <v>64.5</v>
      </c>
      <c r="F2356" s="15">
        <f>IFERROR(PRD[[#This Row],[VALOR]]/PRD[[#This Row],[KGS]],"")</f>
        <v>0.6</v>
      </c>
      <c r="H2356" s="27"/>
    </row>
    <row r="2357" spans="1:8" x14ac:dyDescent="0.25">
      <c r="A2357" s="21">
        <v>1011204</v>
      </c>
      <c r="B2357" s="1">
        <v>45231</v>
      </c>
      <c r="C2357" t="s">
        <v>344</v>
      </c>
      <c r="D2357">
        <v>129.80000000000001</v>
      </c>
      <c r="E2357">
        <v>220.66</v>
      </c>
      <c r="F2357" s="15">
        <f>IFERROR(PRD[[#This Row],[VALOR]]/PRD[[#This Row],[KGS]],"")</f>
        <v>1.6999999999999997</v>
      </c>
      <c r="H2357" s="27"/>
    </row>
    <row r="2358" spans="1:8" x14ac:dyDescent="0.25">
      <c r="A2358" s="21">
        <v>1011211</v>
      </c>
      <c r="B2358" s="1">
        <v>45231</v>
      </c>
      <c r="C2358" t="s">
        <v>685</v>
      </c>
      <c r="D2358">
        <v>301</v>
      </c>
      <c r="E2358">
        <v>105.37</v>
      </c>
      <c r="F2358" s="15">
        <f>IFERROR(PRD[[#This Row],[VALOR]]/PRD[[#This Row],[KGS]],"")</f>
        <v>0.35006644518272428</v>
      </c>
      <c r="H2358" s="27"/>
    </row>
    <row r="2359" spans="1:8" x14ac:dyDescent="0.25">
      <c r="A2359" s="21">
        <v>1011300</v>
      </c>
      <c r="B2359" s="1">
        <v>45231</v>
      </c>
      <c r="C2359" t="s">
        <v>295</v>
      </c>
      <c r="D2359">
        <v>87.7</v>
      </c>
      <c r="E2359">
        <v>70.16</v>
      </c>
      <c r="F2359" s="15">
        <f>IFERROR(PRD[[#This Row],[VALOR]]/PRD[[#This Row],[KGS]],"")</f>
        <v>0.79999999999999993</v>
      </c>
      <c r="H2359" s="27"/>
    </row>
    <row r="2360" spans="1:8" x14ac:dyDescent="0.25">
      <c r="A2360" s="21">
        <v>1011500</v>
      </c>
      <c r="B2360" s="1">
        <v>45231</v>
      </c>
      <c r="C2360" t="s">
        <v>27</v>
      </c>
      <c r="D2360">
        <v>1709.9</v>
      </c>
      <c r="E2360">
        <v>1346.09</v>
      </c>
      <c r="F2360" s="15">
        <f>IFERROR(PRD[[#This Row],[VALOR]]/PRD[[#This Row],[KGS]],"")</f>
        <v>0.78723317153049877</v>
      </c>
      <c r="H2360" s="27"/>
    </row>
    <row r="2361" spans="1:8" x14ac:dyDescent="0.25">
      <c r="A2361" s="21">
        <v>1011604</v>
      </c>
      <c r="B2361" s="1">
        <v>45231</v>
      </c>
      <c r="C2361" t="s">
        <v>29</v>
      </c>
      <c r="D2361">
        <v>18174</v>
      </c>
      <c r="E2361">
        <v>1453.92</v>
      </c>
      <c r="F2361" s="15">
        <f>IFERROR(PRD[[#This Row],[VALOR]]/PRD[[#This Row],[KGS]],"")</f>
        <v>0.08</v>
      </c>
      <c r="H2361" s="27"/>
    </row>
    <row r="2362" spans="1:8" x14ac:dyDescent="0.25">
      <c r="A2362" s="21">
        <v>1011700</v>
      </c>
      <c r="B2362" s="1">
        <v>45231</v>
      </c>
      <c r="C2362" t="s">
        <v>31</v>
      </c>
      <c r="D2362">
        <v>288.8</v>
      </c>
      <c r="E2362">
        <v>479.39</v>
      </c>
      <c r="F2362" s="15">
        <f>IFERROR(PRD[[#This Row],[VALOR]]/PRD[[#This Row],[KGS]],"")</f>
        <v>1.6599376731301938</v>
      </c>
      <c r="H2362" s="27"/>
    </row>
    <row r="2363" spans="1:8" x14ac:dyDescent="0.25">
      <c r="A2363" s="21">
        <v>1011800</v>
      </c>
      <c r="B2363" s="1">
        <v>45231</v>
      </c>
      <c r="C2363" t="s">
        <v>33</v>
      </c>
      <c r="D2363">
        <v>4871.37</v>
      </c>
      <c r="E2363">
        <v>9040.61</v>
      </c>
      <c r="F2363" s="15">
        <f>IFERROR(PRD[[#This Row],[VALOR]]/PRD[[#This Row],[KGS]],"")</f>
        <v>1.8558660089461487</v>
      </c>
      <c r="H2363" s="27"/>
    </row>
    <row r="2364" spans="1:8" x14ac:dyDescent="0.25">
      <c r="A2364" s="21">
        <v>1011801</v>
      </c>
      <c r="B2364" s="1">
        <v>45231</v>
      </c>
      <c r="C2364" t="s">
        <v>35</v>
      </c>
      <c r="D2364">
        <v>229.45</v>
      </c>
      <c r="E2364">
        <v>355.65</v>
      </c>
      <c r="F2364" s="15">
        <f>IFERROR(PRD[[#This Row],[VALOR]]/PRD[[#This Row],[KGS]],"")</f>
        <v>1.5500108956199607</v>
      </c>
      <c r="H2364" s="27"/>
    </row>
    <row r="2365" spans="1:8" x14ac:dyDescent="0.25">
      <c r="A2365" s="21">
        <v>1011901</v>
      </c>
      <c r="B2365" s="1">
        <v>45231</v>
      </c>
      <c r="C2365" t="s">
        <v>37</v>
      </c>
      <c r="D2365">
        <v>192.3</v>
      </c>
      <c r="E2365">
        <v>129.97999999999999</v>
      </c>
      <c r="F2365" s="15">
        <f>IFERROR(PRD[[#This Row],[VALOR]]/PRD[[#This Row],[KGS]],"")</f>
        <v>0.67592303692147682</v>
      </c>
      <c r="H2365" s="27"/>
    </row>
    <row r="2366" spans="1:8" x14ac:dyDescent="0.25">
      <c r="A2366" s="21">
        <v>1011902</v>
      </c>
      <c r="B2366" s="1">
        <v>45231</v>
      </c>
      <c r="C2366" t="s">
        <v>437</v>
      </c>
      <c r="D2366">
        <v>400</v>
      </c>
      <c r="E2366">
        <v>200</v>
      </c>
      <c r="F2366" s="15">
        <f>IFERROR(PRD[[#This Row],[VALOR]]/PRD[[#This Row],[KGS]],"")</f>
        <v>0.5</v>
      </c>
      <c r="H2366" s="27"/>
    </row>
    <row r="2367" spans="1:8" x14ac:dyDescent="0.25">
      <c r="A2367" s="21">
        <v>1012100</v>
      </c>
      <c r="B2367" s="1">
        <v>45231</v>
      </c>
      <c r="C2367" t="s">
        <v>302</v>
      </c>
      <c r="D2367">
        <v>638.70000000000005</v>
      </c>
      <c r="E2367">
        <v>1788.36</v>
      </c>
      <c r="F2367" s="15">
        <f>IFERROR(PRD[[#This Row],[VALOR]]/PRD[[#This Row],[KGS]],"")</f>
        <v>2.8</v>
      </c>
      <c r="H2367" s="27"/>
    </row>
    <row r="2368" spans="1:8" x14ac:dyDescent="0.25">
      <c r="A2368" s="21">
        <v>1012200</v>
      </c>
      <c r="B2368" s="1">
        <v>45231</v>
      </c>
      <c r="C2368" t="s">
        <v>39</v>
      </c>
      <c r="D2368">
        <v>1723.58</v>
      </c>
      <c r="E2368">
        <v>2746.94</v>
      </c>
      <c r="F2368" s="15">
        <f>IFERROR(PRD[[#This Row],[VALOR]]/PRD[[#This Row],[KGS]],"")</f>
        <v>1.5937409345664257</v>
      </c>
      <c r="H2368" s="27"/>
    </row>
    <row r="2369" spans="1:8" x14ac:dyDescent="0.25">
      <c r="A2369" s="21">
        <v>1012201</v>
      </c>
      <c r="B2369" s="1">
        <v>45231</v>
      </c>
      <c r="C2369" t="s">
        <v>41</v>
      </c>
      <c r="D2369">
        <v>375.04</v>
      </c>
      <c r="E2369">
        <v>748.95</v>
      </c>
      <c r="F2369" s="15">
        <f>IFERROR(PRD[[#This Row],[VALOR]]/PRD[[#This Row],[KGS]],"")</f>
        <v>1.9969869880546076</v>
      </c>
      <c r="H2369" s="27"/>
    </row>
    <row r="2370" spans="1:8" x14ac:dyDescent="0.25">
      <c r="A2370" s="21">
        <v>1012203</v>
      </c>
      <c r="B2370" s="1">
        <v>45231</v>
      </c>
      <c r="C2370" t="s">
        <v>43</v>
      </c>
      <c r="D2370">
        <v>1615.92</v>
      </c>
      <c r="E2370">
        <v>2812.66</v>
      </c>
      <c r="F2370" s="15">
        <f>IFERROR(PRD[[#This Row],[VALOR]]/PRD[[#This Row],[KGS]],"")</f>
        <v>1.7405935937422643</v>
      </c>
      <c r="H2370" s="27"/>
    </row>
    <row r="2371" spans="1:8" x14ac:dyDescent="0.25">
      <c r="A2371" s="21">
        <v>1012205</v>
      </c>
      <c r="B2371" s="1">
        <v>45231</v>
      </c>
      <c r="C2371" t="s">
        <v>741</v>
      </c>
      <c r="D2371">
        <v>16004.38</v>
      </c>
      <c r="E2371">
        <v>17833.419999999998</v>
      </c>
      <c r="F2371" s="15">
        <f>IFERROR(PRD[[#This Row],[VALOR]]/PRD[[#This Row],[KGS]],"")</f>
        <v>1.1142837148330644</v>
      </c>
      <c r="H2371" s="27"/>
    </row>
    <row r="2372" spans="1:8" x14ac:dyDescent="0.25">
      <c r="A2372" s="21">
        <v>1012206</v>
      </c>
      <c r="B2372" s="1">
        <v>45231</v>
      </c>
      <c r="C2372" t="s">
        <v>763</v>
      </c>
      <c r="D2372">
        <v>7278.6</v>
      </c>
      <c r="E2372">
        <v>8642.59</v>
      </c>
      <c r="F2372" s="15">
        <f>IFERROR(PRD[[#This Row],[VALOR]]/PRD[[#This Row],[KGS]],"")</f>
        <v>1.1873973016788943</v>
      </c>
      <c r="H2372" s="27"/>
    </row>
    <row r="2373" spans="1:8" x14ac:dyDescent="0.25">
      <c r="A2373" s="21">
        <v>1012300</v>
      </c>
      <c r="B2373" s="1">
        <v>45231</v>
      </c>
      <c r="C2373" t="s">
        <v>45</v>
      </c>
      <c r="D2373">
        <v>532.67999999999995</v>
      </c>
      <c r="E2373">
        <v>784.74</v>
      </c>
      <c r="F2373" s="15">
        <f>IFERROR(PRD[[#This Row],[VALOR]]/PRD[[#This Row],[KGS]],"")</f>
        <v>1.4731921603964859</v>
      </c>
      <c r="H2373" s="27"/>
    </row>
    <row r="2374" spans="1:8" x14ac:dyDescent="0.25">
      <c r="A2374" s="21">
        <v>1012301</v>
      </c>
      <c r="B2374" s="1">
        <v>45231</v>
      </c>
      <c r="C2374" t="s">
        <v>47</v>
      </c>
      <c r="D2374">
        <v>227</v>
      </c>
      <c r="E2374">
        <v>283.75</v>
      </c>
      <c r="F2374" s="15">
        <f>IFERROR(PRD[[#This Row],[VALOR]]/PRD[[#This Row],[KGS]],"")</f>
        <v>1.25</v>
      </c>
      <c r="H2374" s="27"/>
    </row>
    <row r="2375" spans="1:8" x14ac:dyDescent="0.25">
      <c r="A2375" s="21">
        <v>1012400</v>
      </c>
      <c r="B2375" s="1">
        <v>45231</v>
      </c>
      <c r="C2375" t="s">
        <v>49</v>
      </c>
      <c r="D2375">
        <v>1380.2</v>
      </c>
      <c r="E2375">
        <v>2355.27</v>
      </c>
      <c r="F2375" s="15">
        <f>IFERROR(PRD[[#This Row],[VALOR]]/PRD[[#This Row],[KGS]],"")</f>
        <v>1.7064700768004637</v>
      </c>
      <c r="H2375" s="27"/>
    </row>
    <row r="2376" spans="1:8" x14ac:dyDescent="0.25">
      <c r="A2376" s="21">
        <v>1012401</v>
      </c>
      <c r="B2376" s="1">
        <v>45231</v>
      </c>
      <c r="C2376" t="s">
        <v>51</v>
      </c>
      <c r="D2376">
        <v>162.04</v>
      </c>
      <c r="E2376">
        <v>218.97</v>
      </c>
      <c r="F2376" s="15">
        <f>IFERROR(PRD[[#This Row],[VALOR]]/PRD[[#This Row],[KGS]],"")</f>
        <v>1.3513330041964948</v>
      </c>
      <c r="H2376" s="27"/>
    </row>
    <row r="2377" spans="1:8" x14ac:dyDescent="0.25">
      <c r="A2377" s="21">
        <v>1012500</v>
      </c>
      <c r="B2377" s="1">
        <v>45231</v>
      </c>
      <c r="C2377" t="s">
        <v>53</v>
      </c>
      <c r="D2377">
        <v>1362.6</v>
      </c>
      <c r="E2377">
        <v>343</v>
      </c>
      <c r="F2377" s="15">
        <f>IFERROR(PRD[[#This Row],[VALOR]]/PRD[[#This Row],[KGS]],"")</f>
        <v>0.25172464406282108</v>
      </c>
      <c r="H2377" s="27"/>
    </row>
    <row r="2378" spans="1:8" x14ac:dyDescent="0.25">
      <c r="A2378" s="21">
        <v>1012601</v>
      </c>
      <c r="B2378" s="1">
        <v>45231</v>
      </c>
      <c r="C2378" t="s">
        <v>55</v>
      </c>
      <c r="D2378">
        <v>139</v>
      </c>
      <c r="E2378">
        <v>139</v>
      </c>
      <c r="F2378" s="15">
        <f>IFERROR(PRD[[#This Row],[VALOR]]/PRD[[#This Row],[KGS]],"")</f>
        <v>1</v>
      </c>
      <c r="H2378" s="27"/>
    </row>
    <row r="2379" spans="1:8" x14ac:dyDescent="0.25">
      <c r="A2379" s="21">
        <v>1012700</v>
      </c>
      <c r="B2379" s="1">
        <v>45231</v>
      </c>
      <c r="C2379" t="s">
        <v>630</v>
      </c>
      <c r="D2379">
        <v>311</v>
      </c>
      <c r="E2379">
        <v>402.74</v>
      </c>
      <c r="F2379" s="15">
        <f>IFERROR(PRD[[#This Row],[VALOR]]/PRD[[#This Row],[KGS]],"")</f>
        <v>1.2949839228295821</v>
      </c>
      <c r="H2379" s="27"/>
    </row>
    <row r="2380" spans="1:8" x14ac:dyDescent="0.25">
      <c r="A2380" s="21">
        <v>1012800</v>
      </c>
      <c r="B2380" s="1">
        <v>45231</v>
      </c>
      <c r="C2380" t="s">
        <v>439</v>
      </c>
      <c r="D2380">
        <v>26.8</v>
      </c>
      <c r="E2380">
        <v>40.200000000000003</v>
      </c>
      <c r="F2380" s="15">
        <f>IFERROR(PRD[[#This Row],[VALOR]]/PRD[[#This Row],[KGS]],"")</f>
        <v>1.5</v>
      </c>
      <c r="H2380" s="27"/>
    </row>
    <row r="2381" spans="1:8" x14ac:dyDescent="0.25">
      <c r="A2381" s="21">
        <v>1013100</v>
      </c>
      <c r="B2381" s="1">
        <v>45231</v>
      </c>
      <c r="C2381" t="s">
        <v>57</v>
      </c>
      <c r="D2381">
        <v>86.5</v>
      </c>
      <c r="E2381">
        <v>121.31</v>
      </c>
      <c r="F2381" s="15">
        <f>IFERROR(PRD[[#This Row],[VALOR]]/PRD[[#This Row],[KGS]],"")</f>
        <v>1.4024277456647398</v>
      </c>
      <c r="H2381" s="27"/>
    </row>
    <row r="2382" spans="1:8" x14ac:dyDescent="0.25">
      <c r="A2382" s="21">
        <v>1013101</v>
      </c>
      <c r="B2382" s="1">
        <v>45231</v>
      </c>
      <c r="C2382" t="s">
        <v>346</v>
      </c>
      <c r="D2382">
        <v>4248</v>
      </c>
      <c r="E2382">
        <v>2548.8000000000002</v>
      </c>
      <c r="F2382" s="15">
        <f>IFERROR(PRD[[#This Row],[VALOR]]/PRD[[#This Row],[KGS]],"")</f>
        <v>0.60000000000000009</v>
      </c>
      <c r="H2382" s="27"/>
    </row>
    <row r="2383" spans="1:8" x14ac:dyDescent="0.25">
      <c r="A2383" s="21">
        <v>1013200</v>
      </c>
      <c r="B2383" s="1">
        <v>45231</v>
      </c>
      <c r="C2383" t="s">
        <v>59</v>
      </c>
      <c r="D2383">
        <v>2042.2</v>
      </c>
      <c r="E2383">
        <v>2095.61</v>
      </c>
      <c r="F2383" s="15">
        <f>IFERROR(PRD[[#This Row],[VALOR]]/PRD[[#This Row],[KGS]],"")</f>
        <v>1.0261531681519931</v>
      </c>
      <c r="H2383" s="27"/>
    </row>
    <row r="2384" spans="1:8" x14ac:dyDescent="0.25">
      <c r="A2384" s="21">
        <v>1013202</v>
      </c>
      <c r="B2384" s="1">
        <v>45231</v>
      </c>
      <c r="C2384" t="s">
        <v>443</v>
      </c>
      <c r="D2384">
        <v>4.5999999999999996</v>
      </c>
      <c r="E2384">
        <v>9.1999999999999993</v>
      </c>
      <c r="F2384" s="15">
        <f>IFERROR(PRD[[#This Row],[VALOR]]/PRD[[#This Row],[KGS]],"")</f>
        <v>2</v>
      </c>
      <c r="H2384" s="27"/>
    </row>
    <row r="2385" spans="1:8" x14ac:dyDescent="0.25">
      <c r="A2385" s="21">
        <v>1013300</v>
      </c>
      <c r="B2385" s="1">
        <v>45231</v>
      </c>
      <c r="C2385" t="s">
        <v>348</v>
      </c>
      <c r="D2385">
        <v>877.1</v>
      </c>
      <c r="E2385">
        <v>263.13</v>
      </c>
      <c r="F2385" s="15">
        <f>IFERROR(PRD[[#This Row],[VALOR]]/PRD[[#This Row],[KGS]],"")</f>
        <v>0.3</v>
      </c>
      <c r="H2385" s="27"/>
    </row>
    <row r="2386" spans="1:8" x14ac:dyDescent="0.25">
      <c r="A2386" s="21">
        <v>1013500</v>
      </c>
      <c r="B2386" s="1">
        <v>45231</v>
      </c>
      <c r="C2386" t="s">
        <v>61</v>
      </c>
      <c r="D2386">
        <v>36</v>
      </c>
      <c r="E2386">
        <v>18</v>
      </c>
      <c r="F2386" s="15">
        <f>IFERROR(PRD[[#This Row],[VALOR]]/PRD[[#This Row],[KGS]],"")</f>
        <v>0.5</v>
      </c>
      <c r="H2386" s="27"/>
    </row>
    <row r="2387" spans="1:8" x14ac:dyDescent="0.25">
      <c r="A2387" s="21">
        <v>1100100</v>
      </c>
      <c r="B2387" s="1">
        <v>45231</v>
      </c>
      <c r="C2387" t="s">
        <v>63</v>
      </c>
      <c r="D2387">
        <v>80709.72</v>
      </c>
      <c r="E2387">
        <v>202502.83</v>
      </c>
      <c r="F2387" s="15">
        <f>IFERROR(PRD[[#This Row],[VALOR]]/PRD[[#This Row],[KGS]],"")</f>
        <v>2.5090265459971857</v>
      </c>
      <c r="H2387" s="27"/>
    </row>
    <row r="2388" spans="1:8" x14ac:dyDescent="0.25">
      <c r="A2388" s="21">
        <v>1100101</v>
      </c>
      <c r="B2388" s="1">
        <v>45231</v>
      </c>
      <c r="C2388" t="s">
        <v>65</v>
      </c>
      <c r="D2388">
        <v>371</v>
      </c>
      <c r="E2388">
        <v>933.12</v>
      </c>
      <c r="F2388" s="15">
        <f>IFERROR(PRD[[#This Row],[VALOR]]/PRD[[#This Row],[KGS]],"")</f>
        <v>2.5151482479784368</v>
      </c>
      <c r="H2388" s="27"/>
    </row>
    <row r="2389" spans="1:8" x14ac:dyDescent="0.25">
      <c r="A2389" s="21">
        <v>1100200</v>
      </c>
      <c r="B2389" s="1">
        <v>45231</v>
      </c>
      <c r="C2389" t="s">
        <v>67</v>
      </c>
      <c r="D2389">
        <v>50890.38</v>
      </c>
      <c r="E2389">
        <v>143033.79999999999</v>
      </c>
      <c r="F2389" s="15">
        <f>IFERROR(PRD[[#This Row],[VALOR]]/PRD[[#This Row],[KGS]],"")</f>
        <v>2.8106255052526627</v>
      </c>
      <c r="H2389" s="27"/>
    </row>
    <row r="2390" spans="1:8" x14ac:dyDescent="0.25">
      <c r="A2390" s="21">
        <v>1100300</v>
      </c>
      <c r="B2390" s="1">
        <v>45231</v>
      </c>
      <c r="C2390" t="s">
        <v>69</v>
      </c>
      <c r="D2390">
        <v>13602.36</v>
      </c>
      <c r="E2390">
        <v>38088.86</v>
      </c>
      <c r="F2390" s="15">
        <f>IFERROR(PRD[[#This Row],[VALOR]]/PRD[[#This Row],[KGS]],"")</f>
        <v>2.8001655595058503</v>
      </c>
      <c r="H2390" s="27"/>
    </row>
    <row r="2391" spans="1:8" x14ac:dyDescent="0.25">
      <c r="A2391" s="21">
        <v>1100400</v>
      </c>
      <c r="B2391" s="1">
        <v>45231</v>
      </c>
      <c r="C2391" t="s">
        <v>73</v>
      </c>
      <c r="D2391">
        <v>13923.85</v>
      </c>
      <c r="E2391">
        <v>34273.81</v>
      </c>
      <c r="F2391" s="15">
        <f>IFERROR(PRD[[#This Row],[VALOR]]/PRD[[#This Row],[KGS]],"")</f>
        <v>2.4615181864211406</v>
      </c>
      <c r="H2391" s="27"/>
    </row>
    <row r="2392" spans="1:8" x14ac:dyDescent="0.25">
      <c r="A2392" s="21">
        <v>1100500</v>
      </c>
      <c r="B2392" s="1">
        <v>45231</v>
      </c>
      <c r="C2392" t="s">
        <v>75</v>
      </c>
      <c r="D2392">
        <v>172.7</v>
      </c>
      <c r="E2392">
        <v>461.51</v>
      </c>
      <c r="F2392" s="15">
        <f>IFERROR(PRD[[#This Row],[VALOR]]/PRD[[#This Row],[KGS]],"")</f>
        <v>2.6723219455703533</v>
      </c>
      <c r="H2392" s="27"/>
    </row>
    <row r="2393" spans="1:8" x14ac:dyDescent="0.25">
      <c r="A2393" s="21">
        <v>1100600</v>
      </c>
      <c r="B2393" s="1">
        <v>45231</v>
      </c>
      <c r="C2393" t="s">
        <v>77</v>
      </c>
      <c r="D2393">
        <v>7774.72</v>
      </c>
      <c r="E2393">
        <v>26425.78</v>
      </c>
      <c r="F2393" s="15">
        <f>IFERROR(PRD[[#This Row],[VALOR]]/PRD[[#This Row],[KGS]],"")</f>
        <v>3.3989365533421139</v>
      </c>
      <c r="H2393" s="27"/>
    </row>
    <row r="2394" spans="1:8" x14ac:dyDescent="0.25">
      <c r="A2394" s="21">
        <v>1100602</v>
      </c>
      <c r="B2394" s="1">
        <v>45231</v>
      </c>
      <c r="C2394" t="s">
        <v>79</v>
      </c>
      <c r="D2394">
        <v>810.92</v>
      </c>
      <c r="E2394">
        <v>4203</v>
      </c>
      <c r="F2394" s="15">
        <f>IFERROR(PRD[[#This Row],[VALOR]]/PRD[[#This Row],[KGS]],"")</f>
        <v>5.1830020223943176</v>
      </c>
      <c r="H2394" s="27"/>
    </row>
    <row r="2395" spans="1:8" x14ac:dyDescent="0.25">
      <c r="A2395" s="21">
        <v>1100603</v>
      </c>
      <c r="B2395" s="1">
        <v>45231</v>
      </c>
      <c r="C2395" t="s">
        <v>304</v>
      </c>
      <c r="D2395">
        <v>1909.3</v>
      </c>
      <c r="E2395">
        <v>10465.879999999999</v>
      </c>
      <c r="F2395" s="15">
        <f>IFERROR(PRD[[#This Row],[VALOR]]/PRD[[#This Row],[KGS]],"")</f>
        <v>5.4815272612999522</v>
      </c>
      <c r="H2395" s="27"/>
    </row>
    <row r="2396" spans="1:8" x14ac:dyDescent="0.25">
      <c r="A2396" s="21">
        <v>1100605</v>
      </c>
      <c r="B2396" s="1">
        <v>45231</v>
      </c>
      <c r="C2396" t="s">
        <v>631</v>
      </c>
      <c r="D2396">
        <v>185.58</v>
      </c>
      <c r="E2396">
        <v>686.65</v>
      </c>
      <c r="F2396" s="15">
        <f>IFERROR(PRD[[#This Row],[VALOR]]/PRD[[#This Row],[KGS]],"")</f>
        <v>3.700021554046772</v>
      </c>
      <c r="H2396" s="27"/>
    </row>
    <row r="2397" spans="1:8" x14ac:dyDescent="0.25">
      <c r="A2397" s="21">
        <v>1100608</v>
      </c>
      <c r="B2397" s="1">
        <v>45231</v>
      </c>
      <c r="C2397" t="s">
        <v>349</v>
      </c>
      <c r="D2397">
        <v>4033.46</v>
      </c>
      <c r="E2397">
        <v>13183.71</v>
      </c>
      <c r="F2397" s="15">
        <f>IFERROR(PRD[[#This Row],[VALOR]]/PRD[[#This Row],[KGS]],"")</f>
        <v>3.2685857799507119</v>
      </c>
      <c r="H2397" s="27"/>
    </row>
    <row r="2398" spans="1:8" x14ac:dyDescent="0.25">
      <c r="A2398" s="21">
        <v>1100700</v>
      </c>
      <c r="B2398" s="1">
        <v>45231</v>
      </c>
      <c r="C2398" t="s">
        <v>83</v>
      </c>
      <c r="D2398">
        <v>17378.310000000001</v>
      </c>
      <c r="E2398">
        <v>55088.4</v>
      </c>
      <c r="F2398" s="15">
        <f>IFERROR(PRD[[#This Row],[VALOR]]/PRD[[#This Row],[KGS]],"")</f>
        <v>3.1699515085183769</v>
      </c>
      <c r="H2398" s="27"/>
    </row>
    <row r="2399" spans="1:8" x14ac:dyDescent="0.25">
      <c r="A2399" s="21">
        <v>1100701</v>
      </c>
      <c r="B2399" s="1">
        <v>45231</v>
      </c>
      <c r="C2399" t="s">
        <v>84</v>
      </c>
      <c r="D2399">
        <v>444.9</v>
      </c>
      <c r="E2399">
        <v>1692.3</v>
      </c>
      <c r="F2399" s="15">
        <f>IFERROR(PRD[[#This Row],[VALOR]]/PRD[[#This Row],[KGS]],"")</f>
        <v>3.803776129467296</v>
      </c>
      <c r="H2399" s="27"/>
    </row>
    <row r="2400" spans="1:8" x14ac:dyDescent="0.25">
      <c r="A2400" s="21">
        <v>1100703</v>
      </c>
      <c r="B2400" s="1">
        <v>45231</v>
      </c>
      <c r="C2400" t="s">
        <v>86</v>
      </c>
      <c r="D2400">
        <v>1773.61</v>
      </c>
      <c r="E2400">
        <v>6462.07</v>
      </c>
      <c r="F2400" s="15">
        <f>IFERROR(PRD[[#This Row],[VALOR]]/PRD[[#This Row],[KGS]],"")</f>
        <v>3.6434560021650757</v>
      </c>
      <c r="H2400" s="27"/>
    </row>
    <row r="2401" spans="1:8" x14ac:dyDescent="0.25">
      <c r="A2401" s="21">
        <v>1100704</v>
      </c>
      <c r="B2401" s="1">
        <v>45231</v>
      </c>
      <c r="C2401" t="s">
        <v>718</v>
      </c>
      <c r="D2401">
        <v>3.7</v>
      </c>
      <c r="E2401">
        <v>19.61</v>
      </c>
      <c r="F2401" s="15">
        <f>IFERROR(PRD[[#This Row],[VALOR]]/PRD[[#This Row],[KGS]],"")</f>
        <v>5.3</v>
      </c>
      <c r="H2401" s="27"/>
    </row>
    <row r="2402" spans="1:8" x14ac:dyDescent="0.25">
      <c r="A2402" s="21">
        <v>1100705</v>
      </c>
      <c r="B2402" s="1">
        <v>45231</v>
      </c>
      <c r="C2402" t="s">
        <v>88</v>
      </c>
      <c r="D2402">
        <v>261.3</v>
      </c>
      <c r="E2402">
        <v>446.82</v>
      </c>
      <c r="F2402" s="15">
        <f>IFERROR(PRD[[#This Row],[VALOR]]/PRD[[#This Row],[KGS]],"")</f>
        <v>1.7099885189437427</v>
      </c>
      <c r="H2402" s="27"/>
    </row>
    <row r="2403" spans="1:8" x14ac:dyDescent="0.25">
      <c r="A2403" s="21">
        <v>1100706</v>
      </c>
      <c r="B2403" s="1">
        <v>45231</v>
      </c>
      <c r="C2403" t="s">
        <v>305</v>
      </c>
      <c r="D2403">
        <v>28.08</v>
      </c>
      <c r="E2403">
        <v>46.9</v>
      </c>
      <c r="F2403" s="15">
        <f>IFERROR(PRD[[#This Row],[VALOR]]/PRD[[#This Row],[KGS]],"")</f>
        <v>1.6702279202279202</v>
      </c>
      <c r="H2403" s="27"/>
    </row>
    <row r="2404" spans="1:8" x14ac:dyDescent="0.25">
      <c r="A2404" s="21">
        <v>1100707</v>
      </c>
      <c r="B2404" s="1">
        <v>45231</v>
      </c>
      <c r="C2404" t="s">
        <v>686</v>
      </c>
      <c r="D2404">
        <v>918.56</v>
      </c>
      <c r="E2404">
        <v>2913.09</v>
      </c>
      <c r="F2404" s="15">
        <f>IFERROR(PRD[[#This Row],[VALOR]]/PRD[[#This Row],[KGS]],"")</f>
        <v>3.1713660512105908</v>
      </c>
      <c r="H2404" s="27"/>
    </row>
    <row r="2405" spans="1:8" x14ac:dyDescent="0.25">
      <c r="A2405" s="21">
        <v>1100709</v>
      </c>
      <c r="B2405" s="1">
        <v>45231</v>
      </c>
      <c r="C2405" t="s">
        <v>764</v>
      </c>
      <c r="D2405">
        <v>2061.15</v>
      </c>
      <c r="E2405">
        <v>7872.36</v>
      </c>
      <c r="F2405" s="15">
        <f>IFERROR(PRD[[#This Row],[VALOR]]/PRD[[#This Row],[KGS]],"")</f>
        <v>3.8194017902627171</v>
      </c>
      <c r="H2405" s="27"/>
    </row>
    <row r="2406" spans="1:8" x14ac:dyDescent="0.25">
      <c r="A2406" s="21">
        <v>1100710</v>
      </c>
      <c r="B2406" s="1">
        <v>45231</v>
      </c>
      <c r="C2406" t="s">
        <v>778</v>
      </c>
      <c r="D2406">
        <v>564.02</v>
      </c>
      <c r="E2406">
        <v>2368.91</v>
      </c>
      <c r="F2406" s="15">
        <f>IFERROR(PRD[[#This Row],[VALOR]]/PRD[[#This Row],[KGS]],"")</f>
        <v>4.2000460976561111</v>
      </c>
      <c r="H2406" s="27"/>
    </row>
    <row r="2407" spans="1:8" x14ac:dyDescent="0.25">
      <c r="A2407" s="21">
        <v>1100800</v>
      </c>
      <c r="B2407" s="1">
        <v>45231</v>
      </c>
      <c r="C2407" t="s">
        <v>90</v>
      </c>
      <c r="D2407">
        <v>14251.98</v>
      </c>
      <c r="E2407">
        <v>42002</v>
      </c>
      <c r="F2407" s="15">
        <f>IFERROR(PRD[[#This Row],[VALOR]]/PRD[[#This Row],[KGS]],"")</f>
        <v>2.9470992802403595</v>
      </c>
      <c r="H2407" s="27"/>
    </row>
    <row r="2408" spans="1:8" x14ac:dyDescent="0.25">
      <c r="A2408" s="21">
        <v>1100801</v>
      </c>
      <c r="B2408" s="1">
        <v>45231</v>
      </c>
      <c r="C2408" t="s">
        <v>92</v>
      </c>
      <c r="D2408">
        <v>16065</v>
      </c>
      <c r="E2408">
        <v>43789.8</v>
      </c>
      <c r="F2408" s="15">
        <f>IFERROR(PRD[[#This Row],[VALOR]]/PRD[[#This Row],[KGS]],"")</f>
        <v>2.7257889822595707</v>
      </c>
      <c r="H2408" s="27"/>
    </row>
    <row r="2409" spans="1:8" x14ac:dyDescent="0.25">
      <c r="A2409" s="21">
        <v>1100802</v>
      </c>
      <c r="B2409" s="1">
        <v>45231</v>
      </c>
      <c r="C2409" t="s">
        <v>306</v>
      </c>
      <c r="D2409">
        <v>207.2</v>
      </c>
      <c r="E2409">
        <v>608.16</v>
      </c>
      <c r="F2409" s="15">
        <f>IFERROR(PRD[[#This Row],[VALOR]]/PRD[[#This Row],[KGS]],"")</f>
        <v>2.9351351351351354</v>
      </c>
      <c r="H2409" s="27"/>
    </row>
    <row r="2410" spans="1:8" x14ac:dyDescent="0.25">
      <c r="A2410" s="21">
        <v>1100900</v>
      </c>
      <c r="B2410" s="1">
        <v>45231</v>
      </c>
      <c r="C2410" t="s">
        <v>94</v>
      </c>
      <c r="D2410">
        <v>1025.8499999999999</v>
      </c>
      <c r="E2410">
        <v>5283.91</v>
      </c>
      <c r="F2410" s="15">
        <f>IFERROR(PRD[[#This Row],[VALOR]]/PRD[[#This Row],[KGS]],"")</f>
        <v>5.1507627820831505</v>
      </c>
      <c r="H2410" s="27"/>
    </row>
    <row r="2411" spans="1:8" x14ac:dyDescent="0.25">
      <c r="A2411" s="21">
        <v>1101000</v>
      </c>
      <c r="B2411" s="1">
        <v>45231</v>
      </c>
      <c r="C2411" t="s">
        <v>96</v>
      </c>
      <c r="D2411">
        <v>10761.76</v>
      </c>
      <c r="E2411">
        <v>37743.58</v>
      </c>
      <c r="F2411" s="15">
        <f>IFERROR(PRD[[#This Row],[VALOR]]/PRD[[#This Row],[KGS]],"")</f>
        <v>3.5071939905740326</v>
      </c>
      <c r="H2411" s="27"/>
    </row>
    <row r="2412" spans="1:8" x14ac:dyDescent="0.25">
      <c r="A2412" s="21">
        <v>1101001</v>
      </c>
      <c r="B2412" s="1">
        <v>45231</v>
      </c>
      <c r="C2412" t="s">
        <v>98</v>
      </c>
      <c r="D2412">
        <v>143.5</v>
      </c>
      <c r="E2412">
        <v>584.38</v>
      </c>
      <c r="F2412" s="15">
        <f>IFERROR(PRD[[#This Row],[VALOR]]/PRD[[#This Row],[KGS]],"")</f>
        <v>4.0723344947735187</v>
      </c>
      <c r="H2412" s="27"/>
    </row>
    <row r="2413" spans="1:8" x14ac:dyDescent="0.25">
      <c r="A2413" s="21">
        <v>1101002</v>
      </c>
      <c r="B2413" s="1">
        <v>45231</v>
      </c>
      <c r="C2413" t="s">
        <v>687</v>
      </c>
      <c r="D2413">
        <v>1211.3</v>
      </c>
      <c r="E2413">
        <v>5571.98</v>
      </c>
      <c r="F2413" s="15">
        <f>IFERROR(PRD[[#This Row],[VALOR]]/PRD[[#This Row],[KGS]],"")</f>
        <v>4.5999999999999996</v>
      </c>
      <c r="H2413" s="27"/>
    </row>
    <row r="2414" spans="1:8" x14ac:dyDescent="0.25">
      <c r="A2414" s="21">
        <v>1101003</v>
      </c>
      <c r="B2414" s="1">
        <v>45231</v>
      </c>
      <c r="C2414" t="s">
        <v>779</v>
      </c>
      <c r="D2414">
        <v>410</v>
      </c>
      <c r="E2414">
        <v>1517</v>
      </c>
      <c r="F2414" s="15">
        <f>IFERROR(PRD[[#This Row],[VALOR]]/PRD[[#This Row],[KGS]],"")</f>
        <v>3.7</v>
      </c>
      <c r="H2414" s="27"/>
    </row>
    <row r="2415" spans="1:8" x14ac:dyDescent="0.25">
      <c r="A2415" s="21">
        <v>1101100</v>
      </c>
      <c r="B2415" s="1">
        <v>45231</v>
      </c>
      <c r="C2415" t="s">
        <v>100</v>
      </c>
      <c r="D2415">
        <v>48260.57</v>
      </c>
      <c r="E2415">
        <v>148320.24</v>
      </c>
      <c r="F2415" s="15">
        <f>IFERROR(PRD[[#This Row],[VALOR]]/PRD[[#This Row],[KGS]],"")</f>
        <v>3.0733213470126852</v>
      </c>
      <c r="H2415" s="27"/>
    </row>
    <row r="2416" spans="1:8" x14ac:dyDescent="0.25">
      <c r="A2416" s="21">
        <v>1101102</v>
      </c>
      <c r="B2416" s="1">
        <v>45231</v>
      </c>
      <c r="C2416" t="s">
        <v>742</v>
      </c>
      <c r="D2416">
        <v>93.8</v>
      </c>
      <c r="E2416">
        <v>318.92</v>
      </c>
      <c r="F2416" s="15">
        <f>IFERROR(PRD[[#This Row],[VALOR]]/PRD[[#This Row],[KGS]],"")</f>
        <v>3.4000000000000004</v>
      </c>
      <c r="H2416" s="27"/>
    </row>
    <row r="2417" spans="1:8" x14ac:dyDescent="0.25">
      <c r="A2417" s="21">
        <v>1101103</v>
      </c>
      <c r="B2417" s="1">
        <v>45231</v>
      </c>
      <c r="C2417" t="s">
        <v>350</v>
      </c>
      <c r="D2417">
        <v>17.3</v>
      </c>
      <c r="E2417">
        <v>60.55</v>
      </c>
      <c r="F2417" s="15">
        <f>IFERROR(PRD[[#This Row],[VALOR]]/PRD[[#This Row],[KGS]],"")</f>
        <v>3.4999999999999996</v>
      </c>
      <c r="H2417" s="27"/>
    </row>
    <row r="2418" spans="1:8" x14ac:dyDescent="0.25">
      <c r="A2418" s="21">
        <v>1101105</v>
      </c>
      <c r="B2418" s="1">
        <v>45231</v>
      </c>
      <c r="C2418" t="s">
        <v>542</v>
      </c>
      <c r="D2418">
        <v>42.59</v>
      </c>
      <c r="E2418">
        <v>178.88</v>
      </c>
      <c r="F2418" s="15">
        <f>IFERROR(PRD[[#This Row],[VALOR]]/PRD[[#This Row],[KGS]],"")</f>
        <v>4.2000469593801357</v>
      </c>
      <c r="H2418" s="27"/>
    </row>
    <row r="2419" spans="1:8" x14ac:dyDescent="0.25">
      <c r="A2419" s="21">
        <v>1101106</v>
      </c>
      <c r="B2419" s="1">
        <v>45231</v>
      </c>
      <c r="C2419" t="s">
        <v>780</v>
      </c>
      <c r="D2419">
        <v>17710.64</v>
      </c>
      <c r="E2419">
        <v>48748.83</v>
      </c>
      <c r="F2419" s="15">
        <f>IFERROR(PRD[[#This Row],[VALOR]]/PRD[[#This Row],[KGS]],"")</f>
        <v>2.7525165663126798</v>
      </c>
      <c r="H2419" s="27"/>
    </row>
    <row r="2420" spans="1:8" x14ac:dyDescent="0.25">
      <c r="A2420" s="21">
        <v>1101108</v>
      </c>
      <c r="B2420" s="1">
        <v>45231</v>
      </c>
      <c r="C2420" t="s">
        <v>743</v>
      </c>
      <c r="D2420">
        <v>41.92</v>
      </c>
      <c r="E2420">
        <v>152.29</v>
      </c>
      <c r="F2420" s="15">
        <f>IFERROR(PRD[[#This Row],[VALOR]]/PRD[[#This Row],[KGS]],"")</f>
        <v>3.6328721374045796</v>
      </c>
      <c r="H2420" s="27"/>
    </row>
    <row r="2421" spans="1:8" x14ac:dyDescent="0.25">
      <c r="A2421" s="21">
        <v>1101300</v>
      </c>
      <c r="B2421" s="1">
        <v>45231</v>
      </c>
      <c r="C2421" t="s">
        <v>102</v>
      </c>
      <c r="D2421">
        <v>284.3</v>
      </c>
      <c r="E2421">
        <v>1100.2</v>
      </c>
      <c r="F2421" s="15">
        <f>IFERROR(PRD[[#This Row],[VALOR]]/PRD[[#This Row],[KGS]],"")</f>
        <v>3.8698557861413998</v>
      </c>
      <c r="H2421" s="27"/>
    </row>
    <row r="2422" spans="1:8" x14ac:dyDescent="0.25">
      <c r="A2422" s="21">
        <v>1101400</v>
      </c>
      <c r="B2422" s="1">
        <v>45231</v>
      </c>
      <c r="C2422" t="s">
        <v>104</v>
      </c>
      <c r="D2422">
        <v>24397.02</v>
      </c>
      <c r="E2422">
        <v>61479.08</v>
      </c>
      <c r="F2422" s="15">
        <f>IFERROR(PRD[[#This Row],[VALOR]]/PRD[[#This Row],[KGS]],"")</f>
        <v>2.5199421896608682</v>
      </c>
      <c r="H2422" s="27"/>
    </row>
    <row r="2423" spans="1:8" x14ac:dyDescent="0.25">
      <c r="A2423" s="21">
        <v>1101500</v>
      </c>
      <c r="B2423" s="1">
        <v>45231</v>
      </c>
      <c r="C2423" t="s">
        <v>106</v>
      </c>
      <c r="D2423">
        <v>960.38</v>
      </c>
      <c r="E2423">
        <v>2570.4899999999998</v>
      </c>
      <c r="F2423" s="15">
        <f>IFERROR(PRD[[#This Row],[VALOR]]/PRD[[#This Row],[KGS]],"")</f>
        <v>2.6765342885107977</v>
      </c>
      <c r="H2423" s="27"/>
    </row>
    <row r="2424" spans="1:8" x14ac:dyDescent="0.25">
      <c r="A2424" s="21">
        <v>1101600</v>
      </c>
      <c r="B2424" s="1">
        <v>45231</v>
      </c>
      <c r="C2424" t="s">
        <v>108</v>
      </c>
      <c r="D2424">
        <v>228.5</v>
      </c>
      <c r="E2424">
        <v>622.63</v>
      </c>
      <c r="F2424" s="15">
        <f>IFERROR(PRD[[#This Row],[VALOR]]/PRD[[#This Row],[KGS]],"")</f>
        <v>2.7248577680525163</v>
      </c>
      <c r="H2424" s="27"/>
    </row>
    <row r="2425" spans="1:8" x14ac:dyDescent="0.25">
      <c r="A2425" s="21">
        <v>1101700</v>
      </c>
      <c r="B2425" s="1">
        <v>45231</v>
      </c>
      <c r="C2425" t="s">
        <v>110</v>
      </c>
      <c r="D2425">
        <v>1609.9</v>
      </c>
      <c r="E2425">
        <v>4014.92</v>
      </c>
      <c r="F2425" s="15">
        <f>IFERROR(PRD[[#This Row],[VALOR]]/PRD[[#This Row],[KGS]],"")</f>
        <v>2.4938940306851358</v>
      </c>
      <c r="H2425" s="27"/>
    </row>
    <row r="2426" spans="1:8" x14ac:dyDescent="0.25">
      <c r="A2426" s="21">
        <v>1101801</v>
      </c>
      <c r="B2426" s="1">
        <v>45231</v>
      </c>
      <c r="C2426" t="s">
        <v>112</v>
      </c>
      <c r="D2426">
        <v>2950.6</v>
      </c>
      <c r="E2426">
        <v>7064.88</v>
      </c>
      <c r="F2426" s="15">
        <f>IFERROR(PRD[[#This Row],[VALOR]]/PRD[[#This Row],[KGS]],"")</f>
        <v>2.394387582186674</v>
      </c>
      <c r="H2426" s="27"/>
    </row>
    <row r="2427" spans="1:8" x14ac:dyDescent="0.25">
      <c r="A2427" s="21">
        <v>1101900</v>
      </c>
      <c r="B2427" s="1">
        <v>45231</v>
      </c>
      <c r="C2427" t="s">
        <v>114</v>
      </c>
      <c r="D2427">
        <v>3187.35</v>
      </c>
      <c r="E2427">
        <v>10743</v>
      </c>
      <c r="F2427" s="15">
        <f>IFERROR(PRD[[#This Row],[VALOR]]/PRD[[#This Row],[KGS]],"")</f>
        <v>3.37051155348487</v>
      </c>
      <c r="H2427" s="27"/>
    </row>
    <row r="2428" spans="1:8" x14ac:dyDescent="0.25">
      <c r="A2428" s="21">
        <v>1101901</v>
      </c>
      <c r="B2428" s="1">
        <v>45231</v>
      </c>
      <c r="C2428" t="s">
        <v>448</v>
      </c>
      <c r="D2428">
        <v>6812.7</v>
      </c>
      <c r="E2428">
        <v>25089.5</v>
      </c>
      <c r="F2428" s="15">
        <f>IFERROR(PRD[[#This Row],[VALOR]]/PRD[[#This Row],[KGS]],"")</f>
        <v>3.6827542677646163</v>
      </c>
      <c r="H2428" s="27"/>
    </row>
    <row r="2429" spans="1:8" x14ac:dyDescent="0.25">
      <c r="A2429" s="21">
        <v>1101902</v>
      </c>
      <c r="B2429" s="1">
        <v>45231</v>
      </c>
      <c r="C2429" t="s">
        <v>351</v>
      </c>
      <c r="D2429">
        <v>1095.79</v>
      </c>
      <c r="E2429">
        <v>4633.8999999999996</v>
      </c>
      <c r="F2429" s="15">
        <f>IFERROR(PRD[[#This Row],[VALOR]]/PRD[[#This Row],[KGS]],"")</f>
        <v>4.228821215743892</v>
      </c>
      <c r="H2429" s="27"/>
    </row>
    <row r="2430" spans="1:8" x14ac:dyDescent="0.25">
      <c r="A2430" s="21">
        <v>1101903</v>
      </c>
      <c r="B2430" s="1">
        <v>45231</v>
      </c>
      <c r="C2430" t="s">
        <v>745</v>
      </c>
      <c r="D2430">
        <v>159.76</v>
      </c>
      <c r="E2430">
        <v>671</v>
      </c>
      <c r="F2430" s="15">
        <f>IFERROR(PRD[[#This Row],[VALOR]]/PRD[[#This Row],[KGS]],"")</f>
        <v>4.200050075112669</v>
      </c>
      <c r="H2430" s="27"/>
    </row>
    <row r="2431" spans="1:8" x14ac:dyDescent="0.25">
      <c r="A2431" s="21">
        <v>1101904</v>
      </c>
      <c r="B2431" s="1">
        <v>45231</v>
      </c>
      <c r="C2431" t="s">
        <v>765</v>
      </c>
      <c r="D2431">
        <v>993.9</v>
      </c>
      <c r="E2431">
        <v>4241.96</v>
      </c>
      <c r="F2431" s="15">
        <f>IFERROR(PRD[[#This Row],[VALOR]]/PRD[[#This Row],[KGS]],"")</f>
        <v>4.2679947680853205</v>
      </c>
      <c r="H2431" s="27"/>
    </row>
    <row r="2432" spans="1:8" x14ac:dyDescent="0.25">
      <c r="A2432" s="21">
        <v>1101907</v>
      </c>
      <c r="B2432" s="1">
        <v>45231</v>
      </c>
      <c r="C2432" t="s">
        <v>781</v>
      </c>
      <c r="D2432">
        <v>811</v>
      </c>
      <c r="E2432">
        <v>3081.8</v>
      </c>
      <c r="F2432" s="15">
        <f>IFERROR(PRD[[#This Row],[VALOR]]/PRD[[#This Row],[KGS]],"")</f>
        <v>3.8000000000000003</v>
      </c>
      <c r="H2432" s="27"/>
    </row>
    <row r="2433" spans="1:8" x14ac:dyDescent="0.25">
      <c r="A2433" s="21">
        <v>1102000</v>
      </c>
      <c r="B2433" s="1">
        <v>45231</v>
      </c>
      <c r="C2433" t="s">
        <v>115</v>
      </c>
      <c r="D2433">
        <v>138.1</v>
      </c>
      <c r="E2433">
        <v>580.48</v>
      </c>
      <c r="F2433" s="15">
        <f>IFERROR(PRD[[#This Row],[VALOR]]/PRD[[#This Row],[KGS]],"")</f>
        <v>4.2033309196234612</v>
      </c>
      <c r="H2433" s="27"/>
    </row>
    <row r="2434" spans="1:8" x14ac:dyDescent="0.25">
      <c r="A2434" s="21">
        <v>1102100</v>
      </c>
      <c r="B2434" s="1">
        <v>45231</v>
      </c>
      <c r="C2434" t="s">
        <v>688</v>
      </c>
      <c r="D2434">
        <v>24.1</v>
      </c>
      <c r="E2434">
        <v>74.23</v>
      </c>
      <c r="F2434" s="15">
        <f>IFERROR(PRD[[#This Row],[VALOR]]/PRD[[#This Row],[KGS]],"")</f>
        <v>3.0800829875518674</v>
      </c>
      <c r="H2434" s="27"/>
    </row>
    <row r="2435" spans="1:8" x14ac:dyDescent="0.25">
      <c r="A2435" s="21">
        <v>1102200</v>
      </c>
      <c r="B2435" s="1">
        <v>45231</v>
      </c>
      <c r="C2435" t="s">
        <v>117</v>
      </c>
      <c r="D2435">
        <v>169.5</v>
      </c>
      <c r="E2435">
        <v>608.51</v>
      </c>
      <c r="F2435" s="15">
        <f>IFERROR(PRD[[#This Row],[VALOR]]/PRD[[#This Row],[KGS]],"")</f>
        <v>3.5900294985250736</v>
      </c>
      <c r="H2435" s="27"/>
    </row>
    <row r="2436" spans="1:8" x14ac:dyDescent="0.25">
      <c r="A2436" s="21">
        <v>1102300</v>
      </c>
      <c r="B2436" s="1">
        <v>45231</v>
      </c>
      <c r="C2436" t="s">
        <v>119</v>
      </c>
      <c r="D2436">
        <v>3414.2</v>
      </c>
      <c r="E2436">
        <v>9769.0499999999993</v>
      </c>
      <c r="F2436" s="15">
        <f>IFERROR(PRD[[#This Row],[VALOR]]/PRD[[#This Row],[KGS]],"")</f>
        <v>2.8612998652685842</v>
      </c>
      <c r="H2436" s="27"/>
    </row>
    <row r="2437" spans="1:8" x14ac:dyDescent="0.25">
      <c r="A2437" s="21">
        <v>1103000</v>
      </c>
      <c r="B2437" s="1">
        <v>45231</v>
      </c>
      <c r="C2437" t="s">
        <v>121</v>
      </c>
      <c r="D2437">
        <v>42</v>
      </c>
      <c r="E2437">
        <v>87.02</v>
      </c>
      <c r="F2437" s="15">
        <f>IFERROR(PRD[[#This Row],[VALOR]]/PRD[[#This Row],[KGS]],"")</f>
        <v>2.0719047619047619</v>
      </c>
      <c r="H2437" s="27"/>
    </row>
    <row r="2438" spans="1:8" x14ac:dyDescent="0.25">
      <c r="A2438" s="21">
        <v>1103001</v>
      </c>
      <c r="B2438" s="1">
        <v>45231</v>
      </c>
      <c r="C2438" t="s">
        <v>123</v>
      </c>
      <c r="D2438">
        <v>620.32000000000005</v>
      </c>
      <c r="E2438">
        <v>1239.8599999999999</v>
      </c>
      <c r="F2438" s="15">
        <f>IFERROR(PRD[[#This Row],[VALOR]]/PRD[[#This Row],[KGS]],"")</f>
        <v>1.9987425844725299</v>
      </c>
      <c r="H2438" s="27"/>
    </row>
    <row r="2439" spans="1:8" x14ac:dyDescent="0.25">
      <c r="A2439" s="21">
        <v>2010904</v>
      </c>
      <c r="B2439" s="1">
        <v>45231</v>
      </c>
      <c r="C2439" t="s">
        <v>633</v>
      </c>
      <c r="D2439">
        <v>5492.5</v>
      </c>
      <c r="E2439">
        <v>4360</v>
      </c>
      <c r="F2439" s="15">
        <f>IFERROR(PRD[[#This Row],[VALOR]]/PRD[[#This Row],[KGS]],"")</f>
        <v>0.79380974055530273</v>
      </c>
      <c r="H2439" s="27"/>
    </row>
    <row r="2440" spans="1:8" x14ac:dyDescent="0.25">
      <c r="A2440" s="21">
        <v>2010905</v>
      </c>
      <c r="B2440" s="1">
        <v>45231</v>
      </c>
      <c r="C2440" t="s">
        <v>544</v>
      </c>
      <c r="D2440">
        <v>645</v>
      </c>
      <c r="E2440">
        <v>513.5</v>
      </c>
      <c r="F2440" s="15">
        <f>IFERROR(PRD[[#This Row],[VALOR]]/PRD[[#This Row],[KGS]],"")</f>
        <v>0.79612403100775198</v>
      </c>
      <c r="H2440" s="27"/>
    </row>
    <row r="2441" spans="1:8" x14ac:dyDescent="0.25">
      <c r="A2441" s="21">
        <v>2011700</v>
      </c>
      <c r="B2441" s="1">
        <v>45231</v>
      </c>
      <c r="C2441" t="s">
        <v>129</v>
      </c>
      <c r="D2441">
        <v>189.3</v>
      </c>
      <c r="E2441">
        <v>518.57000000000005</v>
      </c>
      <c r="F2441" s="15">
        <f>IFERROR(PRD[[#This Row],[VALOR]]/PRD[[#This Row],[KGS]],"")</f>
        <v>2.739408346539884</v>
      </c>
      <c r="H2441" s="27"/>
    </row>
    <row r="2442" spans="1:8" x14ac:dyDescent="0.25">
      <c r="A2442" s="21">
        <v>2090002</v>
      </c>
      <c r="B2442" s="1">
        <v>45231</v>
      </c>
      <c r="C2442" t="s">
        <v>451</v>
      </c>
      <c r="D2442">
        <v>166.43</v>
      </c>
      <c r="E2442">
        <v>862.07</v>
      </c>
      <c r="F2442" s="15">
        <f>IFERROR(PRD[[#This Row],[VALOR]]/PRD[[#This Row],[KGS]],"")</f>
        <v>5.1797752808988768</v>
      </c>
      <c r="H2442" s="27"/>
    </row>
    <row r="2443" spans="1:8" x14ac:dyDescent="0.25">
      <c r="A2443" s="21">
        <v>3020103</v>
      </c>
      <c r="B2443" s="1">
        <v>45231</v>
      </c>
      <c r="C2443" t="s">
        <v>131</v>
      </c>
      <c r="D2443">
        <v>6656.39</v>
      </c>
      <c r="E2443">
        <v>21964.35</v>
      </c>
      <c r="F2443" s="15">
        <f>IFERROR(PRD[[#This Row],[VALOR]]/PRD[[#This Row],[KGS]],"")</f>
        <v>3.299739047742094</v>
      </c>
      <c r="H2443" s="27"/>
    </row>
    <row r="2444" spans="1:8" x14ac:dyDescent="0.25">
      <c r="A2444" s="21">
        <v>3020212</v>
      </c>
      <c r="B2444" s="1">
        <v>45231</v>
      </c>
      <c r="C2444" t="s">
        <v>133</v>
      </c>
      <c r="D2444">
        <v>1444.91</v>
      </c>
      <c r="E2444">
        <v>5358.86</v>
      </c>
      <c r="F2444" s="15">
        <f>IFERROR(PRD[[#This Row],[VALOR]]/PRD[[#This Row],[KGS]],"")</f>
        <v>3.7087846301845784</v>
      </c>
      <c r="H2444" s="27"/>
    </row>
    <row r="2445" spans="1:8" x14ac:dyDescent="0.25">
      <c r="A2445" s="21">
        <v>3020214</v>
      </c>
      <c r="B2445" s="1">
        <v>45231</v>
      </c>
      <c r="C2445" t="s">
        <v>135</v>
      </c>
      <c r="D2445">
        <v>404.21</v>
      </c>
      <c r="E2445">
        <v>1437.89</v>
      </c>
      <c r="F2445" s="15">
        <f>IFERROR(PRD[[#This Row],[VALOR]]/PRD[[#This Row],[KGS]],"")</f>
        <v>3.5572845797976305</v>
      </c>
      <c r="H2445" s="27"/>
    </row>
    <row r="2446" spans="1:8" x14ac:dyDescent="0.25">
      <c r="A2446" s="21">
        <v>3020315</v>
      </c>
      <c r="B2446" s="1">
        <v>45231</v>
      </c>
      <c r="C2446" t="s">
        <v>137</v>
      </c>
      <c r="D2446">
        <v>2092.8000000000002</v>
      </c>
      <c r="E2446">
        <v>7409.46</v>
      </c>
      <c r="F2446" s="15">
        <f>IFERROR(PRD[[#This Row],[VALOR]]/PRD[[#This Row],[KGS]],"")</f>
        <v>3.5404529816513759</v>
      </c>
      <c r="H2446" s="27"/>
    </row>
    <row r="2447" spans="1:8" x14ac:dyDescent="0.25">
      <c r="A2447" s="21">
        <v>3020316</v>
      </c>
      <c r="B2447" s="1">
        <v>45231</v>
      </c>
      <c r="C2447" t="s">
        <v>139</v>
      </c>
      <c r="D2447">
        <v>170.77</v>
      </c>
      <c r="E2447">
        <v>543.04</v>
      </c>
      <c r="F2447" s="15">
        <f>IFERROR(PRD[[#This Row],[VALOR]]/PRD[[#This Row],[KGS]],"")</f>
        <v>3.1799496398664866</v>
      </c>
      <c r="H2447" s="27"/>
    </row>
    <row r="2448" spans="1:8" x14ac:dyDescent="0.25">
      <c r="A2448" s="21">
        <v>3020402</v>
      </c>
      <c r="B2448" s="1">
        <v>45231</v>
      </c>
      <c r="C2448" t="s">
        <v>141</v>
      </c>
      <c r="D2448">
        <v>2513.87</v>
      </c>
      <c r="E2448">
        <v>8962.7199999999993</v>
      </c>
      <c r="F2448" s="15">
        <f>IFERROR(PRD[[#This Row],[VALOR]]/PRD[[#This Row],[KGS]],"")</f>
        <v>3.5653076730300293</v>
      </c>
      <c r="H2448" s="27"/>
    </row>
    <row r="2449" spans="1:8" x14ac:dyDescent="0.25">
      <c r="A2449" s="21">
        <v>3020504</v>
      </c>
      <c r="B2449" s="1">
        <v>45231</v>
      </c>
      <c r="C2449" t="s">
        <v>143</v>
      </c>
      <c r="D2449">
        <v>457.09</v>
      </c>
      <c r="E2449">
        <v>1715.68</v>
      </c>
      <c r="F2449" s="15">
        <f>IFERROR(PRD[[#This Row],[VALOR]]/PRD[[#This Row],[KGS]],"")</f>
        <v>3.7534839965871059</v>
      </c>
      <c r="H2449" s="27"/>
    </row>
    <row r="2450" spans="1:8" x14ac:dyDescent="0.25">
      <c r="A2450" s="21">
        <v>3020622</v>
      </c>
      <c r="B2450" s="1">
        <v>45231</v>
      </c>
      <c r="C2450" t="s">
        <v>145</v>
      </c>
      <c r="D2450">
        <v>5481.45</v>
      </c>
      <c r="E2450">
        <v>20278.87</v>
      </c>
      <c r="F2450" s="15">
        <f>IFERROR(PRD[[#This Row],[VALOR]]/PRD[[#This Row],[KGS]],"")</f>
        <v>3.6995448284669203</v>
      </c>
      <c r="H2450" s="27"/>
    </row>
    <row r="2451" spans="1:8" x14ac:dyDescent="0.25">
      <c r="A2451" s="21">
        <v>3020623</v>
      </c>
      <c r="B2451" s="1">
        <v>45231</v>
      </c>
      <c r="C2451" t="s">
        <v>147</v>
      </c>
      <c r="D2451">
        <v>784.77</v>
      </c>
      <c r="E2451">
        <v>3029.23</v>
      </c>
      <c r="F2451" s="15">
        <f>IFERROR(PRD[[#This Row],[VALOR]]/PRD[[#This Row],[KGS]],"")</f>
        <v>3.86002268180486</v>
      </c>
      <c r="H2451" s="27"/>
    </row>
    <row r="2452" spans="1:8" x14ac:dyDescent="0.25">
      <c r="A2452" s="21">
        <v>3020725</v>
      </c>
      <c r="B2452" s="1">
        <v>45231</v>
      </c>
      <c r="C2452" t="s">
        <v>149</v>
      </c>
      <c r="D2452">
        <v>567.17999999999995</v>
      </c>
      <c r="E2452">
        <v>2135.2800000000002</v>
      </c>
      <c r="F2452" s="15">
        <f>IFERROR(PRD[[#This Row],[VALOR]]/PRD[[#This Row],[KGS]],"")</f>
        <v>3.7647307732994824</v>
      </c>
      <c r="H2452" s="27"/>
    </row>
    <row r="2453" spans="1:8" x14ac:dyDescent="0.25">
      <c r="A2453" s="21">
        <v>3020823</v>
      </c>
      <c r="B2453" s="1">
        <v>45231</v>
      </c>
      <c r="C2453" t="s">
        <v>151</v>
      </c>
      <c r="D2453">
        <v>1734.43</v>
      </c>
      <c r="E2453">
        <v>6535.96</v>
      </c>
      <c r="F2453" s="15">
        <f>IFERROR(PRD[[#This Row],[VALOR]]/PRD[[#This Row],[KGS]],"")</f>
        <v>3.7683619402339672</v>
      </c>
      <c r="H2453" s="27"/>
    </row>
    <row r="2454" spans="1:8" x14ac:dyDescent="0.25">
      <c r="A2454" s="21">
        <v>3020824</v>
      </c>
      <c r="B2454" s="1">
        <v>45231</v>
      </c>
      <c r="C2454" t="s">
        <v>153</v>
      </c>
      <c r="D2454">
        <v>2051.7199999999998</v>
      </c>
      <c r="E2454">
        <v>7175.1</v>
      </c>
      <c r="F2454" s="15">
        <f>IFERROR(PRD[[#This Row],[VALOR]]/PRD[[#This Row],[KGS]],"")</f>
        <v>3.4971146160294784</v>
      </c>
      <c r="H2454" s="27"/>
    </row>
    <row r="2455" spans="1:8" x14ac:dyDescent="0.25">
      <c r="A2455" s="21">
        <v>3020825</v>
      </c>
      <c r="B2455" s="1">
        <v>45231</v>
      </c>
      <c r="C2455" t="s">
        <v>455</v>
      </c>
      <c r="D2455">
        <v>698.43</v>
      </c>
      <c r="E2455">
        <v>2863.6</v>
      </c>
      <c r="F2455" s="15">
        <f>IFERROR(PRD[[#This Row],[VALOR]]/PRD[[#This Row],[KGS]],"")</f>
        <v>4.1000529759603683</v>
      </c>
      <c r="H2455" s="27"/>
    </row>
    <row r="2456" spans="1:8" x14ac:dyDescent="0.25">
      <c r="A2456" s="21">
        <v>3020924</v>
      </c>
      <c r="B2456" s="1">
        <v>45231</v>
      </c>
      <c r="C2456" t="s">
        <v>155</v>
      </c>
      <c r="D2456">
        <v>1461.52</v>
      </c>
      <c r="E2456">
        <v>5612.8</v>
      </c>
      <c r="F2456" s="15">
        <f>IFERROR(PRD[[#This Row],[VALOR]]/PRD[[#This Row],[KGS]],"")</f>
        <v>3.8403853522360283</v>
      </c>
      <c r="H2456" s="27"/>
    </row>
    <row r="2457" spans="1:8" x14ac:dyDescent="0.25">
      <c r="A2457" s="21">
        <v>3020925</v>
      </c>
      <c r="B2457" s="1">
        <v>45231</v>
      </c>
      <c r="C2457" t="s">
        <v>157</v>
      </c>
      <c r="D2457">
        <v>1336.1</v>
      </c>
      <c r="E2457">
        <v>5034.7299999999996</v>
      </c>
      <c r="F2457" s="15">
        <f>IFERROR(PRD[[#This Row],[VALOR]]/PRD[[#This Row],[KGS]],"")</f>
        <v>3.7682284260160168</v>
      </c>
      <c r="H2457" s="27"/>
    </row>
    <row r="2458" spans="1:8" x14ac:dyDescent="0.25">
      <c r="A2458" s="21">
        <v>3021436</v>
      </c>
      <c r="B2458" s="1">
        <v>45231</v>
      </c>
      <c r="C2458" t="s">
        <v>546</v>
      </c>
      <c r="D2458">
        <v>371.52</v>
      </c>
      <c r="E2458">
        <v>1207.98</v>
      </c>
      <c r="F2458" s="15">
        <f>IFERROR(PRD[[#This Row],[VALOR]]/PRD[[#This Row],[KGS]],"")</f>
        <v>3.2514534883720931</v>
      </c>
      <c r="H2458" s="27"/>
    </row>
    <row r="2459" spans="1:8" x14ac:dyDescent="0.25">
      <c r="A2459" s="21">
        <v>3021538</v>
      </c>
      <c r="B2459" s="1">
        <v>45231</v>
      </c>
      <c r="C2459" t="s">
        <v>548</v>
      </c>
      <c r="D2459">
        <v>52.36</v>
      </c>
      <c r="E2459">
        <v>156.33000000000001</v>
      </c>
      <c r="F2459" s="15">
        <f>IFERROR(PRD[[#This Row],[VALOR]]/PRD[[#This Row],[KGS]],"")</f>
        <v>2.9856760886172653</v>
      </c>
      <c r="H2459" s="27"/>
    </row>
    <row r="2460" spans="1:8" x14ac:dyDescent="0.25">
      <c r="A2460" s="21">
        <v>3021639</v>
      </c>
      <c r="B2460" s="1">
        <v>45231</v>
      </c>
      <c r="C2460" t="s">
        <v>457</v>
      </c>
      <c r="D2460">
        <v>22.4</v>
      </c>
      <c r="E2460">
        <v>69.44</v>
      </c>
      <c r="F2460" s="15">
        <f>IFERROR(PRD[[#This Row],[VALOR]]/PRD[[#This Row],[KGS]],"")</f>
        <v>3.1</v>
      </c>
      <c r="H2460" s="27"/>
    </row>
    <row r="2461" spans="1:8" x14ac:dyDescent="0.25">
      <c r="A2461" s="21">
        <v>3021739</v>
      </c>
      <c r="B2461" s="1">
        <v>45231</v>
      </c>
      <c r="C2461" t="s">
        <v>165</v>
      </c>
      <c r="D2461">
        <v>-2.88</v>
      </c>
      <c r="E2461">
        <v>-8.06</v>
      </c>
      <c r="F2461" s="15">
        <f>IFERROR(PRD[[#This Row],[VALOR]]/PRD[[#This Row],[KGS]],"")</f>
        <v>2.7986111111111116</v>
      </c>
      <c r="H2461" s="27"/>
    </row>
    <row r="2462" spans="1:8" x14ac:dyDescent="0.25">
      <c r="A2462" s="21">
        <v>3021740</v>
      </c>
      <c r="B2462" s="1">
        <v>45231</v>
      </c>
      <c r="C2462" t="s">
        <v>459</v>
      </c>
      <c r="D2462">
        <v>940.94</v>
      </c>
      <c r="E2462">
        <v>2359.9699999999998</v>
      </c>
      <c r="F2462" s="15">
        <f>IFERROR(PRD[[#This Row],[VALOR]]/PRD[[#This Row],[KGS]],"")</f>
        <v>2.5080982846940292</v>
      </c>
      <c r="H2462" s="27"/>
    </row>
    <row r="2463" spans="1:8" x14ac:dyDescent="0.25">
      <c r="A2463" s="21">
        <v>3021760</v>
      </c>
      <c r="B2463" s="1">
        <v>45231</v>
      </c>
      <c r="C2463" t="s">
        <v>167</v>
      </c>
      <c r="D2463">
        <v>2288.1</v>
      </c>
      <c r="E2463">
        <v>4997.71</v>
      </c>
      <c r="F2463" s="15">
        <f>IFERROR(PRD[[#This Row],[VALOR]]/PRD[[#This Row],[KGS]],"")</f>
        <v>2.1842183471002143</v>
      </c>
      <c r="H2463" s="27"/>
    </row>
    <row r="2464" spans="1:8" x14ac:dyDescent="0.25">
      <c r="A2464" s="21">
        <v>3021811</v>
      </c>
      <c r="B2464" s="1">
        <v>45231</v>
      </c>
      <c r="C2464" t="s">
        <v>169</v>
      </c>
      <c r="D2464">
        <v>829.21</v>
      </c>
      <c r="E2464">
        <v>1813.64</v>
      </c>
      <c r="F2464" s="15">
        <f>IFERROR(PRD[[#This Row],[VALOR]]/PRD[[#This Row],[KGS]],"")</f>
        <v>2.1871902171946793</v>
      </c>
      <c r="H2464" s="27"/>
    </row>
    <row r="2465" spans="1:8" x14ac:dyDescent="0.25">
      <c r="A2465" s="21">
        <v>3021812</v>
      </c>
      <c r="B2465" s="1">
        <v>45231</v>
      </c>
      <c r="C2465" t="s">
        <v>171</v>
      </c>
      <c r="D2465">
        <v>1849.1</v>
      </c>
      <c r="E2465">
        <v>3776.26</v>
      </c>
      <c r="F2465" s="15">
        <f>IFERROR(PRD[[#This Row],[VALOR]]/PRD[[#This Row],[KGS]],"")</f>
        <v>2.0422151316856851</v>
      </c>
      <c r="H2465" s="27"/>
    </row>
    <row r="2466" spans="1:8" x14ac:dyDescent="0.25">
      <c r="A2466" s="21">
        <v>3022100</v>
      </c>
      <c r="B2466" s="1">
        <v>45231</v>
      </c>
      <c r="C2466" t="s">
        <v>173</v>
      </c>
      <c r="D2466">
        <v>55.37</v>
      </c>
      <c r="E2466">
        <v>219.35</v>
      </c>
      <c r="F2466" s="15">
        <f>IFERROR(PRD[[#This Row],[VALOR]]/PRD[[#This Row],[KGS]],"")</f>
        <v>3.9615315152609716</v>
      </c>
      <c r="H2466" s="27"/>
    </row>
    <row r="2467" spans="1:8" x14ac:dyDescent="0.25">
      <c r="A2467" s="21">
        <v>3022208</v>
      </c>
      <c r="B2467" s="1">
        <v>45231</v>
      </c>
      <c r="C2467" t="s">
        <v>307</v>
      </c>
      <c r="D2467">
        <v>113.8</v>
      </c>
      <c r="E2467">
        <v>437.13</v>
      </c>
      <c r="F2467" s="15">
        <f>IFERROR(PRD[[#This Row],[VALOR]]/PRD[[#This Row],[KGS]],"")</f>
        <v>3.8412126537785589</v>
      </c>
      <c r="H2467" s="27"/>
    </row>
    <row r="2468" spans="1:8" x14ac:dyDescent="0.25">
      <c r="A2468" s="21">
        <v>3022311</v>
      </c>
      <c r="B2468" s="1">
        <v>45231</v>
      </c>
      <c r="C2468" t="s">
        <v>176</v>
      </c>
      <c r="D2468">
        <v>1886.32</v>
      </c>
      <c r="E2468">
        <v>4497.6899999999996</v>
      </c>
      <c r="F2468" s="15">
        <f>IFERROR(PRD[[#This Row],[VALOR]]/PRD[[#This Row],[KGS]],"")</f>
        <v>2.3843727469358327</v>
      </c>
      <c r="H2468" s="27"/>
    </row>
    <row r="2469" spans="1:8" x14ac:dyDescent="0.25">
      <c r="A2469" s="21">
        <v>3022411</v>
      </c>
      <c r="B2469" s="1">
        <v>45231</v>
      </c>
      <c r="C2469" t="s">
        <v>178</v>
      </c>
      <c r="D2469">
        <v>46.2</v>
      </c>
      <c r="E2469">
        <v>130.86000000000001</v>
      </c>
      <c r="F2469" s="15">
        <f>IFERROR(PRD[[#This Row],[VALOR]]/PRD[[#This Row],[KGS]],"")</f>
        <v>2.8324675324675326</v>
      </c>
      <c r="H2469" s="27"/>
    </row>
    <row r="2470" spans="1:8" x14ac:dyDescent="0.25">
      <c r="A2470" s="21">
        <v>3022511</v>
      </c>
      <c r="B2470" s="1">
        <v>45231</v>
      </c>
      <c r="C2470" t="s">
        <v>180</v>
      </c>
      <c r="D2470">
        <v>4.4000000000000004</v>
      </c>
      <c r="E2470">
        <v>10.79</v>
      </c>
      <c r="F2470" s="15">
        <f>IFERROR(PRD[[#This Row],[VALOR]]/PRD[[#This Row],[KGS]],"")</f>
        <v>2.4522727272727267</v>
      </c>
      <c r="H2470" s="27"/>
    </row>
    <row r="2471" spans="1:8" x14ac:dyDescent="0.25">
      <c r="A2471" s="21">
        <v>3022601</v>
      </c>
      <c r="B2471" s="1">
        <v>45231</v>
      </c>
      <c r="C2471" t="s">
        <v>182</v>
      </c>
      <c r="D2471">
        <v>455.25</v>
      </c>
      <c r="E2471">
        <v>1826.27</v>
      </c>
      <c r="F2471" s="15">
        <f>IFERROR(PRD[[#This Row],[VALOR]]/PRD[[#This Row],[KGS]],"")</f>
        <v>4.0115760571114771</v>
      </c>
      <c r="H2471" s="27"/>
    </row>
    <row r="2472" spans="1:8" x14ac:dyDescent="0.25">
      <c r="A2472" s="21">
        <v>3022703</v>
      </c>
      <c r="B2472" s="1">
        <v>45231</v>
      </c>
      <c r="C2472" t="s">
        <v>309</v>
      </c>
      <c r="D2472">
        <v>917</v>
      </c>
      <c r="E2472">
        <v>2535.25</v>
      </c>
      <c r="F2472" s="15">
        <f>IFERROR(PRD[[#This Row],[VALOR]]/PRD[[#This Row],[KGS]],"")</f>
        <v>2.764721919302072</v>
      </c>
      <c r="H2472" s="27"/>
    </row>
    <row r="2473" spans="1:8" x14ac:dyDescent="0.25">
      <c r="A2473" s="21">
        <v>3022805</v>
      </c>
      <c r="B2473" s="1">
        <v>45231</v>
      </c>
      <c r="C2473" t="s">
        <v>186</v>
      </c>
      <c r="D2473">
        <v>2225</v>
      </c>
      <c r="E2473">
        <v>4662.8999999999996</v>
      </c>
      <c r="F2473" s="15">
        <f>IFERROR(PRD[[#This Row],[VALOR]]/PRD[[#This Row],[KGS]],"")</f>
        <v>2.0956853932584267</v>
      </c>
      <c r="H2473" s="27"/>
    </row>
    <row r="2474" spans="1:8" x14ac:dyDescent="0.25">
      <c r="A2474" s="21">
        <v>3022906</v>
      </c>
      <c r="B2474" s="1">
        <v>45231</v>
      </c>
      <c r="C2474" t="s">
        <v>188</v>
      </c>
      <c r="D2474">
        <v>3880</v>
      </c>
      <c r="E2474">
        <v>7932.8</v>
      </c>
      <c r="F2474" s="15">
        <f>IFERROR(PRD[[#This Row],[VALOR]]/PRD[[#This Row],[KGS]],"")</f>
        <v>2.0445360824742269</v>
      </c>
      <c r="H2474" s="27"/>
    </row>
    <row r="2475" spans="1:8" x14ac:dyDescent="0.25">
      <c r="A2475" s="21">
        <v>3023007</v>
      </c>
      <c r="B2475" s="1">
        <v>45231</v>
      </c>
      <c r="C2475" t="s">
        <v>190</v>
      </c>
      <c r="D2475">
        <v>1340</v>
      </c>
      <c r="E2475">
        <v>2728.8</v>
      </c>
      <c r="F2475" s="15">
        <f>IFERROR(PRD[[#This Row],[VALOR]]/PRD[[#This Row],[KGS]],"")</f>
        <v>2.0364179104477613</v>
      </c>
      <c r="H2475" s="27"/>
    </row>
    <row r="2476" spans="1:8" x14ac:dyDescent="0.25">
      <c r="A2476" s="21">
        <v>3024001</v>
      </c>
      <c r="B2476" s="1">
        <v>45231</v>
      </c>
      <c r="C2476" t="s">
        <v>192</v>
      </c>
      <c r="D2476">
        <v>2797.58</v>
      </c>
      <c r="E2476">
        <v>10655.25</v>
      </c>
      <c r="F2476" s="15">
        <f>IFERROR(PRD[[#This Row],[VALOR]]/PRD[[#This Row],[KGS]],"")</f>
        <v>3.8087382666447431</v>
      </c>
      <c r="H2476" s="27"/>
    </row>
    <row r="2477" spans="1:8" x14ac:dyDescent="0.25">
      <c r="A2477" s="21">
        <v>3024003</v>
      </c>
      <c r="B2477" s="1">
        <v>45231</v>
      </c>
      <c r="C2477" t="s">
        <v>196</v>
      </c>
      <c r="D2477">
        <v>489.65</v>
      </c>
      <c r="E2477">
        <v>1384.19</v>
      </c>
      <c r="F2477" s="15">
        <f>IFERROR(PRD[[#This Row],[VALOR]]/PRD[[#This Row],[KGS]],"")</f>
        <v>2.8268967629939756</v>
      </c>
      <c r="H2477" s="27"/>
    </row>
    <row r="2478" spans="1:8" x14ac:dyDescent="0.25">
      <c r="A2478" s="21">
        <v>3024004</v>
      </c>
      <c r="B2478" s="1">
        <v>45231</v>
      </c>
      <c r="C2478" t="s">
        <v>198</v>
      </c>
      <c r="D2478">
        <v>2585.6999999999998</v>
      </c>
      <c r="E2478">
        <v>2635.89</v>
      </c>
      <c r="F2478" s="15">
        <f>IFERROR(PRD[[#This Row],[VALOR]]/PRD[[#This Row],[KGS]],"")</f>
        <v>1.0194106044784779</v>
      </c>
      <c r="H2478" s="27"/>
    </row>
    <row r="2479" spans="1:8" x14ac:dyDescent="0.25">
      <c r="A2479" s="21">
        <v>4030100</v>
      </c>
      <c r="B2479" s="1">
        <v>45231</v>
      </c>
      <c r="C2479" t="s">
        <v>200</v>
      </c>
      <c r="D2479">
        <v>420.37</v>
      </c>
      <c r="E2479">
        <v>2627.06</v>
      </c>
      <c r="F2479" s="15">
        <f>IFERROR(PRD[[#This Row],[VALOR]]/PRD[[#This Row],[KGS]],"")</f>
        <v>6.249399338677831</v>
      </c>
      <c r="H2479" s="27"/>
    </row>
    <row r="2480" spans="1:8" x14ac:dyDescent="0.25">
      <c r="A2480" s="21">
        <v>4030211</v>
      </c>
      <c r="B2480" s="1">
        <v>45231</v>
      </c>
      <c r="C2480" t="s">
        <v>202</v>
      </c>
      <c r="D2480">
        <v>1102.33</v>
      </c>
      <c r="E2480">
        <v>6354.72</v>
      </c>
      <c r="F2480" s="15">
        <f>IFERROR(PRD[[#This Row],[VALOR]]/PRD[[#This Row],[KGS]],"")</f>
        <v>5.7648072718695857</v>
      </c>
      <c r="H2480" s="27"/>
    </row>
    <row r="2481" spans="1:8" x14ac:dyDescent="0.25">
      <c r="A2481" s="21">
        <v>4030311</v>
      </c>
      <c r="B2481" s="1">
        <v>45231</v>
      </c>
      <c r="C2481" t="s">
        <v>311</v>
      </c>
      <c r="D2481">
        <v>359.06</v>
      </c>
      <c r="E2481">
        <v>2371.2199999999998</v>
      </c>
      <c r="F2481" s="15">
        <f>IFERROR(PRD[[#This Row],[VALOR]]/PRD[[#This Row],[KGS]],"")</f>
        <v>6.6039659109898059</v>
      </c>
      <c r="H2481" s="27"/>
    </row>
    <row r="2482" spans="1:8" x14ac:dyDescent="0.25">
      <c r="A2482" s="21">
        <v>4030401</v>
      </c>
      <c r="B2482" s="1">
        <v>45231</v>
      </c>
      <c r="C2482" t="s">
        <v>461</v>
      </c>
      <c r="D2482">
        <v>212.45</v>
      </c>
      <c r="E2482">
        <v>1057.2</v>
      </c>
      <c r="F2482" s="15">
        <f>IFERROR(PRD[[#This Row],[VALOR]]/PRD[[#This Row],[KGS]],"")</f>
        <v>4.9762297011061429</v>
      </c>
      <c r="H2482" s="27"/>
    </row>
    <row r="2483" spans="1:8" x14ac:dyDescent="0.25">
      <c r="A2483" s="21">
        <v>4030532</v>
      </c>
      <c r="B2483" s="1">
        <v>45231</v>
      </c>
      <c r="C2483" t="s">
        <v>210</v>
      </c>
      <c r="D2483">
        <v>230.66</v>
      </c>
      <c r="E2483">
        <v>1212</v>
      </c>
      <c r="F2483" s="15">
        <f>IFERROR(PRD[[#This Row],[VALOR]]/PRD[[#This Row],[KGS]],"")</f>
        <v>5.2544871239053155</v>
      </c>
      <c r="H2483" s="27"/>
    </row>
    <row r="2484" spans="1:8" x14ac:dyDescent="0.25">
      <c r="A2484" s="21">
        <v>4030600</v>
      </c>
      <c r="B2484" s="1">
        <v>45231</v>
      </c>
      <c r="C2484" t="s">
        <v>212</v>
      </c>
      <c r="D2484">
        <v>950.43</v>
      </c>
      <c r="E2484">
        <v>2943.53</v>
      </c>
      <c r="F2484" s="15">
        <f>IFERROR(PRD[[#This Row],[VALOR]]/PRD[[#This Row],[KGS]],"")</f>
        <v>3.0970508085813795</v>
      </c>
      <c r="H2484" s="27"/>
    </row>
    <row r="2485" spans="1:8" x14ac:dyDescent="0.25">
      <c r="A2485" s="21">
        <v>4030711</v>
      </c>
      <c r="B2485" s="1">
        <v>45231</v>
      </c>
      <c r="C2485" t="s">
        <v>214</v>
      </c>
      <c r="D2485">
        <v>2852.12</v>
      </c>
      <c r="E2485">
        <v>9324.5</v>
      </c>
      <c r="F2485" s="15">
        <f>IFERROR(PRD[[#This Row],[VALOR]]/PRD[[#This Row],[KGS]],"")</f>
        <v>3.2693224689003269</v>
      </c>
      <c r="H2485" s="27"/>
    </row>
    <row r="2486" spans="1:8" x14ac:dyDescent="0.25">
      <c r="A2486" s="21">
        <v>4030811</v>
      </c>
      <c r="B2486" s="1">
        <v>45231</v>
      </c>
      <c r="C2486" t="s">
        <v>216</v>
      </c>
      <c r="D2486">
        <v>1918.95</v>
      </c>
      <c r="E2486">
        <v>6043.86</v>
      </c>
      <c r="F2486" s="15">
        <f>IFERROR(PRD[[#This Row],[VALOR]]/PRD[[#This Row],[KGS]],"")</f>
        <v>3.1495661689986707</v>
      </c>
      <c r="H2486" s="27"/>
    </row>
    <row r="2487" spans="1:8" x14ac:dyDescent="0.25">
      <c r="A2487" s="21">
        <v>4030813</v>
      </c>
      <c r="B2487" s="1">
        <v>45231</v>
      </c>
      <c r="C2487" t="s">
        <v>218</v>
      </c>
      <c r="D2487">
        <v>1281.8399999999999</v>
      </c>
      <c r="E2487">
        <v>3771.1</v>
      </c>
      <c r="F2487" s="15">
        <f>IFERROR(PRD[[#This Row],[VALOR]]/PRD[[#This Row],[KGS]],"")</f>
        <v>2.9419428321787433</v>
      </c>
      <c r="H2487" s="27"/>
    </row>
    <row r="2488" spans="1:8" x14ac:dyDescent="0.25">
      <c r="A2488" s="21">
        <v>4030900</v>
      </c>
      <c r="B2488" s="1">
        <v>45231</v>
      </c>
      <c r="C2488" t="s">
        <v>220</v>
      </c>
      <c r="D2488">
        <v>6874.66</v>
      </c>
      <c r="E2488">
        <v>20632.28</v>
      </c>
      <c r="F2488" s="15">
        <f>IFERROR(PRD[[#This Row],[VALOR]]/PRD[[#This Row],[KGS]],"")</f>
        <v>3.0012073324353494</v>
      </c>
      <c r="H2488" s="27"/>
    </row>
    <row r="2489" spans="1:8" x14ac:dyDescent="0.25">
      <c r="A2489" s="21">
        <v>4030910</v>
      </c>
      <c r="B2489" s="1">
        <v>45231</v>
      </c>
      <c r="C2489" t="s">
        <v>222</v>
      </c>
      <c r="D2489">
        <v>170.61</v>
      </c>
      <c r="E2489">
        <v>541.16999999999996</v>
      </c>
      <c r="F2489" s="15">
        <f>IFERROR(PRD[[#This Row],[VALOR]]/PRD[[#This Row],[KGS]],"")</f>
        <v>3.171971162299982</v>
      </c>
      <c r="H2489" s="27"/>
    </row>
    <row r="2490" spans="1:8" x14ac:dyDescent="0.25">
      <c r="A2490" s="21">
        <v>4031012</v>
      </c>
      <c r="B2490" s="1">
        <v>45231</v>
      </c>
      <c r="C2490" t="s">
        <v>224</v>
      </c>
      <c r="D2490">
        <v>1050.98</v>
      </c>
      <c r="E2490">
        <v>3224.61</v>
      </c>
      <c r="F2490" s="15">
        <f>IFERROR(PRD[[#This Row],[VALOR]]/PRD[[#This Row],[KGS]],"")</f>
        <v>3.068193495594588</v>
      </c>
      <c r="H2490" s="27"/>
    </row>
    <row r="2491" spans="1:8" x14ac:dyDescent="0.25">
      <c r="A2491" s="21">
        <v>4031017</v>
      </c>
      <c r="B2491" s="1">
        <v>45231</v>
      </c>
      <c r="C2491" t="s">
        <v>226</v>
      </c>
      <c r="D2491">
        <v>2404</v>
      </c>
      <c r="E2491">
        <v>1602.39</v>
      </c>
      <c r="F2491" s="15">
        <f>IFERROR(PRD[[#This Row],[VALOR]]/PRD[[#This Row],[KGS]],"")</f>
        <v>0.66655158069883536</v>
      </c>
      <c r="H2491" s="27"/>
    </row>
    <row r="2492" spans="1:8" x14ac:dyDescent="0.25">
      <c r="A2492" s="21">
        <v>4031102</v>
      </c>
      <c r="B2492" s="1">
        <v>45231</v>
      </c>
      <c r="C2492" t="s">
        <v>228</v>
      </c>
      <c r="D2492">
        <v>11484.61</v>
      </c>
      <c r="E2492">
        <v>33669.800000000003</v>
      </c>
      <c r="F2492" s="15">
        <f>IFERROR(PRD[[#This Row],[VALOR]]/PRD[[#This Row],[KGS]],"")</f>
        <v>2.9317321180257756</v>
      </c>
      <c r="H2492" s="27"/>
    </row>
    <row r="2493" spans="1:8" x14ac:dyDescent="0.25">
      <c r="A2493" s="21">
        <v>4031200</v>
      </c>
      <c r="B2493" s="1">
        <v>45231</v>
      </c>
      <c r="C2493" t="s">
        <v>230</v>
      </c>
      <c r="D2493">
        <v>1349.37</v>
      </c>
      <c r="E2493">
        <v>4047.87</v>
      </c>
      <c r="F2493" s="15">
        <f>IFERROR(PRD[[#This Row],[VALOR]]/PRD[[#This Row],[KGS]],"")</f>
        <v>2.9998221392205253</v>
      </c>
      <c r="H2493" s="27"/>
    </row>
    <row r="2494" spans="1:8" x14ac:dyDescent="0.25">
      <c r="A2494" s="21">
        <v>4031304</v>
      </c>
      <c r="B2494" s="1">
        <v>45231</v>
      </c>
      <c r="C2494" t="s">
        <v>232</v>
      </c>
      <c r="D2494">
        <v>985.12</v>
      </c>
      <c r="E2494">
        <v>2873.79</v>
      </c>
      <c r="F2494" s="15">
        <f>IFERROR(PRD[[#This Row],[VALOR]]/PRD[[#This Row],[KGS]],"")</f>
        <v>2.9171979048237779</v>
      </c>
      <c r="H2494" s="27"/>
    </row>
    <row r="2495" spans="1:8" x14ac:dyDescent="0.25">
      <c r="A2495" s="21">
        <v>4031411</v>
      </c>
      <c r="B2495" s="1">
        <v>45231</v>
      </c>
      <c r="C2495" t="s">
        <v>234</v>
      </c>
      <c r="D2495">
        <v>92.02</v>
      </c>
      <c r="E2495">
        <v>294.18</v>
      </c>
      <c r="F2495" s="15">
        <f>IFERROR(PRD[[#This Row],[VALOR]]/PRD[[#This Row],[KGS]],"")</f>
        <v>3.1969137144099111</v>
      </c>
      <c r="H2495" s="27"/>
    </row>
    <row r="2496" spans="1:8" x14ac:dyDescent="0.25">
      <c r="A2496" s="21">
        <v>4031500</v>
      </c>
      <c r="B2496" s="1">
        <v>45231</v>
      </c>
      <c r="C2496" t="s">
        <v>236</v>
      </c>
      <c r="D2496">
        <v>6445.07</v>
      </c>
      <c r="E2496">
        <v>18160.12</v>
      </c>
      <c r="F2496" s="15">
        <f>IFERROR(PRD[[#This Row],[VALOR]]/PRD[[#This Row],[KGS]],"")</f>
        <v>2.8176761462637332</v>
      </c>
      <c r="H2496" s="27"/>
    </row>
    <row r="2497" spans="1:8" x14ac:dyDescent="0.25">
      <c r="A2497" s="21">
        <v>4031604</v>
      </c>
      <c r="B2497" s="1">
        <v>45231</v>
      </c>
      <c r="C2497" t="s">
        <v>238</v>
      </c>
      <c r="D2497">
        <v>6718.92</v>
      </c>
      <c r="E2497">
        <v>18185.39</v>
      </c>
      <c r="F2497" s="15">
        <f>IFERROR(PRD[[#This Row],[VALOR]]/PRD[[#This Row],[KGS]],"")</f>
        <v>2.7065942145463855</v>
      </c>
      <c r="H2497" s="27"/>
    </row>
    <row r="2498" spans="1:8" x14ac:dyDescent="0.25">
      <c r="A2498" s="21">
        <v>4031605</v>
      </c>
      <c r="B2498" s="1">
        <v>45231</v>
      </c>
      <c r="C2498" t="s">
        <v>240</v>
      </c>
      <c r="D2498">
        <v>125.2</v>
      </c>
      <c r="E2498">
        <v>403.88</v>
      </c>
      <c r="F2498" s="15">
        <f>IFERROR(PRD[[#This Row],[VALOR]]/PRD[[#This Row],[KGS]],"")</f>
        <v>3.2258785942492012</v>
      </c>
      <c r="H2498" s="27"/>
    </row>
    <row r="2499" spans="1:8" x14ac:dyDescent="0.25">
      <c r="A2499" s="21">
        <v>4031700</v>
      </c>
      <c r="B2499" s="1">
        <v>45231</v>
      </c>
      <c r="C2499" t="s">
        <v>242</v>
      </c>
      <c r="D2499">
        <v>824.9</v>
      </c>
      <c r="E2499">
        <v>2447</v>
      </c>
      <c r="F2499" s="15">
        <f>IFERROR(PRD[[#This Row],[VALOR]]/PRD[[#This Row],[KGS]],"")</f>
        <v>2.9664201721420778</v>
      </c>
      <c r="H2499" s="27"/>
    </row>
    <row r="2500" spans="1:8" x14ac:dyDescent="0.25">
      <c r="A2500" s="21">
        <v>4031812</v>
      </c>
      <c r="B2500" s="1">
        <v>45231</v>
      </c>
      <c r="C2500" t="s">
        <v>244</v>
      </c>
      <c r="D2500">
        <v>458.54</v>
      </c>
      <c r="E2500">
        <v>1405.1</v>
      </c>
      <c r="F2500" s="15">
        <f>IFERROR(PRD[[#This Row],[VALOR]]/PRD[[#This Row],[KGS]],"")</f>
        <v>3.0642910105988568</v>
      </c>
      <c r="H2500" s="27"/>
    </row>
    <row r="2501" spans="1:8" x14ac:dyDescent="0.25">
      <c r="A2501" s="21">
        <v>4031813</v>
      </c>
      <c r="B2501" s="1">
        <v>45231</v>
      </c>
      <c r="C2501" t="s">
        <v>464</v>
      </c>
      <c r="D2501">
        <v>350</v>
      </c>
      <c r="E2501">
        <v>234.5</v>
      </c>
      <c r="F2501" s="15">
        <f>IFERROR(PRD[[#This Row],[VALOR]]/PRD[[#This Row],[KGS]],"")</f>
        <v>0.67</v>
      </c>
      <c r="H2501" s="27"/>
    </row>
    <row r="2502" spans="1:8" x14ac:dyDescent="0.25">
      <c r="A2502" s="21">
        <v>4031904</v>
      </c>
      <c r="B2502" s="1">
        <v>45231</v>
      </c>
      <c r="C2502" t="s">
        <v>246</v>
      </c>
      <c r="D2502">
        <v>1304.94</v>
      </c>
      <c r="E2502">
        <v>3849.68</v>
      </c>
      <c r="F2502" s="15">
        <f>IFERROR(PRD[[#This Row],[VALOR]]/PRD[[#This Row],[KGS]],"")</f>
        <v>2.9500819961071003</v>
      </c>
      <c r="H2502" s="27"/>
    </row>
    <row r="2503" spans="1:8" x14ac:dyDescent="0.25">
      <c r="A2503" s="21">
        <v>4032111</v>
      </c>
      <c r="B2503" s="1">
        <v>45231</v>
      </c>
      <c r="C2503" t="s">
        <v>314</v>
      </c>
      <c r="D2503">
        <v>13.75</v>
      </c>
      <c r="E2503">
        <v>63.04</v>
      </c>
      <c r="F2503" s="15">
        <f>IFERROR(PRD[[#This Row],[VALOR]]/PRD[[#This Row],[KGS]],"")</f>
        <v>4.5847272727272728</v>
      </c>
      <c r="H2503" s="27"/>
    </row>
    <row r="2504" spans="1:8" x14ac:dyDescent="0.25">
      <c r="A2504" s="21">
        <v>4032204</v>
      </c>
      <c r="B2504" s="1">
        <v>45231</v>
      </c>
      <c r="C2504" t="s">
        <v>315</v>
      </c>
      <c r="D2504">
        <v>40.68</v>
      </c>
      <c r="E2504">
        <v>213.1</v>
      </c>
      <c r="F2504" s="15">
        <f>IFERROR(PRD[[#This Row],[VALOR]]/PRD[[#This Row],[KGS]],"")</f>
        <v>5.2384464110127826</v>
      </c>
      <c r="H2504" s="27"/>
    </row>
    <row r="2505" spans="1:8" x14ac:dyDescent="0.25">
      <c r="A2505" s="21">
        <v>4032205</v>
      </c>
      <c r="B2505" s="1">
        <v>45231</v>
      </c>
      <c r="C2505" t="s">
        <v>553</v>
      </c>
      <c r="D2505">
        <v>98.29</v>
      </c>
      <c r="E2505">
        <v>508.61</v>
      </c>
      <c r="F2505" s="15">
        <f>IFERROR(PRD[[#This Row],[VALOR]]/PRD[[#This Row],[KGS]],"")</f>
        <v>5.1745854105198896</v>
      </c>
      <c r="H2505" s="27"/>
    </row>
    <row r="2506" spans="1:8" x14ac:dyDescent="0.25">
      <c r="A2506" s="21">
        <v>4032206</v>
      </c>
      <c r="B2506" s="1">
        <v>45231</v>
      </c>
      <c r="C2506" t="s">
        <v>555</v>
      </c>
      <c r="D2506">
        <v>105.25</v>
      </c>
      <c r="E2506">
        <v>552.54</v>
      </c>
      <c r="F2506" s="15">
        <f>IFERROR(PRD[[#This Row],[VALOR]]/PRD[[#This Row],[KGS]],"")</f>
        <v>5.2497862232779093</v>
      </c>
      <c r="H2506" s="27"/>
    </row>
    <row r="2507" spans="1:8" x14ac:dyDescent="0.25">
      <c r="A2507" s="21">
        <v>4032312</v>
      </c>
      <c r="B2507" s="1">
        <v>45231</v>
      </c>
      <c r="C2507" t="s">
        <v>252</v>
      </c>
      <c r="D2507">
        <v>470.34</v>
      </c>
      <c r="E2507">
        <v>1993.52</v>
      </c>
      <c r="F2507" s="15">
        <f>IFERROR(PRD[[#This Row],[VALOR]]/PRD[[#This Row],[KGS]],"")</f>
        <v>4.2384657907045966</v>
      </c>
      <c r="H2507" s="27"/>
    </row>
    <row r="2508" spans="1:8" x14ac:dyDescent="0.25">
      <c r="A2508" s="21">
        <v>4032404</v>
      </c>
      <c r="B2508" s="1">
        <v>45231</v>
      </c>
      <c r="C2508" t="s">
        <v>254</v>
      </c>
      <c r="D2508">
        <v>113.1</v>
      </c>
      <c r="E2508">
        <v>484.73</v>
      </c>
      <c r="F2508" s="15">
        <f>IFERROR(PRD[[#This Row],[VALOR]]/PRD[[#This Row],[KGS]],"")</f>
        <v>4.285853227232538</v>
      </c>
      <c r="H2508" s="27"/>
    </row>
    <row r="2509" spans="1:8" x14ac:dyDescent="0.25">
      <c r="A2509" s="21">
        <v>4032500</v>
      </c>
      <c r="B2509" s="1">
        <v>45231</v>
      </c>
      <c r="C2509" t="s">
        <v>256</v>
      </c>
      <c r="D2509">
        <v>405.5</v>
      </c>
      <c r="E2509">
        <v>1114.07</v>
      </c>
      <c r="F2509" s="15">
        <f>IFERROR(PRD[[#This Row],[VALOR]]/PRD[[#This Row],[KGS]],"")</f>
        <v>2.747398273736128</v>
      </c>
      <c r="H2509" s="27"/>
    </row>
    <row r="2510" spans="1:8" x14ac:dyDescent="0.25">
      <c r="A2510" s="21">
        <v>4032611</v>
      </c>
      <c r="B2510" s="1">
        <v>45231</v>
      </c>
      <c r="C2510" t="s">
        <v>258</v>
      </c>
      <c r="D2510">
        <v>81.99</v>
      </c>
      <c r="E2510">
        <v>255.38</v>
      </c>
      <c r="F2510" s="15">
        <f>IFERROR(PRD[[#This Row],[VALOR]]/PRD[[#This Row],[KGS]],"")</f>
        <v>3.1147700939138923</v>
      </c>
      <c r="H2510" s="27"/>
    </row>
    <row r="2511" spans="1:8" x14ac:dyDescent="0.25">
      <c r="A2511" s="21">
        <v>4032704</v>
      </c>
      <c r="B2511" s="1">
        <v>45231</v>
      </c>
      <c r="C2511" t="s">
        <v>260</v>
      </c>
      <c r="D2511">
        <v>537.86</v>
      </c>
      <c r="E2511">
        <v>1593.11</v>
      </c>
      <c r="F2511" s="15">
        <f>IFERROR(PRD[[#This Row],[VALOR]]/PRD[[#This Row],[KGS]],"")</f>
        <v>2.9619417692336292</v>
      </c>
      <c r="H2511" s="27"/>
    </row>
    <row r="2512" spans="1:8" x14ac:dyDescent="0.25">
      <c r="A2512" s="21">
        <v>4032800</v>
      </c>
      <c r="B2512" s="1">
        <v>45231</v>
      </c>
      <c r="C2512" t="s">
        <v>262</v>
      </c>
      <c r="D2512">
        <v>193.15</v>
      </c>
      <c r="E2512">
        <v>1039.69</v>
      </c>
      <c r="F2512" s="15">
        <f>IFERROR(PRD[[#This Row],[VALOR]]/PRD[[#This Row],[KGS]],"")</f>
        <v>5.3828112865648459</v>
      </c>
      <c r="H2512" s="27"/>
    </row>
    <row r="2513" spans="1:8" x14ac:dyDescent="0.25">
      <c r="A2513" s="21">
        <v>4032902</v>
      </c>
      <c r="B2513" s="1">
        <v>45231</v>
      </c>
      <c r="C2513" t="s">
        <v>264</v>
      </c>
      <c r="D2513">
        <v>452.78</v>
      </c>
      <c r="E2513">
        <v>2362.48</v>
      </c>
      <c r="F2513" s="15">
        <f>IFERROR(PRD[[#This Row],[VALOR]]/PRD[[#This Row],[KGS]],"")</f>
        <v>5.2177216308140819</v>
      </c>
      <c r="H2513" s="27"/>
    </row>
    <row r="2514" spans="1:8" x14ac:dyDescent="0.25">
      <c r="A2514" s="21">
        <v>4033011</v>
      </c>
      <c r="B2514" s="1">
        <v>45231</v>
      </c>
      <c r="C2514" t="s">
        <v>266</v>
      </c>
      <c r="D2514">
        <v>143.44999999999999</v>
      </c>
      <c r="E2514">
        <v>732.41</v>
      </c>
      <c r="F2514" s="15">
        <f>IFERROR(PRD[[#This Row],[VALOR]]/PRD[[#This Row],[KGS]],"")</f>
        <v>5.105681422098292</v>
      </c>
      <c r="H2514" s="27"/>
    </row>
    <row r="2515" spans="1:8" x14ac:dyDescent="0.25">
      <c r="A2515" s="21">
        <v>4033111</v>
      </c>
      <c r="B2515" s="1">
        <v>45231</v>
      </c>
      <c r="C2515" t="s">
        <v>268</v>
      </c>
      <c r="D2515">
        <v>664.1</v>
      </c>
      <c r="E2515">
        <v>2831.56</v>
      </c>
      <c r="F2515" s="15">
        <f>IFERROR(PRD[[#This Row],[VALOR]]/PRD[[#This Row],[KGS]],"")</f>
        <v>4.2637554585152833</v>
      </c>
      <c r="H2515" s="27"/>
    </row>
    <row r="2516" spans="1:8" x14ac:dyDescent="0.25">
      <c r="A2516" s="21">
        <v>4033211</v>
      </c>
      <c r="B2516" s="1">
        <v>45231</v>
      </c>
      <c r="C2516" t="s">
        <v>270</v>
      </c>
      <c r="D2516">
        <v>142.97</v>
      </c>
      <c r="E2516">
        <v>656</v>
      </c>
      <c r="F2516" s="15">
        <f>IFERROR(PRD[[#This Row],[VALOR]]/PRD[[#This Row],[KGS]],"")</f>
        <v>4.5883751836049518</v>
      </c>
      <c r="H2516" s="27"/>
    </row>
    <row r="2517" spans="1:8" x14ac:dyDescent="0.25">
      <c r="A2517" s="21">
        <v>4033311</v>
      </c>
      <c r="B2517" s="1">
        <v>45231</v>
      </c>
      <c r="C2517" t="s">
        <v>272</v>
      </c>
      <c r="D2517">
        <v>17.559999999999999</v>
      </c>
      <c r="E2517">
        <v>109.82</v>
      </c>
      <c r="F2517" s="15">
        <f>IFERROR(PRD[[#This Row],[VALOR]]/PRD[[#This Row],[KGS]],"")</f>
        <v>6.2539863325740317</v>
      </c>
      <c r="H2517" s="27"/>
    </row>
    <row r="2518" spans="1:8" x14ac:dyDescent="0.25">
      <c r="A2518" s="21">
        <v>4033400</v>
      </c>
      <c r="B2518" s="1">
        <v>45231</v>
      </c>
      <c r="C2518" t="s">
        <v>274</v>
      </c>
      <c r="D2518">
        <v>1138.5</v>
      </c>
      <c r="E2518">
        <v>3340.39</v>
      </c>
      <c r="F2518" s="15">
        <f>IFERROR(PRD[[#This Row],[VALOR]]/PRD[[#This Row],[KGS]],"")</f>
        <v>2.9340272288098372</v>
      </c>
      <c r="H2518" s="27"/>
    </row>
    <row r="2519" spans="1:8" x14ac:dyDescent="0.25">
      <c r="A2519" s="21">
        <v>4033511</v>
      </c>
      <c r="B2519" s="1">
        <v>45231</v>
      </c>
      <c r="C2519" t="s">
        <v>276</v>
      </c>
      <c r="D2519">
        <v>3082.2</v>
      </c>
      <c r="E2519">
        <v>9764.33</v>
      </c>
      <c r="F2519" s="15">
        <f>IFERROR(PRD[[#This Row],[VALOR]]/PRD[[#This Row],[KGS]],"")</f>
        <v>3.167974174291091</v>
      </c>
      <c r="H2519" s="27"/>
    </row>
    <row r="2520" spans="1:8" x14ac:dyDescent="0.25">
      <c r="A2520" s="21">
        <v>4033900</v>
      </c>
      <c r="B2520" s="1">
        <v>45231</v>
      </c>
      <c r="C2520" t="s">
        <v>278</v>
      </c>
      <c r="D2520">
        <v>12.86</v>
      </c>
      <c r="E2520">
        <v>67.260000000000005</v>
      </c>
      <c r="F2520" s="15">
        <f>IFERROR(PRD[[#This Row],[VALOR]]/PRD[[#This Row],[KGS]],"")</f>
        <v>5.2301710730948683</v>
      </c>
      <c r="H2520" s="27"/>
    </row>
    <row r="2521" spans="1:8" x14ac:dyDescent="0.25">
      <c r="A2521" s="21">
        <v>4034011</v>
      </c>
      <c r="B2521" s="1">
        <v>45231</v>
      </c>
      <c r="C2521" t="s">
        <v>280</v>
      </c>
      <c r="D2521">
        <v>858.22</v>
      </c>
      <c r="E2521">
        <v>4461.3500000000004</v>
      </c>
      <c r="F2521" s="15">
        <f>IFERROR(PRD[[#This Row],[VALOR]]/PRD[[#This Row],[KGS]],"")</f>
        <v>5.198375707860456</v>
      </c>
      <c r="H2521" s="27"/>
    </row>
    <row r="2522" spans="1:8" x14ac:dyDescent="0.25">
      <c r="A2522" s="21">
        <v>4034211</v>
      </c>
      <c r="B2522" s="1">
        <v>45231</v>
      </c>
      <c r="C2522" t="s">
        <v>282</v>
      </c>
      <c r="D2522">
        <v>245.36</v>
      </c>
      <c r="E2522">
        <v>1051.3399999999999</v>
      </c>
      <c r="F2522" s="15">
        <f>IFERROR(PRD[[#This Row],[VALOR]]/PRD[[#This Row],[KGS]],"")</f>
        <v>4.2848875122269314</v>
      </c>
      <c r="H2522" s="27"/>
    </row>
    <row r="2523" spans="1:8" x14ac:dyDescent="0.25">
      <c r="A2523" s="21">
        <v>4034400</v>
      </c>
      <c r="B2523" s="1">
        <v>45231</v>
      </c>
      <c r="C2523" t="s">
        <v>284</v>
      </c>
      <c r="D2523">
        <v>253.7</v>
      </c>
      <c r="E2523">
        <v>666.59</v>
      </c>
      <c r="F2523" s="15">
        <f>IFERROR(PRD[[#This Row],[VALOR]]/PRD[[#This Row],[KGS]],"")</f>
        <v>2.6274733937721719</v>
      </c>
      <c r="H2523" s="27"/>
    </row>
    <row r="2524" spans="1:8" x14ac:dyDescent="0.25">
      <c r="A2524" s="21">
        <v>4034502</v>
      </c>
      <c r="B2524" s="1">
        <v>45231</v>
      </c>
      <c r="C2524" t="s">
        <v>286</v>
      </c>
      <c r="D2524">
        <v>125.04</v>
      </c>
      <c r="E2524">
        <v>354.62</v>
      </c>
      <c r="F2524" s="15">
        <f>IFERROR(PRD[[#This Row],[VALOR]]/PRD[[#This Row],[KGS]],"")</f>
        <v>2.8360524632117721</v>
      </c>
      <c r="H2524" s="27"/>
    </row>
    <row r="2525" spans="1:8" x14ac:dyDescent="0.25">
      <c r="A2525" s="21">
        <v>8040001</v>
      </c>
      <c r="B2525" s="1">
        <v>45231</v>
      </c>
      <c r="C2525" t="s">
        <v>557</v>
      </c>
      <c r="D2525">
        <v>2</v>
      </c>
      <c r="E2525">
        <v>15</v>
      </c>
      <c r="F2525" s="15">
        <f>IFERROR(PRD[[#This Row],[VALOR]]/PRD[[#This Row],[KGS]],"")</f>
        <v>7.5</v>
      </c>
      <c r="H2525" s="27"/>
    </row>
    <row r="2526" spans="1:8" x14ac:dyDescent="0.25">
      <c r="A2526" s="21">
        <v>8040011</v>
      </c>
      <c r="B2526" s="1">
        <v>45231</v>
      </c>
      <c r="C2526" t="s">
        <v>560</v>
      </c>
      <c r="D2526">
        <v>15</v>
      </c>
      <c r="E2526">
        <v>44.85</v>
      </c>
      <c r="F2526" s="15">
        <f>IFERROR(PRD[[#This Row],[VALOR]]/PRD[[#This Row],[KGS]],"")</f>
        <v>2.99</v>
      </c>
      <c r="H2526" s="27"/>
    </row>
    <row r="2527" spans="1:8" x14ac:dyDescent="0.25">
      <c r="A2527" s="21">
        <v>8040012</v>
      </c>
      <c r="B2527" s="1">
        <v>45231</v>
      </c>
      <c r="C2527" t="s">
        <v>561</v>
      </c>
      <c r="D2527">
        <v>5.6</v>
      </c>
      <c r="E2527">
        <v>13.72</v>
      </c>
      <c r="F2527" s="15">
        <f>IFERROR(PRD[[#This Row],[VALOR]]/PRD[[#This Row],[KGS]],"")</f>
        <v>2.4500000000000002</v>
      </c>
      <c r="H2527" s="27"/>
    </row>
    <row r="2528" spans="1:8" x14ac:dyDescent="0.25">
      <c r="A2528" s="21">
        <v>8040040</v>
      </c>
      <c r="B2528" s="1">
        <v>45231</v>
      </c>
      <c r="C2528" t="s">
        <v>698</v>
      </c>
      <c r="D2528">
        <v>504</v>
      </c>
      <c r="E2528">
        <v>2597.35</v>
      </c>
      <c r="F2528" s="15">
        <f>IFERROR(PRD[[#This Row],[VALOR]]/PRD[[#This Row],[KGS]],"")</f>
        <v>5.1534722222222218</v>
      </c>
      <c r="H2528" s="27"/>
    </row>
    <row r="2529" spans="1:8" x14ac:dyDescent="0.25">
      <c r="A2529" s="21">
        <v>8040045</v>
      </c>
      <c r="B2529" s="1">
        <v>45231</v>
      </c>
      <c r="C2529" t="s">
        <v>574</v>
      </c>
      <c r="D2529">
        <v>518.4</v>
      </c>
      <c r="E2529">
        <v>7179.84</v>
      </c>
      <c r="F2529" s="15">
        <f>IFERROR(PRD[[#This Row],[VALOR]]/PRD[[#This Row],[KGS]],"")</f>
        <v>13.850000000000001</v>
      </c>
      <c r="H2529" s="27"/>
    </row>
    <row r="2530" spans="1:8" x14ac:dyDescent="0.25">
      <c r="A2530" s="21">
        <v>8040048</v>
      </c>
      <c r="B2530" s="1">
        <v>45231</v>
      </c>
      <c r="C2530" t="s">
        <v>699</v>
      </c>
      <c r="D2530">
        <v>1683.6</v>
      </c>
      <c r="E2530">
        <v>4227.1400000000003</v>
      </c>
      <c r="F2530" s="15">
        <f>IFERROR(PRD[[#This Row],[VALOR]]/PRD[[#This Row],[KGS]],"")</f>
        <v>2.5107745307674034</v>
      </c>
      <c r="H2530" s="27"/>
    </row>
    <row r="2531" spans="1:8" x14ac:dyDescent="0.25">
      <c r="A2531" s="21">
        <v>8040050</v>
      </c>
      <c r="B2531" s="1">
        <v>45231</v>
      </c>
      <c r="C2531" t="s">
        <v>746</v>
      </c>
      <c r="D2531">
        <v>12.8</v>
      </c>
      <c r="E2531">
        <v>168.32</v>
      </c>
      <c r="F2531" s="15">
        <f>IFERROR(PRD[[#This Row],[VALOR]]/PRD[[#This Row],[KGS]],"")</f>
        <v>13.149999999999999</v>
      </c>
      <c r="H2531" s="27"/>
    </row>
    <row r="2532" spans="1:8" x14ac:dyDescent="0.25">
      <c r="A2532" s="21">
        <v>8040051</v>
      </c>
      <c r="B2532" s="1">
        <v>45231</v>
      </c>
      <c r="C2532" t="s">
        <v>644</v>
      </c>
      <c r="D2532">
        <v>2880</v>
      </c>
      <c r="E2532">
        <v>30816</v>
      </c>
      <c r="F2532" s="15">
        <f>IFERROR(PRD[[#This Row],[VALOR]]/PRD[[#This Row],[KGS]],"")</f>
        <v>10.7</v>
      </c>
      <c r="H2532" s="27"/>
    </row>
    <row r="2533" spans="1:8" x14ac:dyDescent="0.25">
      <c r="A2533" s="21">
        <v>8040053</v>
      </c>
      <c r="B2533" s="1">
        <v>45231</v>
      </c>
      <c r="C2533" t="s">
        <v>747</v>
      </c>
      <c r="D2533">
        <v>35.880000000000003</v>
      </c>
      <c r="E2533">
        <v>398.68</v>
      </c>
      <c r="F2533" s="15">
        <f>IFERROR(PRD[[#This Row],[VALOR]]/PRD[[#This Row],[KGS]],"")</f>
        <v>11.111482720178373</v>
      </c>
      <c r="H2533" s="27"/>
    </row>
    <row r="2534" spans="1:8" x14ac:dyDescent="0.25">
      <c r="A2534" s="21">
        <v>8040054</v>
      </c>
      <c r="B2534" s="1">
        <v>45231</v>
      </c>
      <c r="C2534" t="s">
        <v>645</v>
      </c>
      <c r="D2534">
        <v>3010</v>
      </c>
      <c r="E2534">
        <v>26689.599999999999</v>
      </c>
      <c r="F2534" s="15">
        <f>IFERROR(PRD[[#This Row],[VALOR]]/PRD[[#This Row],[KGS]],"")</f>
        <v>8.8669767441860454</v>
      </c>
      <c r="H2534" s="27"/>
    </row>
    <row r="2535" spans="1:8" x14ac:dyDescent="0.25">
      <c r="A2535" s="21">
        <v>8040057</v>
      </c>
      <c r="B2535" s="1">
        <v>45231</v>
      </c>
      <c r="C2535" t="s">
        <v>734</v>
      </c>
      <c r="D2535">
        <v>11</v>
      </c>
      <c r="E2535">
        <v>52.8</v>
      </c>
      <c r="F2535" s="15">
        <f>IFERROR(PRD[[#This Row],[VALOR]]/PRD[[#This Row],[KGS]],"")</f>
        <v>4.8</v>
      </c>
      <c r="H2535" s="27"/>
    </row>
    <row r="2536" spans="1:8" x14ac:dyDescent="0.25">
      <c r="A2536" s="21">
        <v>8060001</v>
      </c>
      <c r="B2536" s="1">
        <v>45231</v>
      </c>
      <c r="C2536" t="s">
        <v>325</v>
      </c>
      <c r="D2536">
        <v>50</v>
      </c>
      <c r="E2536">
        <v>58</v>
      </c>
      <c r="F2536" s="15">
        <f>IFERROR(PRD[[#This Row],[VALOR]]/PRD[[#This Row],[KGS]],"")</f>
        <v>1.1599999999999999</v>
      </c>
      <c r="H2536" s="27"/>
    </row>
    <row r="2537" spans="1:8" x14ac:dyDescent="0.25">
      <c r="A2537" s="21">
        <v>8070001</v>
      </c>
      <c r="B2537" s="1">
        <v>45231</v>
      </c>
      <c r="C2537" t="s">
        <v>326</v>
      </c>
      <c r="D2537">
        <v>1</v>
      </c>
      <c r="E2537">
        <v>2.4</v>
      </c>
      <c r="F2537" s="15">
        <f>IFERROR(PRD[[#This Row],[VALOR]]/PRD[[#This Row],[KGS]],"")</f>
        <v>2.4</v>
      </c>
      <c r="H2537" s="27"/>
    </row>
    <row r="2538" spans="1:8" x14ac:dyDescent="0.25">
      <c r="A2538" s="21">
        <v>8070012</v>
      </c>
      <c r="B2538" s="1">
        <v>45231</v>
      </c>
      <c r="C2538" t="s">
        <v>372</v>
      </c>
      <c r="D2538">
        <v>32</v>
      </c>
      <c r="E2538">
        <v>80.959999999999994</v>
      </c>
      <c r="F2538" s="15">
        <f>IFERROR(PRD[[#This Row],[VALOR]]/PRD[[#This Row],[KGS]],"")</f>
        <v>2.5299999999999998</v>
      </c>
      <c r="H2538" s="27"/>
    </row>
    <row r="2539" spans="1:8" x14ac:dyDescent="0.25">
      <c r="A2539" s="21">
        <v>8070016</v>
      </c>
      <c r="B2539" s="1">
        <v>45231</v>
      </c>
      <c r="C2539" t="s">
        <v>395</v>
      </c>
      <c r="D2539">
        <v>1272</v>
      </c>
      <c r="E2539">
        <v>6938.4</v>
      </c>
      <c r="F2539" s="15">
        <f>IFERROR(PRD[[#This Row],[VALOR]]/PRD[[#This Row],[KGS]],"")</f>
        <v>5.4547169811320755</v>
      </c>
      <c r="H2539" s="27"/>
    </row>
    <row r="2540" spans="1:8" x14ac:dyDescent="0.25">
      <c r="A2540" s="21">
        <v>8070018</v>
      </c>
      <c r="B2540" s="1">
        <v>45231</v>
      </c>
      <c r="C2540" t="s">
        <v>397</v>
      </c>
      <c r="D2540">
        <v>7.96</v>
      </c>
      <c r="E2540">
        <v>27.38</v>
      </c>
      <c r="F2540" s="15">
        <f>IFERROR(PRD[[#This Row],[VALOR]]/PRD[[#This Row],[KGS]],"")</f>
        <v>3.4396984924623113</v>
      </c>
      <c r="H2540" s="27"/>
    </row>
    <row r="2541" spans="1:8" x14ac:dyDescent="0.25">
      <c r="A2541" s="21">
        <v>8070027</v>
      </c>
      <c r="B2541" s="1">
        <v>45231</v>
      </c>
      <c r="C2541" t="s">
        <v>772</v>
      </c>
      <c r="D2541">
        <v>7.4</v>
      </c>
      <c r="E2541">
        <v>26.86</v>
      </c>
      <c r="F2541" s="15">
        <f>IFERROR(PRD[[#This Row],[VALOR]]/PRD[[#This Row],[KGS]],"")</f>
        <v>3.6297297297297293</v>
      </c>
      <c r="H2541" s="27"/>
    </row>
    <row r="2542" spans="1:8" x14ac:dyDescent="0.25">
      <c r="A2542" s="21">
        <v>8070029</v>
      </c>
      <c r="B2542" s="1">
        <v>45231</v>
      </c>
      <c r="C2542" t="s">
        <v>491</v>
      </c>
      <c r="D2542">
        <v>5230</v>
      </c>
      <c r="E2542">
        <v>18043.5</v>
      </c>
      <c r="F2542" s="15">
        <f>IFERROR(PRD[[#This Row],[VALOR]]/PRD[[#This Row],[KGS]],"")</f>
        <v>3.45</v>
      </c>
      <c r="H2542" s="27"/>
    </row>
    <row r="2543" spans="1:8" x14ac:dyDescent="0.25">
      <c r="A2543" s="21">
        <v>8070048</v>
      </c>
      <c r="B2543" s="1">
        <v>45231</v>
      </c>
      <c r="C2543" t="s">
        <v>588</v>
      </c>
      <c r="D2543">
        <v>5600</v>
      </c>
      <c r="E2543">
        <v>8960</v>
      </c>
      <c r="F2543" s="15">
        <f>IFERROR(PRD[[#This Row],[VALOR]]/PRD[[#This Row],[KGS]],"")</f>
        <v>1.6</v>
      </c>
      <c r="H2543" s="27"/>
    </row>
    <row r="2544" spans="1:8" x14ac:dyDescent="0.25">
      <c r="A2544" s="21">
        <v>8070052</v>
      </c>
      <c r="B2544" s="1">
        <v>45231</v>
      </c>
      <c r="C2544" t="s">
        <v>751</v>
      </c>
      <c r="D2544">
        <v>161.30000000000001</v>
      </c>
      <c r="E2544">
        <v>624.97</v>
      </c>
      <c r="F2544" s="15">
        <f>IFERROR(PRD[[#This Row],[VALOR]]/PRD[[#This Row],[KGS]],"")</f>
        <v>3.8745815251084932</v>
      </c>
      <c r="H2544" s="27"/>
    </row>
    <row r="2545" spans="1:8" x14ac:dyDescent="0.25">
      <c r="A2545" s="21">
        <v>8070054</v>
      </c>
      <c r="B2545" s="1">
        <v>45231</v>
      </c>
      <c r="C2545" t="s">
        <v>662</v>
      </c>
      <c r="D2545">
        <v>0.9</v>
      </c>
      <c r="E2545">
        <v>6.76</v>
      </c>
      <c r="F2545" s="15">
        <f>IFERROR(PRD[[#This Row],[VALOR]]/PRD[[#This Row],[KGS]],"")</f>
        <v>7.5111111111111111</v>
      </c>
      <c r="H2545" s="27"/>
    </row>
    <row r="2546" spans="1:8" x14ac:dyDescent="0.25">
      <c r="A2546" s="21">
        <v>8070060</v>
      </c>
      <c r="B2546" s="1">
        <v>45231</v>
      </c>
      <c r="C2546" t="s">
        <v>701</v>
      </c>
      <c r="D2546">
        <v>560</v>
      </c>
      <c r="E2546">
        <v>1236</v>
      </c>
      <c r="F2546" s="15">
        <f>IFERROR(PRD[[#This Row],[VALOR]]/PRD[[#This Row],[KGS]],"")</f>
        <v>2.2071428571428573</v>
      </c>
      <c r="H2546" s="27"/>
    </row>
    <row r="2547" spans="1:8" x14ac:dyDescent="0.25">
      <c r="A2547" s="21">
        <v>8070061</v>
      </c>
      <c r="B2547" s="1">
        <v>45231</v>
      </c>
      <c r="C2547" t="s">
        <v>752</v>
      </c>
      <c r="D2547">
        <v>9</v>
      </c>
      <c r="E2547">
        <v>23.31</v>
      </c>
      <c r="F2547" s="15">
        <f>IFERROR(PRD[[#This Row],[VALOR]]/PRD[[#This Row],[KGS]],"")</f>
        <v>2.59</v>
      </c>
      <c r="H2547" s="27"/>
    </row>
    <row r="2548" spans="1:8" x14ac:dyDescent="0.25">
      <c r="A2548" s="21">
        <v>8070069</v>
      </c>
      <c r="B2548" s="1">
        <v>45231</v>
      </c>
      <c r="C2548" t="s">
        <v>774</v>
      </c>
      <c r="D2548">
        <v>2520</v>
      </c>
      <c r="E2548">
        <v>3024</v>
      </c>
      <c r="F2548" s="15">
        <f>IFERROR(PRD[[#This Row],[VALOR]]/PRD[[#This Row],[KGS]],"")</f>
        <v>1.2</v>
      </c>
      <c r="H2548" s="27"/>
    </row>
    <row r="2549" spans="1:8" x14ac:dyDescent="0.25">
      <c r="A2549" s="21">
        <v>8120003</v>
      </c>
      <c r="B2549" s="1">
        <v>45231</v>
      </c>
      <c r="C2549" t="s">
        <v>376</v>
      </c>
      <c r="D2549">
        <v>1071</v>
      </c>
      <c r="E2549">
        <v>2962.4</v>
      </c>
      <c r="F2549" s="15">
        <f>IFERROR(PRD[[#This Row],[VALOR]]/PRD[[#This Row],[KGS]],"")</f>
        <v>2.7660130718954248</v>
      </c>
      <c r="H2549" s="27"/>
    </row>
    <row r="2550" spans="1:8" x14ac:dyDescent="0.25">
      <c r="A2550" s="21">
        <v>8120006</v>
      </c>
      <c r="B2550" s="1">
        <v>45231</v>
      </c>
      <c r="C2550" t="s">
        <v>408</v>
      </c>
      <c r="D2550">
        <v>3.26</v>
      </c>
      <c r="E2550">
        <v>25.2</v>
      </c>
      <c r="F2550" s="15">
        <f>IFERROR(PRD[[#This Row],[VALOR]]/PRD[[#This Row],[KGS]],"")</f>
        <v>7.7300613496932522</v>
      </c>
      <c r="H2550" s="27"/>
    </row>
    <row r="2551" spans="1:8" x14ac:dyDescent="0.25">
      <c r="A2551" s="21">
        <v>8120007</v>
      </c>
      <c r="B2551" s="1">
        <v>45231</v>
      </c>
      <c r="C2551" t="s">
        <v>377</v>
      </c>
      <c r="D2551">
        <v>16.78</v>
      </c>
      <c r="E2551">
        <v>159.91</v>
      </c>
      <c r="F2551" s="15">
        <f>IFERROR(PRD[[#This Row],[VALOR]]/PRD[[#This Row],[KGS]],"")</f>
        <v>9.5297973778307501</v>
      </c>
      <c r="H2551" s="27"/>
    </row>
    <row r="2552" spans="1:8" x14ac:dyDescent="0.25">
      <c r="A2552" s="21">
        <v>8120008</v>
      </c>
      <c r="B2552" s="1">
        <v>45231</v>
      </c>
      <c r="C2552" t="s">
        <v>409</v>
      </c>
      <c r="D2552">
        <v>451.21</v>
      </c>
      <c r="E2552">
        <v>4196.3</v>
      </c>
      <c r="F2552" s="15">
        <f>IFERROR(PRD[[#This Row],[VALOR]]/PRD[[#This Row],[KGS]],"")</f>
        <v>9.3001041643580606</v>
      </c>
      <c r="H2552" s="27"/>
    </row>
    <row r="2553" spans="1:8" x14ac:dyDescent="0.25">
      <c r="A2553" s="21">
        <v>8120009</v>
      </c>
      <c r="B2553" s="1">
        <v>45231</v>
      </c>
      <c r="C2553" t="s">
        <v>506</v>
      </c>
      <c r="D2553">
        <v>352.85</v>
      </c>
      <c r="E2553">
        <v>3955</v>
      </c>
      <c r="F2553" s="15">
        <f>IFERROR(PRD[[#This Row],[VALOR]]/PRD[[#This Row],[KGS]],"")</f>
        <v>11.208728921638089</v>
      </c>
      <c r="H2553" s="27"/>
    </row>
    <row r="2554" spans="1:8" x14ac:dyDescent="0.25">
      <c r="A2554" s="21">
        <v>8120031</v>
      </c>
      <c r="B2554" s="1">
        <v>45231</v>
      </c>
      <c r="C2554" t="s">
        <v>782</v>
      </c>
      <c r="D2554">
        <v>9180</v>
      </c>
      <c r="E2554">
        <v>44064</v>
      </c>
      <c r="F2554" s="15">
        <f>IFERROR(PRD[[#This Row],[VALOR]]/PRD[[#This Row],[KGS]],"")</f>
        <v>4.8</v>
      </c>
      <c r="H2554" s="27"/>
    </row>
    <row r="2555" spans="1:8" x14ac:dyDescent="0.25">
      <c r="A2555" s="21">
        <v>8120052</v>
      </c>
      <c r="B2555" s="1">
        <v>45231</v>
      </c>
      <c r="C2555" t="s">
        <v>783</v>
      </c>
      <c r="D2555">
        <v>19.3</v>
      </c>
      <c r="E2555">
        <v>65.650000000000006</v>
      </c>
      <c r="F2555" s="15">
        <f>IFERROR(PRD[[#This Row],[VALOR]]/PRD[[#This Row],[KGS]],"")</f>
        <v>3.4015544041450778</v>
      </c>
      <c r="H2555" s="27"/>
    </row>
    <row r="2556" spans="1:8" x14ac:dyDescent="0.25">
      <c r="A2556" s="21">
        <v>8120053</v>
      </c>
      <c r="B2556" s="1">
        <v>45231</v>
      </c>
      <c r="C2556" t="s">
        <v>784</v>
      </c>
      <c r="D2556">
        <v>720</v>
      </c>
      <c r="E2556">
        <v>4536</v>
      </c>
      <c r="F2556" s="15">
        <f>IFERROR(PRD[[#This Row],[VALOR]]/PRD[[#This Row],[KGS]],"")</f>
        <v>6.3</v>
      </c>
      <c r="H2556" s="27"/>
    </row>
    <row r="2557" spans="1:8" x14ac:dyDescent="0.25">
      <c r="A2557" s="21">
        <v>8130001</v>
      </c>
      <c r="B2557" s="1">
        <v>45231</v>
      </c>
      <c r="C2557" t="s">
        <v>380</v>
      </c>
      <c r="D2557">
        <v>3</v>
      </c>
      <c r="E2557">
        <v>6.78</v>
      </c>
      <c r="F2557" s="15">
        <f>IFERROR(PRD[[#This Row],[VALOR]]/PRD[[#This Row],[KGS]],"")</f>
        <v>2.2600000000000002</v>
      </c>
      <c r="H2557" s="27"/>
    </row>
    <row r="2558" spans="1:8" x14ac:dyDescent="0.25">
      <c r="A2558" s="21">
        <v>8130003</v>
      </c>
      <c r="B2558" s="1">
        <v>45231</v>
      </c>
      <c r="C2558" t="s">
        <v>516</v>
      </c>
      <c r="D2558">
        <v>2</v>
      </c>
      <c r="E2558">
        <v>6.8</v>
      </c>
      <c r="F2558" s="15">
        <f>IFERROR(PRD[[#This Row],[VALOR]]/PRD[[#This Row],[KGS]],"")</f>
        <v>3.4</v>
      </c>
      <c r="H2558" s="27"/>
    </row>
    <row r="2559" spans="1:8" x14ac:dyDescent="0.25">
      <c r="A2559" s="21">
        <v>8130007</v>
      </c>
      <c r="B2559" s="1">
        <v>45231</v>
      </c>
      <c r="C2559" t="s">
        <v>737</v>
      </c>
      <c r="D2559">
        <v>680</v>
      </c>
      <c r="E2559">
        <v>1060.4000000000001</v>
      </c>
      <c r="F2559" s="15">
        <f>IFERROR(PRD[[#This Row],[VALOR]]/PRD[[#This Row],[KGS]],"")</f>
        <v>1.5594117647058825</v>
      </c>
      <c r="H2559" s="27"/>
    </row>
    <row r="2560" spans="1:8" x14ac:dyDescent="0.25">
      <c r="A2560" s="21">
        <v>8130009</v>
      </c>
      <c r="B2560" s="1">
        <v>45231</v>
      </c>
      <c r="C2560" t="s">
        <v>738</v>
      </c>
      <c r="D2560">
        <v>100</v>
      </c>
      <c r="E2560">
        <v>184</v>
      </c>
      <c r="F2560" s="15">
        <f>IFERROR(PRD[[#This Row],[VALOR]]/PRD[[#This Row],[KGS]],"")</f>
        <v>1.84</v>
      </c>
      <c r="H2560" s="27"/>
    </row>
    <row r="2561" spans="1:8" x14ac:dyDescent="0.25">
      <c r="A2561" s="21">
        <v>8130010</v>
      </c>
      <c r="B2561" s="1">
        <v>45231</v>
      </c>
      <c r="C2561" t="s">
        <v>619</v>
      </c>
      <c r="D2561">
        <v>8751</v>
      </c>
      <c r="E2561">
        <v>11343.4</v>
      </c>
      <c r="F2561" s="15">
        <f>IFERROR(PRD[[#This Row],[VALOR]]/PRD[[#This Row],[KGS]],"")</f>
        <v>1.296240429665181</v>
      </c>
      <c r="H2561" s="27"/>
    </row>
    <row r="2562" spans="1:8" x14ac:dyDescent="0.25">
      <c r="A2562" s="21">
        <v>8130013</v>
      </c>
      <c r="B2562" s="1">
        <v>45231</v>
      </c>
      <c r="C2562" t="s">
        <v>416</v>
      </c>
      <c r="D2562">
        <v>3</v>
      </c>
      <c r="E2562">
        <v>7.92</v>
      </c>
      <c r="F2562" s="15">
        <f>IFERROR(PRD[[#This Row],[VALOR]]/PRD[[#This Row],[KGS]],"")</f>
        <v>2.64</v>
      </c>
      <c r="H2562" s="27"/>
    </row>
    <row r="2563" spans="1:8" x14ac:dyDescent="0.25">
      <c r="A2563" s="21">
        <v>8130014</v>
      </c>
      <c r="B2563" s="1">
        <v>45231</v>
      </c>
      <c r="C2563" t="s">
        <v>417</v>
      </c>
      <c r="D2563">
        <v>8</v>
      </c>
      <c r="E2563">
        <v>29.2</v>
      </c>
      <c r="F2563" s="15">
        <f>IFERROR(PRD[[#This Row],[VALOR]]/PRD[[#This Row],[KGS]],"")</f>
        <v>3.65</v>
      </c>
      <c r="H2563" s="27"/>
    </row>
    <row r="2564" spans="1:8" x14ac:dyDescent="0.25">
      <c r="A2564" s="21">
        <v>8130015</v>
      </c>
      <c r="B2564" s="1">
        <v>45231</v>
      </c>
      <c r="C2564" t="s">
        <v>622</v>
      </c>
      <c r="D2564">
        <v>10</v>
      </c>
      <c r="E2564">
        <v>36.479999999999997</v>
      </c>
      <c r="F2564" s="15">
        <f>IFERROR(PRD[[#This Row],[VALOR]]/PRD[[#This Row],[KGS]],"")</f>
        <v>3.6479999999999997</v>
      </c>
      <c r="H2564" s="27"/>
    </row>
    <row r="2565" spans="1:8" x14ac:dyDescent="0.25">
      <c r="A2565" s="21">
        <v>8140001</v>
      </c>
      <c r="B2565" s="1">
        <v>45231</v>
      </c>
      <c r="C2565" t="s">
        <v>381</v>
      </c>
      <c r="D2565">
        <v>2085</v>
      </c>
      <c r="E2565">
        <v>8920</v>
      </c>
      <c r="F2565" s="15">
        <f>IFERROR(PRD[[#This Row],[VALOR]]/PRD[[#This Row],[KGS]],"")</f>
        <v>4.2781774580335732</v>
      </c>
      <c r="H2565" s="27"/>
    </row>
    <row r="2566" spans="1:8" x14ac:dyDescent="0.25">
      <c r="A2566" s="21">
        <v>8140006</v>
      </c>
      <c r="B2566" s="1">
        <v>45231</v>
      </c>
      <c r="C2566" t="s">
        <v>423</v>
      </c>
      <c r="D2566">
        <v>20</v>
      </c>
      <c r="E2566">
        <v>46.4</v>
      </c>
      <c r="F2566" s="15">
        <f>IFERROR(PRD[[#This Row],[VALOR]]/PRD[[#This Row],[KGS]],"")</f>
        <v>2.3199999999999998</v>
      </c>
      <c r="H2566" s="27"/>
    </row>
    <row r="2567" spans="1:8" x14ac:dyDescent="0.25">
      <c r="A2567" s="21">
        <v>8140013</v>
      </c>
      <c r="B2567" s="1">
        <v>45231</v>
      </c>
      <c r="C2567" t="s">
        <v>674</v>
      </c>
      <c r="D2567">
        <v>941</v>
      </c>
      <c r="E2567">
        <v>523.21</v>
      </c>
      <c r="F2567" s="15">
        <f>IFERROR(PRD[[#This Row],[VALOR]]/PRD[[#This Row],[KGS]],"")</f>
        <v>0.55601487778958558</v>
      </c>
      <c r="H2567" s="27"/>
    </row>
    <row r="2568" spans="1:8" x14ac:dyDescent="0.25">
      <c r="A2568" s="21">
        <v>8140014</v>
      </c>
      <c r="B2568" s="1">
        <v>45231</v>
      </c>
      <c r="C2568" t="s">
        <v>675</v>
      </c>
      <c r="D2568">
        <v>62</v>
      </c>
      <c r="E2568">
        <v>62.04</v>
      </c>
      <c r="F2568" s="15">
        <f>IFERROR(PRD[[#This Row],[VALOR]]/PRD[[#This Row],[KGS]],"")</f>
        <v>1.0006451612903227</v>
      </c>
      <c r="H2568" s="27"/>
    </row>
    <row r="2569" spans="1:8" x14ac:dyDescent="0.25">
      <c r="A2569" s="21">
        <v>8140015</v>
      </c>
      <c r="B2569" s="1">
        <v>45231</v>
      </c>
      <c r="C2569" t="s">
        <v>676</v>
      </c>
      <c r="D2569">
        <v>489</v>
      </c>
      <c r="E2569">
        <v>460.56</v>
      </c>
      <c r="F2569" s="15">
        <f>IFERROR(PRD[[#This Row],[VALOR]]/PRD[[#This Row],[KGS]],"")</f>
        <v>0.94184049079754606</v>
      </c>
      <c r="H2569" s="27"/>
    </row>
    <row r="2570" spans="1:8" x14ac:dyDescent="0.25">
      <c r="A2570" s="21">
        <v>8140016</v>
      </c>
      <c r="B2570" s="1">
        <v>45231</v>
      </c>
      <c r="C2570" t="s">
        <v>677</v>
      </c>
      <c r="D2570">
        <v>104</v>
      </c>
      <c r="E2570">
        <v>382.88</v>
      </c>
      <c r="F2570" s="15">
        <f>IFERROR(PRD[[#This Row],[VALOR]]/PRD[[#This Row],[KGS]],"")</f>
        <v>3.6815384615384614</v>
      </c>
      <c r="H2570" s="27"/>
    </row>
    <row r="2571" spans="1:8" x14ac:dyDescent="0.25">
      <c r="A2571" s="21">
        <v>8140023</v>
      </c>
      <c r="B2571" s="1">
        <v>45231</v>
      </c>
      <c r="C2571" t="s">
        <v>785</v>
      </c>
      <c r="D2571">
        <v>30</v>
      </c>
      <c r="E2571">
        <v>54</v>
      </c>
      <c r="F2571" s="15">
        <f>IFERROR(PRD[[#This Row],[VALOR]]/PRD[[#This Row],[KGS]],"")</f>
        <v>1.8</v>
      </c>
      <c r="H2571" s="27"/>
    </row>
    <row r="2572" spans="1:8" x14ac:dyDescent="0.25">
      <c r="A2572" s="21">
        <v>8140024</v>
      </c>
      <c r="B2572" s="1">
        <v>45231</v>
      </c>
      <c r="C2572" t="s">
        <v>786</v>
      </c>
      <c r="D2572">
        <v>30</v>
      </c>
      <c r="E2572">
        <v>57</v>
      </c>
      <c r="F2572" s="15">
        <f>IFERROR(PRD[[#This Row],[VALOR]]/PRD[[#This Row],[KGS]],"")</f>
        <v>1.9</v>
      </c>
      <c r="H2572" s="27"/>
    </row>
    <row r="2573" spans="1:8" x14ac:dyDescent="0.25">
      <c r="A2573" s="21">
        <v>8150001</v>
      </c>
      <c r="B2573" s="1">
        <v>45231</v>
      </c>
      <c r="C2573" t="s">
        <v>382</v>
      </c>
      <c r="D2573">
        <v>2</v>
      </c>
      <c r="E2573">
        <v>20.6</v>
      </c>
      <c r="F2573" s="15">
        <f>IFERROR(PRD[[#This Row],[VALOR]]/PRD[[#This Row],[KGS]],"")</f>
        <v>10.3</v>
      </c>
      <c r="H2573" s="27"/>
    </row>
    <row r="2574" spans="1:8" x14ac:dyDescent="0.25">
      <c r="A2574" s="21">
        <v>8150002</v>
      </c>
      <c r="B2574" s="1">
        <v>45231</v>
      </c>
      <c r="C2574" t="s">
        <v>383</v>
      </c>
      <c r="D2574">
        <v>400</v>
      </c>
      <c r="E2574">
        <v>3340</v>
      </c>
      <c r="F2574" s="15">
        <f>IFERROR(PRD[[#This Row],[VALOR]]/PRD[[#This Row],[KGS]],"")</f>
        <v>8.35</v>
      </c>
      <c r="H2574" s="27"/>
    </row>
    <row r="2575" spans="1:8" x14ac:dyDescent="0.25">
      <c r="A2575" s="21">
        <v>8150003</v>
      </c>
      <c r="B2575" s="1">
        <v>45231</v>
      </c>
      <c r="C2575" t="s">
        <v>384</v>
      </c>
      <c r="D2575">
        <v>109</v>
      </c>
      <c r="E2575">
        <v>808.4</v>
      </c>
      <c r="F2575" s="15">
        <f>IFERROR(PRD[[#This Row],[VALOR]]/PRD[[#This Row],[KGS]],"")</f>
        <v>7.4165137614678898</v>
      </c>
      <c r="H2575" s="27"/>
    </row>
    <row r="2576" spans="1:8" x14ac:dyDescent="0.25">
      <c r="A2576" s="21">
        <v>8150004</v>
      </c>
      <c r="B2576" s="1">
        <v>45231</v>
      </c>
      <c r="C2576" t="s">
        <v>625</v>
      </c>
      <c r="D2576">
        <v>7564</v>
      </c>
      <c r="E2576">
        <v>49161.47</v>
      </c>
      <c r="F2576" s="15">
        <f>IFERROR(PRD[[#This Row],[VALOR]]/PRD[[#This Row],[KGS]],"")</f>
        <v>6.4994011105235323</v>
      </c>
      <c r="H2576" s="27"/>
    </row>
    <row r="2577" spans="1:8" x14ac:dyDescent="0.25">
      <c r="A2577" s="21">
        <v>8150005</v>
      </c>
      <c r="B2577" s="1">
        <v>45231</v>
      </c>
      <c r="C2577" t="s">
        <v>386</v>
      </c>
      <c r="D2577">
        <v>2521</v>
      </c>
      <c r="E2577">
        <v>13734</v>
      </c>
      <c r="F2577" s="15">
        <f>IFERROR(PRD[[#This Row],[VALOR]]/PRD[[#This Row],[KGS]],"")</f>
        <v>5.4478381594605318</v>
      </c>
      <c r="H2577" s="27"/>
    </row>
    <row r="2578" spans="1:8" x14ac:dyDescent="0.25">
      <c r="A2578" s="21">
        <v>8150009</v>
      </c>
      <c r="B2578" s="1">
        <v>45231</v>
      </c>
      <c r="C2578" t="s">
        <v>678</v>
      </c>
      <c r="D2578">
        <v>1</v>
      </c>
      <c r="E2578">
        <v>0</v>
      </c>
      <c r="F2578" s="15">
        <f>IFERROR(PRD[[#This Row],[VALOR]]/PRD[[#This Row],[KGS]],"")</f>
        <v>0</v>
      </c>
      <c r="H2578" s="27"/>
    </row>
    <row r="2579" spans="1:8" x14ac:dyDescent="0.25">
      <c r="A2579" s="21">
        <v>8150011</v>
      </c>
      <c r="B2579" s="1">
        <v>45231</v>
      </c>
      <c r="C2579" t="s">
        <v>532</v>
      </c>
      <c r="D2579">
        <v>1040</v>
      </c>
      <c r="E2579">
        <v>5619</v>
      </c>
      <c r="F2579" s="15">
        <f>IFERROR(PRD[[#This Row],[VALOR]]/PRD[[#This Row],[KGS]],"")</f>
        <v>5.4028846153846155</v>
      </c>
      <c r="H2579" s="27"/>
    </row>
    <row r="2580" spans="1:8" x14ac:dyDescent="0.25">
      <c r="A2580" s="21">
        <v>8150012</v>
      </c>
      <c r="B2580" s="1">
        <v>45231</v>
      </c>
      <c r="C2580" t="s">
        <v>626</v>
      </c>
      <c r="D2580">
        <v>4240</v>
      </c>
      <c r="E2580">
        <v>20691.2</v>
      </c>
      <c r="F2580" s="15">
        <f>IFERROR(PRD[[#This Row],[VALOR]]/PRD[[#This Row],[KGS]],"")</f>
        <v>4.88</v>
      </c>
      <c r="H2580" s="27"/>
    </row>
    <row r="2581" spans="1:8" x14ac:dyDescent="0.25">
      <c r="A2581" s="21">
        <v>8150013</v>
      </c>
      <c r="B2581" s="1">
        <v>45231</v>
      </c>
      <c r="C2581" t="s">
        <v>536</v>
      </c>
      <c r="D2581">
        <v>1920</v>
      </c>
      <c r="E2581">
        <v>8832</v>
      </c>
      <c r="F2581" s="15">
        <f>IFERROR(PRD[[#This Row],[VALOR]]/PRD[[#This Row],[KGS]],"")</f>
        <v>4.5999999999999996</v>
      </c>
      <c r="H2581" s="27"/>
    </row>
    <row r="2582" spans="1:8" x14ac:dyDescent="0.25">
      <c r="A2582" s="21">
        <v>8150014</v>
      </c>
      <c r="B2582" s="1">
        <v>45231</v>
      </c>
      <c r="C2582" t="s">
        <v>538</v>
      </c>
      <c r="D2582">
        <v>7</v>
      </c>
      <c r="E2582">
        <v>28.35</v>
      </c>
      <c r="F2582" s="15">
        <f>IFERROR(PRD[[#This Row],[VALOR]]/PRD[[#This Row],[KGS]],"")</f>
        <v>4.05</v>
      </c>
      <c r="H2582" s="27"/>
    </row>
    <row r="2583" spans="1:8" x14ac:dyDescent="0.25">
      <c r="A2583" s="21">
        <v>8150019</v>
      </c>
      <c r="B2583" s="1">
        <v>45231</v>
      </c>
      <c r="C2583" t="s">
        <v>680</v>
      </c>
      <c r="D2583">
        <v>10</v>
      </c>
      <c r="E2583">
        <v>50</v>
      </c>
      <c r="F2583" s="15">
        <f>IFERROR(PRD[[#This Row],[VALOR]]/PRD[[#This Row],[KGS]],"")</f>
        <v>5</v>
      </c>
      <c r="H2583" s="27"/>
    </row>
    <row r="2584" spans="1:8" x14ac:dyDescent="0.25">
      <c r="A2584" s="21">
        <v>8150020</v>
      </c>
      <c r="B2584" s="1">
        <v>45231</v>
      </c>
      <c r="C2584" t="s">
        <v>706</v>
      </c>
      <c r="D2584">
        <v>5</v>
      </c>
      <c r="E2584">
        <v>44.3</v>
      </c>
      <c r="F2584" s="15">
        <f>IFERROR(PRD[[#This Row],[VALOR]]/PRD[[#This Row],[KGS]],"")</f>
        <v>8.86</v>
      </c>
      <c r="H2584" s="27"/>
    </row>
    <row r="2585" spans="1:8" x14ac:dyDescent="0.25">
      <c r="A2585" s="21">
        <v>8150021</v>
      </c>
      <c r="B2585" s="1">
        <v>45231</v>
      </c>
      <c r="C2585" t="s">
        <v>739</v>
      </c>
      <c r="D2585">
        <v>1</v>
      </c>
      <c r="E2585">
        <v>0</v>
      </c>
      <c r="F2585" s="15">
        <f>IFERROR(PRD[[#This Row],[VALOR]]/PRD[[#This Row],[KGS]],"")</f>
        <v>0</v>
      </c>
      <c r="H2585" s="27"/>
    </row>
    <row r="2586" spans="1:8" x14ac:dyDescent="0.25">
      <c r="A2586" s="21">
        <v>8150025</v>
      </c>
      <c r="B2586" s="1">
        <v>45231</v>
      </c>
      <c r="C2586" t="s">
        <v>679</v>
      </c>
      <c r="D2586">
        <v>648</v>
      </c>
      <c r="E2586">
        <v>5961.6</v>
      </c>
      <c r="F2586" s="15">
        <f>IFERROR(PRD[[#This Row],[VALOR]]/PRD[[#This Row],[KGS]],"")</f>
        <v>9.2000000000000011</v>
      </c>
      <c r="H2586" s="27"/>
    </row>
    <row r="2587" spans="1:8" x14ac:dyDescent="0.25">
      <c r="A2587" s="21">
        <v>8150028</v>
      </c>
      <c r="B2587" s="1">
        <v>45231</v>
      </c>
      <c r="C2587" t="s">
        <v>787</v>
      </c>
      <c r="D2587">
        <v>800</v>
      </c>
      <c r="E2587">
        <v>20400</v>
      </c>
      <c r="F2587" s="15">
        <f>IFERROR(PRD[[#This Row],[VALOR]]/PRD[[#This Row],[KGS]],"")</f>
        <v>25.5</v>
      </c>
      <c r="H2587" s="27"/>
    </row>
    <row r="2588" spans="1:8" x14ac:dyDescent="0.25">
      <c r="A2588" s="21">
        <v>1010200</v>
      </c>
      <c r="B2588" s="1">
        <v>45261</v>
      </c>
      <c r="C2588" t="s">
        <v>331</v>
      </c>
      <c r="D2588" s="16">
        <v>735.7</v>
      </c>
      <c r="E2588" s="17">
        <v>220.71</v>
      </c>
      <c r="F2588" s="15">
        <f>IFERROR(PRD[[#This Row],[VALOR]]/PRD[[#This Row],[KGS]],"")</f>
        <v>0.3</v>
      </c>
      <c r="H2588" s="27"/>
    </row>
    <row r="2589" spans="1:8" x14ac:dyDescent="0.25">
      <c r="A2589" s="21">
        <v>1010300</v>
      </c>
      <c r="B2589" s="1">
        <v>45261</v>
      </c>
      <c r="C2589" t="s">
        <v>333</v>
      </c>
      <c r="D2589" s="16">
        <v>113.2</v>
      </c>
      <c r="E2589" s="17">
        <v>33.96</v>
      </c>
      <c r="F2589" s="15">
        <f>IFERROR(PRD[[#This Row],[VALOR]]/PRD[[#This Row],[KGS]],"")</f>
        <v>0.3</v>
      </c>
      <c r="H2589" s="27"/>
    </row>
    <row r="2590" spans="1:8" x14ac:dyDescent="0.25">
      <c r="A2590" s="21">
        <v>1010500</v>
      </c>
      <c r="B2590" s="1">
        <v>45261</v>
      </c>
      <c r="C2590" t="s">
        <v>6</v>
      </c>
      <c r="D2590" s="16">
        <v>1420</v>
      </c>
      <c r="E2590" s="17">
        <v>1111.04</v>
      </c>
      <c r="F2590" s="15">
        <f>IFERROR(PRD[[#This Row],[VALOR]]/PRD[[#This Row],[KGS]],"")</f>
        <v>0.78242253521126759</v>
      </c>
      <c r="H2590" s="27"/>
    </row>
    <row r="2591" spans="1:8" x14ac:dyDescent="0.25">
      <c r="A2591" s="21">
        <v>1010600</v>
      </c>
      <c r="B2591" s="1">
        <v>45261</v>
      </c>
      <c r="C2591" t="s">
        <v>334</v>
      </c>
      <c r="D2591" s="16">
        <v>3325.7</v>
      </c>
      <c r="E2591" s="17">
        <v>2659.56</v>
      </c>
      <c r="F2591" s="15">
        <f>IFERROR(PRD[[#This Row],[VALOR]]/PRD[[#This Row],[KGS]],"")</f>
        <v>0.79969931142315909</v>
      </c>
      <c r="H2591" s="27"/>
    </row>
    <row r="2592" spans="1:8" x14ac:dyDescent="0.25">
      <c r="A2592" s="21">
        <v>1010700</v>
      </c>
      <c r="B2592" s="1">
        <v>45261</v>
      </c>
      <c r="C2592" t="s">
        <v>10</v>
      </c>
      <c r="D2592" s="16">
        <v>683.45</v>
      </c>
      <c r="E2592" s="17">
        <v>1427.65</v>
      </c>
      <c r="F2592" s="15">
        <f>IFERROR(PRD[[#This Row],[VALOR]]/PRD[[#This Row],[KGS]],"")</f>
        <v>2.0888872631501938</v>
      </c>
      <c r="H2592" s="27"/>
    </row>
    <row r="2593" spans="1:8" x14ac:dyDescent="0.25">
      <c r="A2593" s="21">
        <v>1010701</v>
      </c>
      <c r="B2593" s="1">
        <v>45261</v>
      </c>
      <c r="C2593" t="s">
        <v>12</v>
      </c>
      <c r="D2593" s="16">
        <v>208.74</v>
      </c>
      <c r="E2593" s="17">
        <v>1737.37</v>
      </c>
      <c r="F2593" s="15">
        <f>IFERROR(PRD[[#This Row],[VALOR]]/PRD[[#This Row],[KGS]],"")</f>
        <v>8.3231292517006796</v>
      </c>
      <c r="H2593" s="27"/>
    </row>
    <row r="2594" spans="1:8" x14ac:dyDescent="0.25">
      <c r="A2594" s="21">
        <v>1010732</v>
      </c>
      <c r="B2594" s="1">
        <v>45261</v>
      </c>
      <c r="C2594" t="s">
        <v>14</v>
      </c>
      <c r="D2594" s="18">
        <v>50</v>
      </c>
      <c r="E2594" s="17">
        <v>410</v>
      </c>
      <c r="F2594" s="15">
        <f>IFERROR(PRD[[#This Row],[VALOR]]/PRD[[#This Row],[KGS]],"")</f>
        <v>8.1999999999999993</v>
      </c>
      <c r="H2594" s="27"/>
    </row>
    <row r="2595" spans="1:8" x14ac:dyDescent="0.25">
      <c r="A2595" s="21">
        <v>1010902</v>
      </c>
      <c r="B2595" s="1">
        <v>45261</v>
      </c>
      <c r="C2595" t="s">
        <v>431</v>
      </c>
      <c r="D2595" s="16">
        <v>688.8</v>
      </c>
      <c r="E2595" s="17">
        <v>866.36</v>
      </c>
      <c r="F2595" s="15">
        <f>IFERROR(PRD[[#This Row],[VALOR]]/PRD[[#This Row],[KGS]],"")</f>
        <v>1.257781649245064</v>
      </c>
      <c r="H2595" s="27"/>
    </row>
    <row r="2596" spans="1:8" x14ac:dyDescent="0.25">
      <c r="A2596" s="21">
        <v>1010903</v>
      </c>
      <c r="B2596" s="1">
        <v>45261</v>
      </c>
      <c r="C2596" t="s">
        <v>629</v>
      </c>
      <c r="D2596" s="16">
        <v>255.5</v>
      </c>
      <c r="E2596" s="17">
        <v>217.48</v>
      </c>
      <c r="F2596" s="15">
        <f>IFERROR(PRD[[#This Row],[VALOR]]/PRD[[#This Row],[KGS]],"")</f>
        <v>0.85119373776908025</v>
      </c>
      <c r="H2596" s="27"/>
    </row>
    <row r="2597" spans="1:8" x14ac:dyDescent="0.25">
      <c r="A2597" s="21">
        <v>1011000</v>
      </c>
      <c r="B2597" s="1">
        <v>45261</v>
      </c>
      <c r="C2597" t="s">
        <v>20</v>
      </c>
      <c r="D2597" s="17">
        <v>1021.32</v>
      </c>
      <c r="E2597" s="17">
        <v>708.67</v>
      </c>
      <c r="F2597" s="15">
        <f>IFERROR(PRD[[#This Row],[VALOR]]/PRD[[#This Row],[KGS]],"")</f>
        <v>0.69387655191321029</v>
      </c>
      <c r="H2597" s="27"/>
    </row>
    <row r="2598" spans="1:8" x14ac:dyDescent="0.25">
      <c r="A2598" s="21">
        <v>1011200</v>
      </c>
      <c r="B2598" s="1">
        <v>45261</v>
      </c>
      <c r="C2598" t="s">
        <v>24</v>
      </c>
      <c r="D2598" s="16">
        <v>64.400000000000006</v>
      </c>
      <c r="E2598" s="17">
        <v>91.17</v>
      </c>
      <c r="F2598" s="15">
        <f>IFERROR(PRD[[#This Row],[VALOR]]/PRD[[#This Row],[KGS]],"")</f>
        <v>1.4156832298136646</v>
      </c>
      <c r="H2598" s="27"/>
    </row>
    <row r="2599" spans="1:8" x14ac:dyDescent="0.25">
      <c r="A2599" s="21">
        <v>1011201</v>
      </c>
      <c r="B2599" s="1">
        <v>45261</v>
      </c>
      <c r="C2599" t="s">
        <v>338</v>
      </c>
      <c r="D2599" s="16">
        <v>94.3</v>
      </c>
      <c r="E2599" s="17">
        <v>254.61</v>
      </c>
      <c r="F2599" s="15">
        <f>IFERROR(PRD[[#This Row],[VALOR]]/PRD[[#This Row],[KGS]],"")</f>
        <v>2.7</v>
      </c>
      <c r="H2599" s="27"/>
    </row>
    <row r="2600" spans="1:8" x14ac:dyDescent="0.25">
      <c r="A2600" s="21">
        <v>1011202</v>
      </c>
      <c r="B2600" s="1">
        <v>45261</v>
      </c>
      <c r="C2600" t="s">
        <v>340</v>
      </c>
      <c r="D2600" s="16">
        <v>386.1</v>
      </c>
      <c r="E2600" s="17">
        <v>77.22</v>
      </c>
      <c r="F2600" s="15">
        <f>IFERROR(PRD[[#This Row],[VALOR]]/PRD[[#This Row],[KGS]],"")</f>
        <v>0.19999999999999998</v>
      </c>
      <c r="H2600" s="27"/>
    </row>
    <row r="2601" spans="1:8" x14ac:dyDescent="0.25">
      <c r="A2601" s="21">
        <v>1011203</v>
      </c>
      <c r="B2601" s="1">
        <v>45261</v>
      </c>
      <c r="C2601" t="s">
        <v>342</v>
      </c>
      <c r="D2601" s="16">
        <v>95.5</v>
      </c>
      <c r="E2601" s="17">
        <v>57.3</v>
      </c>
      <c r="F2601" s="15">
        <f>IFERROR(PRD[[#This Row],[VALOR]]/PRD[[#This Row],[KGS]],"")</f>
        <v>0.6</v>
      </c>
      <c r="H2601" s="27"/>
    </row>
    <row r="2602" spans="1:8" x14ac:dyDescent="0.25">
      <c r="A2602" s="21">
        <v>1011204</v>
      </c>
      <c r="B2602" s="1">
        <v>45261</v>
      </c>
      <c r="C2602" t="s">
        <v>344</v>
      </c>
      <c r="D2602" s="16">
        <v>106.7</v>
      </c>
      <c r="E2602" s="17">
        <v>181.39</v>
      </c>
      <c r="F2602" s="15">
        <f>IFERROR(PRD[[#This Row],[VALOR]]/PRD[[#This Row],[KGS]],"")</f>
        <v>1.6999999999999997</v>
      </c>
      <c r="H2602" s="27"/>
    </row>
    <row r="2603" spans="1:8" x14ac:dyDescent="0.25">
      <c r="A2603" s="21">
        <v>1011211</v>
      </c>
      <c r="B2603" s="1">
        <v>45261</v>
      </c>
      <c r="C2603" t="s">
        <v>685</v>
      </c>
      <c r="D2603" s="16">
        <v>213.4</v>
      </c>
      <c r="E2603" s="17">
        <v>74.7</v>
      </c>
      <c r="F2603" s="15">
        <f>IFERROR(PRD[[#This Row],[VALOR]]/PRD[[#This Row],[KGS]],"")</f>
        <v>0.35004686035613869</v>
      </c>
      <c r="H2603" s="27"/>
    </row>
    <row r="2604" spans="1:8" x14ac:dyDescent="0.25">
      <c r="A2604" s="21">
        <v>1011300</v>
      </c>
      <c r="B2604" s="1">
        <v>45261</v>
      </c>
      <c r="C2604" t="s">
        <v>295</v>
      </c>
      <c r="D2604" s="17">
        <v>9793.2000000000007</v>
      </c>
      <c r="E2604" s="17">
        <v>2791.9</v>
      </c>
      <c r="F2604" s="15">
        <f>IFERROR(PRD[[#This Row],[VALOR]]/PRD[[#This Row],[KGS]],"")</f>
        <v>0.28508556957889147</v>
      </c>
      <c r="H2604" s="27"/>
    </row>
    <row r="2605" spans="1:8" x14ac:dyDescent="0.25">
      <c r="A2605" s="21">
        <v>1011400</v>
      </c>
      <c r="B2605" s="1">
        <v>45261</v>
      </c>
      <c r="C2605" t="s">
        <v>25</v>
      </c>
      <c r="D2605" s="18">
        <v>6</v>
      </c>
      <c r="E2605" s="17">
        <v>15</v>
      </c>
      <c r="F2605" s="15">
        <f>IFERROR(PRD[[#This Row],[VALOR]]/PRD[[#This Row],[KGS]],"")</f>
        <v>2.5</v>
      </c>
      <c r="H2605" s="27"/>
    </row>
    <row r="2606" spans="1:8" x14ac:dyDescent="0.25">
      <c r="A2606" s="21">
        <v>1011500</v>
      </c>
      <c r="B2606" s="1">
        <v>45261</v>
      </c>
      <c r="C2606" t="s">
        <v>27</v>
      </c>
      <c r="D2606" s="16">
        <v>951.52</v>
      </c>
      <c r="E2606" s="17">
        <v>751.65</v>
      </c>
      <c r="F2606" s="15">
        <f>IFERROR(PRD[[#This Row],[VALOR]]/PRD[[#This Row],[KGS]],"")</f>
        <v>0.7899466117370102</v>
      </c>
      <c r="H2606" s="27"/>
    </row>
    <row r="2607" spans="1:8" x14ac:dyDescent="0.25">
      <c r="A2607" s="21">
        <v>1011604</v>
      </c>
      <c r="B2607" s="1">
        <v>45261</v>
      </c>
      <c r="C2607" t="s">
        <v>29</v>
      </c>
      <c r="D2607" s="17">
        <v>20173</v>
      </c>
      <c r="E2607" s="17">
        <v>1613.84</v>
      </c>
      <c r="F2607" s="15">
        <f>IFERROR(PRD[[#This Row],[VALOR]]/PRD[[#This Row],[KGS]],"")</f>
        <v>0.08</v>
      </c>
      <c r="H2607" s="27"/>
    </row>
    <row r="2608" spans="1:8" x14ac:dyDescent="0.25">
      <c r="A2608" s="21">
        <v>1011700</v>
      </c>
      <c r="B2608" s="1">
        <v>45261</v>
      </c>
      <c r="C2608" t="s">
        <v>31</v>
      </c>
      <c r="D2608" s="16">
        <v>194.99</v>
      </c>
      <c r="E2608" s="17">
        <v>321.25</v>
      </c>
      <c r="F2608" s="15">
        <f>IFERROR(PRD[[#This Row],[VALOR]]/PRD[[#This Row],[KGS]],"")</f>
        <v>1.6475203856608029</v>
      </c>
      <c r="H2608" s="27"/>
    </row>
    <row r="2609" spans="1:8" x14ac:dyDescent="0.25">
      <c r="A2609" s="21">
        <v>1011800</v>
      </c>
      <c r="B2609" s="1">
        <v>45261</v>
      </c>
      <c r="C2609" t="s">
        <v>33</v>
      </c>
      <c r="D2609" s="17">
        <v>2172.4499999999998</v>
      </c>
      <c r="E2609" s="17">
        <v>3649.37</v>
      </c>
      <c r="F2609" s="15">
        <f>IFERROR(PRD[[#This Row],[VALOR]]/PRD[[#This Row],[KGS]],"")</f>
        <v>1.6798407328131835</v>
      </c>
      <c r="H2609" s="27"/>
    </row>
    <row r="2610" spans="1:8" x14ac:dyDescent="0.25">
      <c r="A2610" s="21">
        <v>1011901</v>
      </c>
      <c r="B2610" s="1">
        <v>45261</v>
      </c>
      <c r="C2610" t="s">
        <v>37</v>
      </c>
      <c r="D2610" s="16">
        <v>187.4</v>
      </c>
      <c r="E2610" s="17">
        <v>134.25</v>
      </c>
      <c r="F2610" s="15">
        <f>IFERROR(PRD[[#This Row],[VALOR]]/PRD[[#This Row],[KGS]],"")</f>
        <v>0.71638207043756663</v>
      </c>
      <c r="H2610" s="27"/>
    </row>
    <row r="2611" spans="1:8" x14ac:dyDescent="0.25">
      <c r="A2611" s="21">
        <v>1012100</v>
      </c>
      <c r="B2611" s="1">
        <v>45261</v>
      </c>
      <c r="C2611" t="s">
        <v>302</v>
      </c>
      <c r="D2611" s="16">
        <v>476.2</v>
      </c>
      <c r="E2611" s="17">
        <v>1333.36</v>
      </c>
      <c r="F2611" s="15">
        <f>IFERROR(PRD[[#This Row],[VALOR]]/PRD[[#This Row],[KGS]],"")</f>
        <v>2.8</v>
      </c>
      <c r="H2611" s="27"/>
    </row>
    <row r="2612" spans="1:8" x14ac:dyDescent="0.25">
      <c r="A2612" s="21">
        <v>1012200</v>
      </c>
      <c r="B2612" s="1">
        <v>45261</v>
      </c>
      <c r="C2612" t="s">
        <v>39</v>
      </c>
      <c r="D2612" s="17">
        <v>1281.7</v>
      </c>
      <c r="E2612" s="17">
        <v>2127.54</v>
      </c>
      <c r="F2612" s="15">
        <f>IFERROR(PRD[[#This Row],[VALOR]]/PRD[[#This Row],[KGS]],"")</f>
        <v>1.6599360224701567</v>
      </c>
      <c r="H2612" s="27"/>
    </row>
    <row r="2613" spans="1:8" x14ac:dyDescent="0.25">
      <c r="A2613" s="21">
        <v>1012201</v>
      </c>
      <c r="B2613" s="1">
        <v>45261</v>
      </c>
      <c r="C2613" t="s">
        <v>41</v>
      </c>
      <c r="D2613" s="16">
        <v>351.12</v>
      </c>
      <c r="E2613" s="17">
        <v>689.13</v>
      </c>
      <c r="F2613" s="15">
        <f>IFERROR(PRD[[#This Row],[VALOR]]/PRD[[#This Row],[KGS]],"")</f>
        <v>1.9626623376623376</v>
      </c>
      <c r="H2613" s="27"/>
    </row>
    <row r="2614" spans="1:8" x14ac:dyDescent="0.25">
      <c r="A2614" s="21">
        <v>1012203</v>
      </c>
      <c r="B2614" s="1">
        <v>45261</v>
      </c>
      <c r="C2614" t="s">
        <v>43</v>
      </c>
      <c r="D2614" s="17">
        <v>1303.3</v>
      </c>
      <c r="E2614" s="17">
        <v>2327.5</v>
      </c>
      <c r="F2614" s="15">
        <f>IFERROR(PRD[[#This Row],[VALOR]]/PRD[[#This Row],[KGS]],"")</f>
        <v>1.7858513005447709</v>
      </c>
      <c r="H2614" s="27"/>
    </row>
    <row r="2615" spans="1:8" x14ac:dyDescent="0.25">
      <c r="A2615" s="21">
        <v>1012300</v>
      </c>
      <c r="B2615" s="1">
        <v>45261</v>
      </c>
      <c r="C2615" t="s">
        <v>45</v>
      </c>
      <c r="D2615" s="16">
        <v>332.22</v>
      </c>
      <c r="E2615" s="17">
        <v>490.28</v>
      </c>
      <c r="F2615" s="15">
        <f>IFERROR(PRD[[#This Row],[VALOR]]/PRD[[#This Row],[KGS]],"")</f>
        <v>1.4757690686894225</v>
      </c>
      <c r="H2615" s="27"/>
    </row>
    <row r="2616" spans="1:8" x14ac:dyDescent="0.25">
      <c r="A2616" s="21">
        <v>1012301</v>
      </c>
      <c r="B2616" s="1">
        <v>45261</v>
      </c>
      <c r="C2616" t="s">
        <v>47</v>
      </c>
      <c r="D2616" s="18">
        <v>100</v>
      </c>
      <c r="E2616" s="17">
        <v>87.5</v>
      </c>
      <c r="F2616" s="15">
        <f>IFERROR(PRD[[#This Row],[VALOR]]/PRD[[#This Row],[KGS]],"")</f>
        <v>0.875</v>
      </c>
      <c r="H2616" s="27"/>
    </row>
    <row r="2617" spans="1:8" x14ac:dyDescent="0.25">
      <c r="A2617" s="21">
        <v>1012400</v>
      </c>
      <c r="B2617" s="1">
        <v>45261</v>
      </c>
      <c r="C2617" t="s">
        <v>49</v>
      </c>
      <c r="D2617" s="17">
        <v>1007.61</v>
      </c>
      <c r="E2617" s="17">
        <v>1743.81</v>
      </c>
      <c r="F2617" s="15">
        <f>IFERROR(PRD[[#This Row],[VALOR]]/PRD[[#This Row],[KGS]],"")</f>
        <v>1.7306398308869502</v>
      </c>
      <c r="H2617" s="27"/>
    </row>
    <row r="2618" spans="1:8" x14ac:dyDescent="0.25">
      <c r="A2618" s="21">
        <v>1012401</v>
      </c>
      <c r="B2618" s="1">
        <v>45261</v>
      </c>
      <c r="C2618" t="s">
        <v>51</v>
      </c>
      <c r="D2618" s="16">
        <v>56.95</v>
      </c>
      <c r="E2618" s="17">
        <v>92.59</v>
      </c>
      <c r="F2618" s="15">
        <f>IFERROR(PRD[[#This Row],[VALOR]]/PRD[[#This Row],[KGS]],"")</f>
        <v>1.6258121158911325</v>
      </c>
      <c r="H2618" s="27"/>
    </row>
    <row r="2619" spans="1:8" x14ac:dyDescent="0.25">
      <c r="A2619" s="21">
        <v>1012500</v>
      </c>
      <c r="B2619" s="1">
        <v>45261</v>
      </c>
      <c r="C2619" t="s">
        <v>53</v>
      </c>
      <c r="D2619" s="17">
        <v>1185.8</v>
      </c>
      <c r="E2619" s="17">
        <v>299.8</v>
      </c>
      <c r="F2619" s="15">
        <f>IFERROR(PRD[[#This Row],[VALOR]]/PRD[[#This Row],[KGS]],"")</f>
        <v>0.25282509698094113</v>
      </c>
      <c r="H2619" s="27"/>
    </row>
    <row r="2620" spans="1:8" x14ac:dyDescent="0.25">
      <c r="A2620" s="21">
        <v>1012601</v>
      </c>
      <c r="B2620" s="1">
        <v>45261</v>
      </c>
      <c r="C2620" t="s">
        <v>55</v>
      </c>
      <c r="D2620" s="16">
        <v>119.44</v>
      </c>
      <c r="E2620" s="17">
        <v>119.44</v>
      </c>
      <c r="F2620" s="15">
        <f>IFERROR(PRD[[#This Row],[VALOR]]/PRD[[#This Row],[KGS]],"")</f>
        <v>1</v>
      </c>
      <c r="H2620" s="27"/>
    </row>
    <row r="2621" spans="1:8" x14ac:dyDescent="0.25">
      <c r="A2621" s="21">
        <v>1012700</v>
      </c>
      <c r="B2621" s="1">
        <v>45261</v>
      </c>
      <c r="C2621" t="s">
        <v>630</v>
      </c>
      <c r="D2621" s="16">
        <v>137.19999999999999</v>
      </c>
      <c r="E2621" s="17">
        <v>178.36</v>
      </c>
      <c r="F2621" s="15">
        <f>IFERROR(PRD[[#This Row],[VALOR]]/PRD[[#This Row],[KGS]],"")</f>
        <v>1.3000000000000003</v>
      </c>
      <c r="H2621" s="27"/>
    </row>
    <row r="2622" spans="1:8" x14ac:dyDescent="0.25">
      <c r="A2622" s="21">
        <v>1012800</v>
      </c>
      <c r="B2622" s="1">
        <v>45261</v>
      </c>
      <c r="C2622" t="s">
        <v>439</v>
      </c>
      <c r="D2622" s="19">
        <v>5.7</v>
      </c>
      <c r="E2622" s="17">
        <v>4.5599999999999996</v>
      </c>
      <c r="F2622" s="15">
        <f>IFERROR(PRD[[#This Row],[VALOR]]/PRD[[#This Row],[KGS]],"")</f>
        <v>0.79999999999999993</v>
      </c>
      <c r="H2622" s="27"/>
    </row>
    <row r="2623" spans="1:8" x14ac:dyDescent="0.25">
      <c r="A2623" s="21">
        <v>1013100</v>
      </c>
      <c r="B2623" s="1">
        <v>45261</v>
      </c>
      <c r="C2623" t="s">
        <v>57</v>
      </c>
      <c r="D2623" s="19">
        <v>161.1</v>
      </c>
      <c r="E2623" s="17">
        <v>205.96</v>
      </c>
      <c r="F2623" s="15">
        <f>IFERROR(PRD[[#This Row],[VALOR]]/PRD[[#This Row],[KGS]],"")</f>
        <v>1.2784605834885165</v>
      </c>
      <c r="H2623" s="27"/>
    </row>
    <row r="2624" spans="1:8" x14ac:dyDescent="0.25">
      <c r="A2624" s="21">
        <v>1013101</v>
      </c>
      <c r="B2624" s="1">
        <v>45261</v>
      </c>
      <c r="C2624" t="s">
        <v>346</v>
      </c>
      <c r="D2624">
        <v>4086</v>
      </c>
      <c r="E2624" s="17">
        <v>2451.6</v>
      </c>
      <c r="F2624" s="15">
        <f>IFERROR(PRD[[#This Row],[VALOR]]/PRD[[#This Row],[KGS]],"")</f>
        <v>0.6</v>
      </c>
      <c r="H2624" s="27"/>
    </row>
    <row r="2625" spans="1:8" x14ac:dyDescent="0.25">
      <c r="A2625" s="21">
        <v>1013200</v>
      </c>
      <c r="B2625" s="1">
        <v>45261</v>
      </c>
      <c r="C2625" t="s">
        <v>59</v>
      </c>
      <c r="D2625">
        <v>1884.8</v>
      </c>
      <c r="E2625" s="17">
        <v>2041.27</v>
      </c>
      <c r="F2625" s="15">
        <f>IFERROR(PRD[[#This Row],[VALOR]]/PRD[[#This Row],[KGS]],"")</f>
        <v>1.0830167657045842</v>
      </c>
      <c r="H2625" s="27"/>
    </row>
    <row r="2626" spans="1:8" x14ac:dyDescent="0.25">
      <c r="A2626" s="21">
        <v>1013300</v>
      </c>
      <c r="B2626" s="1">
        <v>45261</v>
      </c>
      <c r="C2626" t="s">
        <v>348</v>
      </c>
      <c r="D2626" s="19">
        <v>747.6</v>
      </c>
      <c r="E2626" s="17">
        <v>224.28</v>
      </c>
      <c r="F2626" s="15">
        <f>IFERROR(PRD[[#This Row],[VALOR]]/PRD[[#This Row],[KGS]],"")</f>
        <v>0.3</v>
      </c>
      <c r="H2626" s="27"/>
    </row>
    <row r="2627" spans="1:8" x14ac:dyDescent="0.25">
      <c r="A2627" s="21">
        <v>1013400</v>
      </c>
      <c r="B2627" s="1">
        <v>45261</v>
      </c>
      <c r="C2627" t="s">
        <v>788</v>
      </c>
      <c r="D2627" s="19">
        <v>5.0999999999999996</v>
      </c>
      <c r="E2627" s="17">
        <v>4.08</v>
      </c>
      <c r="F2627" s="15">
        <f>IFERROR(PRD[[#This Row],[VALOR]]/PRD[[#This Row],[KGS]],"")</f>
        <v>0.8</v>
      </c>
      <c r="H2627" s="27"/>
    </row>
    <row r="2628" spans="1:8" x14ac:dyDescent="0.25">
      <c r="A2628" s="21">
        <v>1013500</v>
      </c>
      <c r="B2628" s="1">
        <v>45261</v>
      </c>
      <c r="C2628" t="s">
        <v>61</v>
      </c>
      <c r="D2628" s="19">
        <v>12.9</v>
      </c>
      <c r="E2628" s="17">
        <v>6.45</v>
      </c>
      <c r="F2628" s="15">
        <f>IFERROR(PRD[[#This Row],[VALOR]]/PRD[[#This Row],[KGS]],"")</f>
        <v>0.5</v>
      </c>
      <c r="H2628" s="27"/>
    </row>
    <row r="2629" spans="1:8" x14ac:dyDescent="0.25">
      <c r="A2629" s="21">
        <v>1100100</v>
      </c>
      <c r="B2629" s="1">
        <v>45261</v>
      </c>
      <c r="C2629" t="s">
        <v>63</v>
      </c>
      <c r="D2629">
        <v>69852.740000000005</v>
      </c>
      <c r="E2629">
        <v>173931.85</v>
      </c>
      <c r="F2629" s="15">
        <f>IFERROR(PRD[[#This Row],[VALOR]]/PRD[[#This Row],[KGS]],"")</f>
        <v>2.4899789185077061</v>
      </c>
      <c r="H2629" s="27"/>
    </row>
    <row r="2630" spans="1:8" x14ac:dyDescent="0.25">
      <c r="A2630" s="21">
        <v>1100101</v>
      </c>
      <c r="B2630" s="1">
        <v>45261</v>
      </c>
      <c r="C2630" t="s">
        <v>65</v>
      </c>
      <c r="D2630" s="19">
        <v>265.60000000000002</v>
      </c>
      <c r="E2630" s="17">
        <v>666.6</v>
      </c>
      <c r="F2630" s="15">
        <f>IFERROR(PRD[[#This Row],[VALOR]]/PRD[[#This Row],[KGS]],"")</f>
        <v>2.509789156626506</v>
      </c>
      <c r="H2630" s="27"/>
    </row>
    <row r="2631" spans="1:8" x14ac:dyDescent="0.25">
      <c r="A2631" s="21">
        <v>1100102</v>
      </c>
      <c r="B2631" s="1">
        <v>45261</v>
      </c>
      <c r="C2631" t="s">
        <v>789</v>
      </c>
      <c r="D2631" s="19">
        <v>852.7</v>
      </c>
      <c r="E2631" s="17">
        <v>2153.83</v>
      </c>
      <c r="F2631" s="15">
        <f>IFERROR(PRD[[#This Row],[VALOR]]/PRD[[#This Row],[KGS]],"")</f>
        <v>2.5258942183651927</v>
      </c>
      <c r="H2631" s="27"/>
    </row>
    <row r="2632" spans="1:8" x14ac:dyDescent="0.25">
      <c r="A2632" s="21">
        <v>1100200</v>
      </c>
      <c r="B2632" s="1">
        <v>45261</v>
      </c>
      <c r="C2632" t="s">
        <v>67</v>
      </c>
      <c r="D2632" s="17">
        <v>20339.71</v>
      </c>
      <c r="E2632" s="17">
        <v>57622.55</v>
      </c>
      <c r="F2632" s="15">
        <f>IFERROR(PRD[[#This Row],[VALOR]]/PRD[[#This Row],[KGS]],"")</f>
        <v>2.8330074519253228</v>
      </c>
      <c r="H2632" s="27"/>
    </row>
    <row r="2633" spans="1:8" x14ac:dyDescent="0.25">
      <c r="A2633" s="21">
        <v>1100300</v>
      </c>
      <c r="B2633" s="1">
        <v>45261</v>
      </c>
      <c r="C2633" t="s">
        <v>69</v>
      </c>
      <c r="D2633" s="17">
        <v>4278.75</v>
      </c>
      <c r="E2633" s="17">
        <v>11971.06</v>
      </c>
      <c r="F2633" s="15">
        <f>IFERROR(PRD[[#This Row],[VALOR]]/PRD[[#This Row],[KGS]],"")</f>
        <v>2.797793748174116</v>
      </c>
      <c r="H2633" s="27"/>
    </row>
    <row r="2634" spans="1:8" x14ac:dyDescent="0.25">
      <c r="A2634" s="21">
        <v>1100301</v>
      </c>
      <c r="B2634" s="1">
        <v>45261</v>
      </c>
      <c r="C2634" t="s">
        <v>71</v>
      </c>
      <c r="D2634" s="19">
        <v>105.5</v>
      </c>
      <c r="E2634" s="17">
        <v>332.33</v>
      </c>
      <c r="F2634" s="15">
        <f>IFERROR(PRD[[#This Row],[VALOR]]/PRD[[#This Row],[KGS]],"")</f>
        <v>3.1500473933649289</v>
      </c>
      <c r="H2634" s="27"/>
    </row>
    <row r="2635" spans="1:8" x14ac:dyDescent="0.25">
      <c r="A2635" s="21">
        <v>1100400</v>
      </c>
      <c r="B2635" s="1">
        <v>45261</v>
      </c>
      <c r="C2635" t="s">
        <v>73</v>
      </c>
      <c r="D2635" s="17">
        <v>15560.39</v>
      </c>
      <c r="E2635" s="17">
        <v>38003.050000000003</v>
      </c>
      <c r="F2635" s="15">
        <f>IFERROR(PRD[[#This Row],[VALOR]]/PRD[[#This Row],[KGS]],"")</f>
        <v>2.4422941841431998</v>
      </c>
      <c r="H2635" s="27"/>
    </row>
    <row r="2636" spans="1:8" x14ac:dyDescent="0.25">
      <c r="A2636" s="21">
        <v>1100500</v>
      </c>
      <c r="B2636" s="1">
        <v>45261</v>
      </c>
      <c r="C2636" t="s">
        <v>75</v>
      </c>
      <c r="D2636" s="19">
        <v>191.7</v>
      </c>
      <c r="E2636" s="17">
        <v>526.88</v>
      </c>
      <c r="F2636" s="15">
        <f>IFERROR(PRD[[#This Row],[VALOR]]/PRD[[#This Row],[KGS]],"")</f>
        <v>2.7484611371935319</v>
      </c>
      <c r="H2636" s="27"/>
    </row>
    <row r="2637" spans="1:8" x14ac:dyDescent="0.25">
      <c r="A2637" s="21">
        <v>1100600</v>
      </c>
      <c r="B2637" s="1">
        <v>45261</v>
      </c>
      <c r="C2637" t="s">
        <v>77</v>
      </c>
      <c r="D2637" s="17">
        <v>10142.280000000001</v>
      </c>
      <c r="E2637" s="17">
        <v>32596.57</v>
      </c>
      <c r="F2637" s="15">
        <f>IFERROR(PRD[[#This Row],[VALOR]]/PRD[[#This Row],[KGS]],"")</f>
        <v>3.2139292151271706</v>
      </c>
      <c r="H2637" s="27"/>
    </row>
    <row r="2638" spans="1:8" x14ac:dyDescent="0.25">
      <c r="A2638" s="21">
        <v>1100602</v>
      </c>
      <c r="B2638" s="1">
        <v>45261</v>
      </c>
      <c r="C2638" t="s">
        <v>79</v>
      </c>
      <c r="D2638" s="19">
        <v>623.62</v>
      </c>
      <c r="E2638" s="17">
        <v>3305.21</v>
      </c>
      <c r="F2638" s="15">
        <f>IFERROR(PRD[[#This Row],[VALOR]]/PRD[[#This Row],[KGS]],"")</f>
        <v>5.3000384849748245</v>
      </c>
      <c r="H2638" s="27"/>
    </row>
    <row r="2639" spans="1:8" x14ac:dyDescent="0.25">
      <c r="A2639" s="21">
        <v>1100603</v>
      </c>
      <c r="B2639" s="1">
        <v>45261</v>
      </c>
      <c r="C2639" t="s">
        <v>304</v>
      </c>
      <c r="D2639" s="18">
        <v>240</v>
      </c>
      <c r="E2639" s="17">
        <v>1301.5999999999999</v>
      </c>
      <c r="F2639" s="15">
        <f>IFERROR(PRD[[#This Row],[VALOR]]/PRD[[#This Row],[KGS]],"")</f>
        <v>5.4233333333333329</v>
      </c>
      <c r="H2639" s="27"/>
    </row>
    <row r="2640" spans="1:8" x14ac:dyDescent="0.25">
      <c r="A2640" s="21">
        <v>1100608</v>
      </c>
      <c r="B2640" s="1">
        <v>45261</v>
      </c>
      <c r="C2640" t="s">
        <v>349</v>
      </c>
      <c r="D2640" s="17">
        <v>3018.5</v>
      </c>
      <c r="E2640" s="17">
        <v>9297.6</v>
      </c>
      <c r="F2640" s="15">
        <f>IFERROR(PRD[[#This Row],[VALOR]]/PRD[[#This Row],[KGS]],"")</f>
        <v>3.0802054000331291</v>
      </c>
      <c r="H2640" s="27"/>
    </row>
    <row r="2641" spans="1:8" x14ac:dyDescent="0.25">
      <c r="A2641" s="21">
        <v>1100700</v>
      </c>
      <c r="B2641" s="1">
        <v>45261</v>
      </c>
      <c r="C2641" t="s">
        <v>83</v>
      </c>
      <c r="D2641" s="17">
        <v>21899.85</v>
      </c>
      <c r="E2641" s="17">
        <v>70368.52</v>
      </c>
      <c r="F2641" s="15">
        <f>IFERROR(PRD[[#This Row],[VALOR]]/PRD[[#This Row],[KGS]],"")</f>
        <v>3.2131964374185213</v>
      </c>
      <c r="H2641" s="27"/>
    </row>
    <row r="2642" spans="1:8" x14ac:dyDescent="0.25">
      <c r="A2642" s="21">
        <v>1100701</v>
      </c>
      <c r="B2642" s="1">
        <v>45261</v>
      </c>
      <c r="C2642" t="s">
        <v>84</v>
      </c>
      <c r="D2642" s="19">
        <v>434.8</v>
      </c>
      <c r="E2642" s="17">
        <v>1652.76</v>
      </c>
      <c r="F2642" s="15">
        <f>IFERROR(PRD[[#This Row],[VALOR]]/PRD[[#This Row],[KGS]],"")</f>
        <v>3.8011959521619132</v>
      </c>
      <c r="H2642" s="27"/>
    </row>
    <row r="2643" spans="1:8" x14ac:dyDescent="0.25">
      <c r="A2643" s="21">
        <v>1100703</v>
      </c>
      <c r="B2643" s="1">
        <v>45261</v>
      </c>
      <c r="C2643" t="s">
        <v>86</v>
      </c>
      <c r="D2643" s="17">
        <v>1848.3</v>
      </c>
      <c r="E2643" s="17">
        <v>6672.76</v>
      </c>
      <c r="F2643" s="15">
        <f>IFERROR(PRD[[#This Row],[VALOR]]/PRD[[#This Row],[KGS]],"")</f>
        <v>3.6102147919710004</v>
      </c>
      <c r="H2643" s="27"/>
    </row>
    <row r="2644" spans="1:8" x14ac:dyDescent="0.25">
      <c r="A2644" s="21">
        <v>1100704</v>
      </c>
      <c r="B2644" s="1">
        <v>45261</v>
      </c>
      <c r="C2644" t="s">
        <v>718</v>
      </c>
      <c r="D2644" s="19">
        <v>10.199999999999999</v>
      </c>
      <c r="E2644" s="17">
        <v>54.06</v>
      </c>
      <c r="F2644" s="15">
        <f>IFERROR(PRD[[#This Row],[VALOR]]/PRD[[#This Row],[KGS]],"")</f>
        <v>5.3000000000000007</v>
      </c>
      <c r="H2644" s="27"/>
    </row>
    <row r="2645" spans="1:8" x14ac:dyDescent="0.25">
      <c r="A2645" s="21">
        <v>1100705</v>
      </c>
      <c r="B2645" s="1">
        <v>45261</v>
      </c>
      <c r="C2645" t="s">
        <v>88</v>
      </c>
      <c r="D2645" s="19">
        <v>172.48</v>
      </c>
      <c r="E2645" s="17">
        <v>299.58999999999997</v>
      </c>
      <c r="F2645" s="15">
        <f>IFERROR(PRD[[#This Row],[VALOR]]/PRD[[#This Row],[KGS]],"")</f>
        <v>1.7369550092764379</v>
      </c>
      <c r="H2645" s="27"/>
    </row>
    <row r="2646" spans="1:8" x14ac:dyDescent="0.25">
      <c r="A2646" s="21">
        <v>1100707</v>
      </c>
      <c r="B2646" s="1">
        <v>45261</v>
      </c>
      <c r="C2646" t="s">
        <v>686</v>
      </c>
      <c r="D2646" s="19">
        <v>483.45</v>
      </c>
      <c r="E2646" s="17">
        <v>1837.11</v>
      </c>
      <c r="F2646" s="15">
        <f>IFERROR(PRD[[#This Row],[VALOR]]/PRD[[#This Row],[KGS]],"")</f>
        <v>3.8</v>
      </c>
      <c r="H2646" s="27"/>
    </row>
    <row r="2647" spans="1:8" x14ac:dyDescent="0.25">
      <c r="A2647" s="21">
        <v>1100708</v>
      </c>
      <c r="B2647" s="1">
        <v>45261</v>
      </c>
      <c r="C2647" t="s">
        <v>790</v>
      </c>
      <c r="D2647" s="19">
        <v>568.61</v>
      </c>
      <c r="E2647" s="17">
        <v>2391.1</v>
      </c>
      <c r="F2647" s="15">
        <f>IFERROR(PRD[[#This Row],[VALOR]]/PRD[[#This Row],[KGS]],"")</f>
        <v>4.20516698615923</v>
      </c>
      <c r="H2647" s="27"/>
    </row>
    <row r="2648" spans="1:8" x14ac:dyDescent="0.25">
      <c r="A2648" s="21">
        <v>1100709</v>
      </c>
      <c r="B2648" s="1">
        <v>45261</v>
      </c>
      <c r="C2648" t="s">
        <v>764</v>
      </c>
      <c r="D2648" s="19">
        <v>711.69</v>
      </c>
      <c r="E2648" s="17">
        <v>2740.02</v>
      </c>
      <c r="F2648" s="15">
        <f>IFERROR(PRD[[#This Row],[VALOR]]/PRD[[#This Row],[KGS]],"")</f>
        <v>3.8500189689331026</v>
      </c>
      <c r="H2648" s="27"/>
    </row>
    <row r="2649" spans="1:8" x14ac:dyDescent="0.25">
      <c r="A2649" s="21">
        <v>1100800</v>
      </c>
      <c r="B2649" s="1">
        <v>45261</v>
      </c>
      <c r="C2649" t="s">
        <v>90</v>
      </c>
      <c r="D2649" s="17">
        <v>17223.900000000001</v>
      </c>
      <c r="E2649" s="17">
        <v>50336.78</v>
      </c>
      <c r="F2649" s="15">
        <f>IFERROR(PRD[[#This Row],[VALOR]]/PRD[[#This Row],[KGS]],"")</f>
        <v>2.9224960665122297</v>
      </c>
      <c r="H2649" s="27"/>
    </row>
    <row r="2650" spans="1:8" x14ac:dyDescent="0.25">
      <c r="A2650" s="21">
        <v>1100801</v>
      </c>
      <c r="B2650" s="1">
        <v>45261</v>
      </c>
      <c r="C2650" t="s">
        <v>92</v>
      </c>
      <c r="D2650" s="17">
        <v>1457</v>
      </c>
      <c r="E2650" s="17">
        <v>4079.6</v>
      </c>
      <c r="F2650" s="15">
        <f>IFERROR(PRD[[#This Row],[VALOR]]/PRD[[#This Row],[KGS]],"")</f>
        <v>2.8</v>
      </c>
      <c r="H2650" s="27"/>
    </row>
    <row r="2651" spans="1:8" x14ac:dyDescent="0.25">
      <c r="A2651" s="21">
        <v>1100802</v>
      </c>
      <c r="B2651" s="1">
        <v>45261</v>
      </c>
      <c r="C2651" t="s">
        <v>306</v>
      </c>
      <c r="D2651" s="19">
        <v>169.1</v>
      </c>
      <c r="E2651" s="17">
        <v>495.46</v>
      </c>
      <c r="F2651" s="15">
        <f>IFERROR(PRD[[#This Row],[VALOR]]/PRD[[#This Row],[KGS]],"")</f>
        <v>2.9299822590183324</v>
      </c>
      <c r="H2651" s="27"/>
    </row>
    <row r="2652" spans="1:8" x14ac:dyDescent="0.25">
      <c r="A2652" s="21">
        <v>1100900</v>
      </c>
      <c r="B2652" s="1">
        <v>45261</v>
      </c>
      <c r="C2652" t="s">
        <v>94</v>
      </c>
      <c r="D2652" s="17">
        <v>1094.51</v>
      </c>
      <c r="E2652" s="17">
        <v>5523.03</v>
      </c>
      <c r="F2652" s="15">
        <f>IFERROR(PRD[[#This Row],[VALOR]]/PRD[[#This Row],[KGS]],"")</f>
        <v>5.046121095284648</v>
      </c>
      <c r="H2652" s="27"/>
    </row>
    <row r="2653" spans="1:8" x14ac:dyDescent="0.25">
      <c r="A2653" s="21">
        <v>1100901</v>
      </c>
      <c r="B2653" s="1">
        <v>45261</v>
      </c>
      <c r="C2653" t="s">
        <v>791</v>
      </c>
      <c r="D2653" s="19">
        <v>316.81</v>
      </c>
      <c r="E2653" s="17">
        <v>1252.06</v>
      </c>
      <c r="F2653" s="15">
        <f>IFERROR(PRD[[#This Row],[VALOR]]/PRD[[#This Row],[KGS]],"")</f>
        <v>3.9520848458066347</v>
      </c>
      <c r="H2653" s="27"/>
    </row>
    <row r="2654" spans="1:8" x14ac:dyDescent="0.25">
      <c r="A2654" s="21">
        <v>1101000</v>
      </c>
      <c r="B2654" s="1">
        <v>45261</v>
      </c>
      <c r="C2654" t="s">
        <v>96</v>
      </c>
      <c r="D2654" s="17">
        <v>12045.88</v>
      </c>
      <c r="E2654" s="17">
        <v>41574.730000000003</v>
      </c>
      <c r="F2654" s="15">
        <f>IFERROR(PRD[[#This Row],[VALOR]]/PRD[[#This Row],[KGS]],"")</f>
        <v>3.451365114047293</v>
      </c>
      <c r="H2654" s="27"/>
    </row>
    <row r="2655" spans="1:8" x14ac:dyDescent="0.25">
      <c r="A2655" s="21">
        <v>1101001</v>
      </c>
      <c r="B2655" s="1">
        <v>45261</v>
      </c>
      <c r="C2655" t="s">
        <v>98</v>
      </c>
      <c r="D2655" s="19">
        <v>177.2</v>
      </c>
      <c r="E2655" s="17">
        <v>747.49</v>
      </c>
      <c r="F2655" s="15">
        <f>IFERROR(PRD[[#This Row],[VALOR]]/PRD[[#This Row],[KGS]],"")</f>
        <v>4.218340857787811</v>
      </c>
      <c r="H2655" s="27"/>
    </row>
    <row r="2656" spans="1:8" x14ac:dyDescent="0.25">
      <c r="A2656" s="21">
        <v>1101002</v>
      </c>
      <c r="B2656" s="1">
        <v>45261</v>
      </c>
      <c r="C2656" t="s">
        <v>687</v>
      </c>
      <c r="D2656" s="19">
        <v>1.94</v>
      </c>
      <c r="E2656" s="17">
        <v>7.66</v>
      </c>
      <c r="F2656" s="15">
        <f>IFERROR(PRD[[#This Row],[VALOR]]/PRD[[#This Row],[KGS]],"")</f>
        <v>3.9484536082474229</v>
      </c>
      <c r="H2656" s="27"/>
    </row>
    <row r="2657" spans="1:8" x14ac:dyDescent="0.25">
      <c r="A2657" s="21">
        <v>1101100</v>
      </c>
      <c r="B2657" s="1">
        <v>45261</v>
      </c>
      <c r="C2657" t="s">
        <v>100</v>
      </c>
      <c r="D2657" s="17">
        <v>30379.9</v>
      </c>
      <c r="E2657" s="17">
        <v>93860.61</v>
      </c>
      <c r="F2657" s="15">
        <f>IFERROR(PRD[[#This Row],[VALOR]]/PRD[[#This Row],[KGS]],"")</f>
        <v>3.0895628359540352</v>
      </c>
      <c r="H2657" s="27"/>
    </row>
    <row r="2658" spans="1:8" x14ac:dyDescent="0.25">
      <c r="A2658" s="21">
        <v>1101102</v>
      </c>
      <c r="B2658" s="1">
        <v>45261</v>
      </c>
      <c r="C2658" t="s">
        <v>742</v>
      </c>
      <c r="D2658" s="17">
        <v>1398.7</v>
      </c>
      <c r="E2658" s="17">
        <v>4885.12</v>
      </c>
      <c r="F2658" s="15">
        <f>IFERROR(PRD[[#This Row],[VALOR]]/PRD[[#This Row],[KGS]],"")</f>
        <v>3.4926145706727674</v>
      </c>
      <c r="H2658" s="27"/>
    </row>
    <row r="2659" spans="1:8" x14ac:dyDescent="0.25">
      <c r="A2659" s="21">
        <v>1101103</v>
      </c>
      <c r="B2659" s="1">
        <v>45261</v>
      </c>
      <c r="C2659" t="s">
        <v>350</v>
      </c>
      <c r="D2659" s="17">
        <v>1638.1</v>
      </c>
      <c r="E2659" s="17">
        <v>4930.03</v>
      </c>
      <c r="F2659" s="15">
        <f>IFERROR(PRD[[#This Row],[VALOR]]/PRD[[#This Row],[KGS]],"")</f>
        <v>3.0096025883645687</v>
      </c>
      <c r="H2659" s="27"/>
    </row>
    <row r="2660" spans="1:8" x14ac:dyDescent="0.25">
      <c r="A2660" s="21">
        <v>1101108</v>
      </c>
      <c r="B2660" s="1">
        <v>45261</v>
      </c>
      <c r="C2660" t="s">
        <v>743</v>
      </c>
      <c r="D2660" s="19">
        <v>503.4</v>
      </c>
      <c r="E2660" s="17">
        <v>1849.34</v>
      </c>
      <c r="F2660" s="15">
        <f>IFERROR(PRD[[#This Row],[VALOR]]/PRD[[#This Row],[KGS]],"")</f>
        <v>3.6736988478347237</v>
      </c>
      <c r="H2660" s="27"/>
    </row>
    <row r="2661" spans="1:8" x14ac:dyDescent="0.25">
      <c r="A2661" s="21">
        <v>1101300</v>
      </c>
      <c r="B2661" s="1">
        <v>45261</v>
      </c>
      <c r="C2661" t="s">
        <v>102</v>
      </c>
      <c r="D2661" s="19">
        <v>297.7</v>
      </c>
      <c r="E2661" s="17">
        <v>1078.18</v>
      </c>
      <c r="F2661" s="15">
        <f>IFERROR(PRD[[#This Row],[VALOR]]/PRD[[#This Row],[KGS]],"")</f>
        <v>3.6216996976822307</v>
      </c>
      <c r="H2661" s="27"/>
    </row>
    <row r="2662" spans="1:8" x14ac:dyDescent="0.25">
      <c r="A2662" s="21">
        <v>1101400</v>
      </c>
      <c r="B2662" s="1">
        <v>45261</v>
      </c>
      <c r="C2662" t="s">
        <v>104</v>
      </c>
      <c r="D2662" s="17">
        <v>25267.64</v>
      </c>
      <c r="E2662" s="17">
        <v>63137.73</v>
      </c>
      <c r="F2662" s="15">
        <f>IFERROR(PRD[[#This Row],[VALOR]]/PRD[[#This Row],[KGS]],"")</f>
        <v>2.4987584910977048</v>
      </c>
      <c r="H2662" s="27"/>
    </row>
    <row r="2663" spans="1:8" x14ac:dyDescent="0.25">
      <c r="A2663" s="21">
        <v>1101500</v>
      </c>
      <c r="B2663" s="1">
        <v>45261</v>
      </c>
      <c r="C2663" t="s">
        <v>106</v>
      </c>
      <c r="D2663" s="17">
        <v>1111.4000000000001</v>
      </c>
      <c r="E2663" s="17">
        <v>2931.94</v>
      </c>
      <c r="F2663" s="15">
        <f>IFERROR(PRD[[#This Row],[VALOR]]/PRD[[#This Row],[KGS]],"")</f>
        <v>2.6380601043728631</v>
      </c>
      <c r="H2663" s="27"/>
    </row>
    <row r="2664" spans="1:8" x14ac:dyDescent="0.25">
      <c r="A2664" s="21">
        <v>1101600</v>
      </c>
      <c r="B2664" s="1">
        <v>45261</v>
      </c>
      <c r="C2664" t="s">
        <v>108</v>
      </c>
      <c r="D2664" s="19">
        <v>64.2</v>
      </c>
      <c r="E2664" s="17">
        <v>175.36</v>
      </c>
      <c r="F2664" s="15">
        <f>IFERROR(PRD[[#This Row],[VALOR]]/PRD[[#This Row],[KGS]],"")</f>
        <v>2.7314641744548287</v>
      </c>
      <c r="H2664" s="27"/>
    </row>
    <row r="2665" spans="1:8" x14ac:dyDescent="0.25">
      <c r="A2665" s="21">
        <v>1101700</v>
      </c>
      <c r="B2665" s="1">
        <v>45261</v>
      </c>
      <c r="C2665" t="s">
        <v>110</v>
      </c>
      <c r="D2665" s="17">
        <v>1712.15</v>
      </c>
      <c r="E2665" s="17">
        <v>4281.4799999999996</v>
      </c>
      <c r="F2665" s="15">
        <f>IFERROR(PRD[[#This Row],[VALOR]]/PRD[[#This Row],[KGS]],"")</f>
        <v>2.5006453873784418</v>
      </c>
      <c r="H2665" s="27"/>
    </row>
    <row r="2666" spans="1:8" x14ac:dyDescent="0.25">
      <c r="A2666" s="21">
        <v>1101801</v>
      </c>
      <c r="B2666" s="1">
        <v>45261</v>
      </c>
      <c r="C2666" t="s">
        <v>112</v>
      </c>
      <c r="D2666" s="17">
        <v>1274.05</v>
      </c>
      <c r="E2666" s="17">
        <v>3086.21</v>
      </c>
      <c r="F2666" s="15">
        <f>IFERROR(PRD[[#This Row],[VALOR]]/PRD[[#This Row],[KGS]],"")</f>
        <v>2.4223617597425533</v>
      </c>
      <c r="H2666" s="27"/>
    </row>
    <row r="2667" spans="1:8" x14ac:dyDescent="0.25">
      <c r="A2667" s="21">
        <v>1101900</v>
      </c>
      <c r="B2667" s="1">
        <v>45261</v>
      </c>
      <c r="C2667" t="s">
        <v>114</v>
      </c>
      <c r="D2667" s="17">
        <v>3008.95</v>
      </c>
      <c r="E2667" s="17">
        <v>9728.19</v>
      </c>
      <c r="F2667" s="15">
        <f>IFERROR(PRD[[#This Row],[VALOR]]/PRD[[#This Row],[KGS]],"")</f>
        <v>3.2330846308512942</v>
      </c>
      <c r="H2667" s="27"/>
    </row>
    <row r="2668" spans="1:8" x14ac:dyDescent="0.25">
      <c r="A2668" s="21">
        <v>1101901</v>
      </c>
      <c r="B2668" s="1">
        <v>45261</v>
      </c>
      <c r="C2668" t="s">
        <v>448</v>
      </c>
      <c r="D2668" s="17">
        <v>1281.0999999999999</v>
      </c>
      <c r="E2668" s="17">
        <v>4726.8599999999997</v>
      </c>
      <c r="F2668" s="15">
        <f>IFERROR(PRD[[#This Row],[VALOR]]/PRD[[#This Row],[KGS]],"")</f>
        <v>3.6896885489032862</v>
      </c>
      <c r="H2668" s="27"/>
    </row>
    <row r="2669" spans="1:8" x14ac:dyDescent="0.25">
      <c r="A2669" s="21">
        <v>1101902</v>
      </c>
      <c r="B2669" s="1">
        <v>45261</v>
      </c>
      <c r="C2669" t="s">
        <v>351</v>
      </c>
      <c r="D2669" s="19">
        <v>922.13</v>
      </c>
      <c r="E2669" s="17">
        <v>3747.9</v>
      </c>
      <c r="F2669" s="15">
        <f>IFERROR(PRD[[#This Row],[VALOR]]/PRD[[#This Row],[KGS]],"")</f>
        <v>4.0643943912463536</v>
      </c>
      <c r="H2669" s="27"/>
    </row>
    <row r="2670" spans="1:8" x14ac:dyDescent="0.25">
      <c r="A2670" s="21">
        <v>1101904</v>
      </c>
      <c r="B2670" s="1">
        <v>45261</v>
      </c>
      <c r="C2670" t="s">
        <v>765</v>
      </c>
      <c r="D2670" s="19">
        <v>643.48</v>
      </c>
      <c r="E2670" s="17">
        <v>2702.61</v>
      </c>
      <c r="F2670" s="15">
        <f>IFERROR(PRD[[#This Row],[VALOR]]/PRD[[#This Row],[KGS]],"")</f>
        <v>4.1999906757008763</v>
      </c>
      <c r="H2670" s="27"/>
    </row>
    <row r="2671" spans="1:8" x14ac:dyDescent="0.25">
      <c r="A2671" s="21">
        <v>1102000</v>
      </c>
      <c r="B2671" s="1">
        <v>45261</v>
      </c>
      <c r="C2671" t="s">
        <v>115</v>
      </c>
      <c r="D2671" s="19">
        <v>126.7</v>
      </c>
      <c r="E2671" s="17">
        <v>532.14</v>
      </c>
      <c r="F2671" s="15">
        <f>IFERROR(PRD[[#This Row],[VALOR]]/PRD[[#This Row],[KGS]],"")</f>
        <v>4.2</v>
      </c>
      <c r="H2671" s="27"/>
    </row>
    <row r="2672" spans="1:8" x14ac:dyDescent="0.25">
      <c r="A2672" s="21">
        <v>1102100</v>
      </c>
      <c r="B2672" s="1">
        <v>45261</v>
      </c>
      <c r="C2672" t="s">
        <v>688</v>
      </c>
      <c r="D2672" s="19">
        <v>44.6</v>
      </c>
      <c r="E2672" s="17">
        <v>137.37</v>
      </c>
      <c r="F2672" s="15">
        <f>IFERROR(PRD[[#This Row],[VALOR]]/PRD[[#This Row],[KGS]],"")</f>
        <v>3.0800448430493272</v>
      </c>
      <c r="H2672" s="27"/>
    </row>
    <row r="2673" spans="1:8" x14ac:dyDescent="0.25">
      <c r="A2673" s="21">
        <v>1102300</v>
      </c>
      <c r="B2673" s="1">
        <v>45261</v>
      </c>
      <c r="C2673" t="s">
        <v>119</v>
      </c>
      <c r="D2673" s="17">
        <v>3530.6</v>
      </c>
      <c r="E2673" s="17">
        <v>9908.99</v>
      </c>
      <c r="F2673" s="15">
        <f>IFERROR(PRD[[#This Row],[VALOR]]/PRD[[#This Row],[KGS]],"")</f>
        <v>2.8066022772333317</v>
      </c>
      <c r="H2673" s="27"/>
    </row>
    <row r="2674" spans="1:8" x14ac:dyDescent="0.25">
      <c r="A2674" s="21">
        <v>1102301</v>
      </c>
      <c r="B2674" s="1">
        <v>45261</v>
      </c>
      <c r="C2674" t="s">
        <v>792</v>
      </c>
      <c r="D2674" s="19">
        <v>89.2</v>
      </c>
      <c r="E2674" s="17">
        <v>243.52</v>
      </c>
      <c r="F2674" s="15">
        <f>IFERROR(PRD[[#This Row],[VALOR]]/PRD[[#This Row],[KGS]],"")</f>
        <v>2.7300448430493276</v>
      </c>
      <c r="H2674" s="27"/>
    </row>
    <row r="2675" spans="1:8" x14ac:dyDescent="0.25">
      <c r="A2675" s="21">
        <v>1103000</v>
      </c>
      <c r="B2675" s="1">
        <v>45261</v>
      </c>
      <c r="C2675" t="s">
        <v>121</v>
      </c>
      <c r="D2675" s="19">
        <v>312.56</v>
      </c>
      <c r="E2675" s="17">
        <v>634.63</v>
      </c>
      <c r="F2675" s="15">
        <f>IFERROR(PRD[[#This Row],[VALOR]]/PRD[[#This Row],[KGS]],"")</f>
        <v>2.0304261581776299</v>
      </c>
      <c r="H2675" s="27"/>
    </row>
    <row r="2676" spans="1:8" x14ac:dyDescent="0.25">
      <c r="A2676" s="21">
        <v>2010904</v>
      </c>
      <c r="B2676" s="1">
        <v>45261</v>
      </c>
      <c r="C2676" t="s">
        <v>633</v>
      </c>
      <c r="D2676" s="17">
        <v>1431.65</v>
      </c>
      <c r="E2676" s="17">
        <v>1408.49</v>
      </c>
      <c r="F2676" s="15">
        <f>IFERROR(PRD[[#This Row],[VALOR]]/PRD[[#This Row],[KGS]],"")</f>
        <v>0.9838228617329654</v>
      </c>
      <c r="H2676" s="27"/>
    </row>
    <row r="2677" spans="1:8" x14ac:dyDescent="0.25">
      <c r="A2677" s="21">
        <v>2010905</v>
      </c>
      <c r="B2677" s="1">
        <v>45261</v>
      </c>
      <c r="C2677" t="s">
        <v>544</v>
      </c>
      <c r="D2677" s="18">
        <v>120</v>
      </c>
      <c r="E2677" s="17">
        <v>98</v>
      </c>
      <c r="F2677" s="15">
        <f>IFERROR(PRD[[#This Row],[VALOR]]/PRD[[#This Row],[KGS]],"")</f>
        <v>0.81666666666666665</v>
      </c>
      <c r="H2677" s="27"/>
    </row>
    <row r="2678" spans="1:8" x14ac:dyDescent="0.25">
      <c r="A2678" s="21">
        <v>2011700</v>
      </c>
      <c r="B2678" s="1">
        <v>45261</v>
      </c>
      <c r="C2678" t="s">
        <v>129</v>
      </c>
      <c r="D2678" s="19">
        <v>173.2</v>
      </c>
      <c r="E2678" s="17">
        <v>470</v>
      </c>
      <c r="F2678" s="15">
        <f>IFERROR(PRD[[#This Row],[VALOR]]/PRD[[#This Row],[KGS]],"")</f>
        <v>2.7136258660508084</v>
      </c>
      <c r="H2678" s="27"/>
    </row>
    <row r="2679" spans="1:8" x14ac:dyDescent="0.25">
      <c r="A2679" s="21">
        <v>2090002</v>
      </c>
      <c r="B2679" s="1">
        <v>45261</v>
      </c>
      <c r="C2679" t="s">
        <v>451</v>
      </c>
      <c r="D2679" s="19">
        <v>47.99</v>
      </c>
      <c r="E2679" s="17">
        <v>247.01</v>
      </c>
      <c r="F2679" s="15">
        <f>IFERROR(PRD[[#This Row],[VALOR]]/PRD[[#This Row],[KGS]],"")</f>
        <v>5.1471139820795999</v>
      </c>
      <c r="H2679" s="27"/>
    </row>
    <row r="2680" spans="1:8" x14ac:dyDescent="0.25">
      <c r="A2680" s="21">
        <v>3020103</v>
      </c>
      <c r="B2680" s="1">
        <v>45261</v>
      </c>
      <c r="C2680" t="s">
        <v>131</v>
      </c>
      <c r="D2680" s="17">
        <v>6918.17</v>
      </c>
      <c r="E2680" s="17">
        <v>22462.02</v>
      </c>
      <c r="F2680" s="15">
        <f>IFERROR(PRD[[#This Row],[VALOR]]/PRD[[#This Row],[KGS]],"")</f>
        <v>3.2468152705122888</v>
      </c>
      <c r="H2680" s="27"/>
    </row>
    <row r="2681" spans="1:8" x14ac:dyDescent="0.25">
      <c r="A2681" s="21">
        <v>3020212</v>
      </c>
      <c r="B2681" s="1">
        <v>45261</v>
      </c>
      <c r="C2681" t="s">
        <v>133</v>
      </c>
      <c r="D2681" s="17">
        <v>1187.06</v>
      </c>
      <c r="E2681" s="17">
        <v>4377.6099999999997</v>
      </c>
      <c r="F2681" s="15">
        <f>IFERROR(PRD[[#This Row],[VALOR]]/PRD[[#This Row],[KGS]],"")</f>
        <v>3.6877748386770675</v>
      </c>
      <c r="H2681" s="27"/>
    </row>
    <row r="2682" spans="1:8" x14ac:dyDescent="0.25">
      <c r="A2682" s="21">
        <v>3020214</v>
      </c>
      <c r="B2682" s="1">
        <v>45261</v>
      </c>
      <c r="C2682" t="s">
        <v>135</v>
      </c>
      <c r="D2682" s="19">
        <v>436.6</v>
      </c>
      <c r="E2682" s="17">
        <v>1536.61</v>
      </c>
      <c r="F2682" s="15">
        <f>IFERROR(PRD[[#This Row],[VALOR]]/PRD[[#This Row],[KGS]],"")</f>
        <v>3.5194915254237285</v>
      </c>
      <c r="H2682" s="27"/>
    </row>
    <row r="2683" spans="1:8" x14ac:dyDescent="0.25">
      <c r="A2683" s="21">
        <v>3020315</v>
      </c>
      <c r="B2683" s="1">
        <v>45261</v>
      </c>
      <c r="C2683" t="s">
        <v>137</v>
      </c>
      <c r="D2683" s="17">
        <v>2057.91</v>
      </c>
      <c r="E2683" s="17">
        <v>7322.22</v>
      </c>
      <c r="F2683" s="15">
        <f>IFERROR(PRD[[#This Row],[VALOR]]/PRD[[#This Row],[KGS]],"")</f>
        <v>3.5580856305669348</v>
      </c>
      <c r="H2683" s="27"/>
    </row>
    <row r="2684" spans="1:8" x14ac:dyDescent="0.25">
      <c r="A2684" s="21">
        <v>3020316</v>
      </c>
      <c r="B2684" s="1">
        <v>45261</v>
      </c>
      <c r="C2684" t="s">
        <v>139</v>
      </c>
      <c r="D2684" s="19">
        <v>214.08</v>
      </c>
      <c r="E2684" s="17">
        <v>680.78</v>
      </c>
      <c r="F2684" s="15">
        <f>IFERROR(PRD[[#This Row],[VALOR]]/PRD[[#This Row],[KGS]],"")</f>
        <v>3.1800261584454406</v>
      </c>
      <c r="H2684" s="27"/>
    </row>
    <row r="2685" spans="1:8" x14ac:dyDescent="0.25">
      <c r="A2685" s="21">
        <v>3020402</v>
      </c>
      <c r="B2685" s="1">
        <v>45261</v>
      </c>
      <c r="C2685" t="s">
        <v>141</v>
      </c>
      <c r="D2685" s="17">
        <v>2401.85</v>
      </c>
      <c r="E2685" s="17">
        <v>8393.99</v>
      </c>
      <c r="F2685" s="15">
        <f>IFERROR(PRD[[#This Row],[VALOR]]/PRD[[#This Row],[KGS]],"")</f>
        <v>3.4948019235172887</v>
      </c>
      <c r="H2685" s="27"/>
    </row>
    <row r="2686" spans="1:8" x14ac:dyDescent="0.25">
      <c r="A2686" s="21">
        <v>3020504</v>
      </c>
      <c r="B2686" s="1">
        <v>45261</v>
      </c>
      <c r="C2686" t="s">
        <v>143</v>
      </c>
      <c r="D2686" s="19">
        <v>487.24</v>
      </c>
      <c r="E2686" s="17">
        <v>1837.22</v>
      </c>
      <c r="F2686" s="15">
        <f>IFERROR(PRD[[#This Row],[VALOR]]/PRD[[#This Row],[KGS]],"")</f>
        <v>3.7706674328872833</v>
      </c>
      <c r="H2686" s="27"/>
    </row>
    <row r="2687" spans="1:8" x14ac:dyDescent="0.25">
      <c r="A2687" s="21">
        <v>3020622</v>
      </c>
      <c r="B2687" s="1">
        <v>45261</v>
      </c>
      <c r="C2687" t="s">
        <v>145</v>
      </c>
      <c r="D2687" s="17">
        <v>4422.5</v>
      </c>
      <c r="E2687" s="17">
        <v>16413.95</v>
      </c>
      <c r="F2687" s="15">
        <f>IFERROR(PRD[[#This Row],[VALOR]]/PRD[[#This Row],[KGS]],"")</f>
        <v>3.711464104013567</v>
      </c>
      <c r="H2687" s="27"/>
    </row>
    <row r="2688" spans="1:8" x14ac:dyDescent="0.25">
      <c r="A2688" s="21">
        <v>3020623</v>
      </c>
      <c r="B2688" s="1">
        <v>45261</v>
      </c>
      <c r="C2688" t="s">
        <v>147</v>
      </c>
      <c r="D2688" s="19">
        <v>654.25</v>
      </c>
      <c r="E2688" s="17">
        <v>2521.65</v>
      </c>
      <c r="F2688" s="15">
        <f>IFERROR(PRD[[#This Row],[VALOR]]/PRD[[#This Row],[KGS]],"")</f>
        <v>3.8542606037447462</v>
      </c>
      <c r="H2688" s="27"/>
    </row>
    <row r="2689" spans="1:8" x14ac:dyDescent="0.25">
      <c r="A2689" s="21">
        <v>3020725</v>
      </c>
      <c r="B2689" s="1">
        <v>45261</v>
      </c>
      <c r="C2689" t="s">
        <v>149</v>
      </c>
      <c r="D2689" s="19">
        <v>290.82</v>
      </c>
      <c r="E2689" s="17">
        <v>1102.9000000000001</v>
      </c>
      <c r="F2689" s="15">
        <f>IFERROR(PRD[[#This Row],[VALOR]]/PRD[[#This Row],[KGS]],"")</f>
        <v>3.7923801664259682</v>
      </c>
      <c r="H2689" s="27"/>
    </row>
    <row r="2690" spans="1:8" x14ac:dyDescent="0.25">
      <c r="A2690" s="21">
        <v>3020823</v>
      </c>
      <c r="B2690" s="1">
        <v>45261</v>
      </c>
      <c r="C2690" t="s">
        <v>151</v>
      </c>
      <c r="D2690" s="17">
        <v>1784.15</v>
      </c>
      <c r="E2690" s="17">
        <v>6614.18</v>
      </c>
      <c r="F2690" s="15">
        <f>IFERROR(PRD[[#This Row],[VALOR]]/PRD[[#This Row],[KGS]],"")</f>
        <v>3.7071882969481265</v>
      </c>
      <c r="H2690" s="27"/>
    </row>
    <row r="2691" spans="1:8" x14ac:dyDescent="0.25">
      <c r="A2691" s="21">
        <v>3020824</v>
      </c>
      <c r="B2691" s="1">
        <v>45261</v>
      </c>
      <c r="C2691" t="s">
        <v>153</v>
      </c>
      <c r="D2691" s="17">
        <v>1299.25</v>
      </c>
      <c r="E2691" s="17">
        <v>4841.62</v>
      </c>
      <c r="F2691" s="15">
        <f>IFERROR(PRD[[#This Row],[VALOR]]/PRD[[#This Row],[KGS]],"")</f>
        <v>3.7264729651722148</v>
      </c>
      <c r="H2691" s="27"/>
    </row>
    <row r="2692" spans="1:8" x14ac:dyDescent="0.25">
      <c r="A2692" s="21">
        <v>3020825</v>
      </c>
      <c r="B2692" s="1">
        <v>45261</v>
      </c>
      <c r="C2692" t="s">
        <v>455</v>
      </c>
      <c r="D2692" s="19">
        <v>257.70999999999998</v>
      </c>
      <c r="E2692" s="17">
        <v>1056.6199999999999</v>
      </c>
      <c r="F2692" s="15">
        <f>IFERROR(PRD[[#This Row],[VALOR]]/PRD[[#This Row],[KGS]],"")</f>
        <v>4.1000349229754374</v>
      </c>
      <c r="H2692" s="27"/>
    </row>
    <row r="2693" spans="1:8" x14ac:dyDescent="0.25">
      <c r="A2693" s="21">
        <v>3020924</v>
      </c>
      <c r="B2693" s="1">
        <v>45261</v>
      </c>
      <c r="C2693" t="s">
        <v>155</v>
      </c>
      <c r="D2693" s="17">
        <v>1059.47</v>
      </c>
      <c r="E2693" s="17">
        <v>4040.32</v>
      </c>
      <c r="F2693" s="15">
        <f>IFERROR(PRD[[#This Row],[VALOR]]/PRD[[#This Row],[KGS]],"")</f>
        <v>3.8135294062125404</v>
      </c>
      <c r="H2693" s="27"/>
    </row>
    <row r="2694" spans="1:8" x14ac:dyDescent="0.25">
      <c r="A2694" s="21">
        <v>3020925</v>
      </c>
      <c r="B2694" s="1">
        <v>45261</v>
      </c>
      <c r="C2694" t="s">
        <v>157</v>
      </c>
      <c r="D2694" s="17">
        <v>1801.34</v>
      </c>
      <c r="E2694" s="17">
        <v>6907.86</v>
      </c>
      <c r="F2694" s="15">
        <f>IFERROR(PRD[[#This Row],[VALOR]]/PRD[[#This Row],[KGS]],"")</f>
        <v>3.8348451708172804</v>
      </c>
      <c r="H2694" s="27"/>
    </row>
    <row r="2695" spans="1:8" x14ac:dyDescent="0.25">
      <c r="A2695" s="21">
        <v>3021436</v>
      </c>
      <c r="B2695" s="1">
        <v>45261</v>
      </c>
      <c r="C2695" t="s">
        <v>546</v>
      </c>
      <c r="D2695" s="19">
        <v>416.51</v>
      </c>
      <c r="E2695" s="17">
        <v>1350.85</v>
      </c>
      <c r="F2695" s="15">
        <f>IFERROR(PRD[[#This Row],[VALOR]]/PRD[[#This Row],[KGS]],"")</f>
        <v>3.2432594655590501</v>
      </c>
      <c r="H2695" s="27"/>
    </row>
    <row r="2696" spans="1:8" x14ac:dyDescent="0.25">
      <c r="A2696" s="21">
        <v>3021538</v>
      </c>
      <c r="B2696" s="1">
        <v>45261</v>
      </c>
      <c r="C2696" t="s">
        <v>548</v>
      </c>
      <c r="D2696" s="19">
        <v>66.36</v>
      </c>
      <c r="E2696" s="17">
        <v>207.31</v>
      </c>
      <c r="F2696" s="15">
        <f>IFERROR(PRD[[#This Row],[VALOR]]/PRD[[#This Row],[KGS]],"")</f>
        <v>3.1240204942736587</v>
      </c>
      <c r="H2696" s="27"/>
    </row>
    <row r="2697" spans="1:8" x14ac:dyDescent="0.25">
      <c r="A2697" s="21">
        <v>3021639</v>
      </c>
      <c r="B2697" s="1">
        <v>45261</v>
      </c>
      <c r="C2697" t="s">
        <v>457</v>
      </c>
      <c r="D2697" s="19">
        <v>19.600000000000001</v>
      </c>
      <c r="E2697" s="17">
        <v>60.76</v>
      </c>
      <c r="F2697" s="15">
        <f>IFERROR(PRD[[#This Row],[VALOR]]/PRD[[#This Row],[KGS]],"")</f>
        <v>3.0999999999999996</v>
      </c>
      <c r="H2697" s="27"/>
    </row>
    <row r="2698" spans="1:8" x14ac:dyDescent="0.25">
      <c r="A2698" s="21">
        <v>3021739</v>
      </c>
      <c r="B2698" s="1">
        <v>45261</v>
      </c>
      <c r="C2698" t="s">
        <v>165</v>
      </c>
      <c r="D2698" s="19">
        <v>459.67</v>
      </c>
      <c r="E2698" s="17">
        <v>1287.07</v>
      </c>
      <c r="F2698" s="15">
        <f>IFERROR(PRD[[#This Row],[VALOR]]/PRD[[#This Row],[KGS]],"")</f>
        <v>2.7999869471577434</v>
      </c>
      <c r="H2698" s="27"/>
    </row>
    <row r="2699" spans="1:8" x14ac:dyDescent="0.25">
      <c r="A2699" s="21">
        <v>3021740</v>
      </c>
      <c r="B2699" s="1">
        <v>45261</v>
      </c>
      <c r="C2699" t="s">
        <v>459</v>
      </c>
      <c r="D2699" s="19">
        <v>139.94</v>
      </c>
      <c r="E2699" s="17">
        <v>433.48</v>
      </c>
      <c r="F2699" s="15">
        <f>IFERROR(PRD[[#This Row],[VALOR]]/PRD[[#This Row],[KGS]],"")</f>
        <v>3.097613262826926</v>
      </c>
      <c r="H2699" s="27"/>
    </row>
    <row r="2700" spans="1:8" x14ac:dyDescent="0.25">
      <c r="A2700" s="21">
        <v>3021760</v>
      </c>
      <c r="B2700" s="1">
        <v>45261</v>
      </c>
      <c r="C2700" t="s">
        <v>167</v>
      </c>
      <c r="D2700" s="19">
        <v>871.33</v>
      </c>
      <c r="E2700" s="17">
        <v>1744.52</v>
      </c>
      <c r="F2700" s="15">
        <f>IFERROR(PRD[[#This Row],[VALOR]]/PRD[[#This Row],[KGS]],"")</f>
        <v>2.0021346676919189</v>
      </c>
      <c r="H2700" s="27"/>
    </row>
    <row r="2701" spans="1:8" x14ac:dyDescent="0.25">
      <c r="A2701" s="21">
        <v>3021811</v>
      </c>
      <c r="B2701" s="1">
        <v>45261</v>
      </c>
      <c r="C2701" t="s">
        <v>169</v>
      </c>
      <c r="D2701" s="19">
        <v>583.46</v>
      </c>
      <c r="E2701" s="17">
        <v>1279.55</v>
      </c>
      <c r="F2701" s="15">
        <f>IFERROR(PRD[[#This Row],[VALOR]]/PRD[[#This Row],[KGS]],"")</f>
        <v>2.1930380831590854</v>
      </c>
      <c r="H2701" s="27"/>
    </row>
    <row r="2702" spans="1:8" x14ac:dyDescent="0.25">
      <c r="A2702" s="21">
        <v>3021812</v>
      </c>
      <c r="B2702" s="1">
        <v>45261</v>
      </c>
      <c r="C2702" t="s">
        <v>171</v>
      </c>
      <c r="D2702" s="17">
        <v>2161.2600000000002</v>
      </c>
      <c r="E2702" s="17">
        <v>4188.5</v>
      </c>
      <c r="F2702" s="15">
        <f>IFERROR(PRD[[#This Row],[VALOR]]/PRD[[#This Row],[KGS]],"")</f>
        <v>1.9379898762758758</v>
      </c>
      <c r="H2702" s="27"/>
    </row>
    <row r="2703" spans="1:8" x14ac:dyDescent="0.25">
      <c r="A2703" s="21">
        <v>3022100</v>
      </c>
      <c r="B2703" s="1">
        <v>45261</v>
      </c>
      <c r="C2703" t="s">
        <v>173</v>
      </c>
      <c r="D2703" s="19">
        <v>35.049999999999997</v>
      </c>
      <c r="E2703" s="17">
        <v>138.96</v>
      </c>
      <c r="F2703" s="15">
        <f>IFERROR(PRD[[#This Row],[VALOR]]/PRD[[#This Row],[KGS]],"")</f>
        <v>3.9646219686162629</v>
      </c>
      <c r="H2703" s="27"/>
    </row>
    <row r="2704" spans="1:8" x14ac:dyDescent="0.25">
      <c r="A2704" s="21">
        <v>3022208</v>
      </c>
      <c r="B2704" s="1">
        <v>45261</v>
      </c>
      <c r="C2704" t="s">
        <v>307</v>
      </c>
      <c r="D2704" s="19">
        <v>139.38</v>
      </c>
      <c r="E2704" s="17">
        <v>500.25</v>
      </c>
      <c r="F2704" s="15">
        <f>IFERROR(PRD[[#This Row],[VALOR]]/PRD[[#This Row],[KGS]],"")</f>
        <v>3.5891089108910892</v>
      </c>
      <c r="H2704" s="27"/>
    </row>
    <row r="2705" spans="1:8" x14ac:dyDescent="0.25">
      <c r="A2705" s="21">
        <v>3022311</v>
      </c>
      <c r="B2705" s="1">
        <v>45261</v>
      </c>
      <c r="C2705" t="s">
        <v>176</v>
      </c>
      <c r="D2705" s="17">
        <v>2057.0300000000002</v>
      </c>
      <c r="E2705" s="17">
        <v>4910.58</v>
      </c>
      <c r="F2705" s="15">
        <f>IFERROR(PRD[[#This Row],[VALOR]]/PRD[[#This Row],[KGS]],"")</f>
        <v>2.3872184654574795</v>
      </c>
      <c r="H2705" s="27"/>
    </row>
    <row r="2706" spans="1:8" x14ac:dyDescent="0.25">
      <c r="A2706" s="21">
        <v>3022411</v>
      </c>
      <c r="B2706" s="1">
        <v>45261</v>
      </c>
      <c r="C2706" t="s">
        <v>178</v>
      </c>
      <c r="D2706" s="19">
        <v>43.94</v>
      </c>
      <c r="E2706" s="17">
        <v>123.8</v>
      </c>
      <c r="F2706" s="15">
        <f>IFERROR(PRD[[#This Row],[VALOR]]/PRD[[#This Row],[KGS]],"")</f>
        <v>2.8174783796085574</v>
      </c>
      <c r="H2706" s="27"/>
    </row>
    <row r="2707" spans="1:8" x14ac:dyDescent="0.25">
      <c r="A2707" s="21">
        <v>3022511</v>
      </c>
      <c r="B2707" s="1">
        <v>45261</v>
      </c>
      <c r="C2707" t="s">
        <v>180</v>
      </c>
      <c r="D2707" s="19">
        <v>5.3</v>
      </c>
      <c r="E2707" s="17">
        <v>14.51</v>
      </c>
      <c r="F2707" s="15">
        <f>IFERROR(PRD[[#This Row],[VALOR]]/PRD[[#This Row],[KGS]],"")</f>
        <v>2.7377358490566039</v>
      </c>
      <c r="H2707" s="27"/>
    </row>
    <row r="2708" spans="1:8" x14ac:dyDescent="0.25">
      <c r="A2708" s="21">
        <v>3022601</v>
      </c>
      <c r="B2708" s="1">
        <v>45261</v>
      </c>
      <c r="C2708" t="s">
        <v>182</v>
      </c>
      <c r="D2708" s="19">
        <v>304.25</v>
      </c>
      <c r="E2708" s="17">
        <v>1214.7</v>
      </c>
      <c r="F2708" s="15">
        <f>IFERROR(PRD[[#This Row],[VALOR]]/PRD[[#This Row],[KGS]],"")</f>
        <v>3.9924404272801972</v>
      </c>
      <c r="H2708" s="27"/>
    </row>
    <row r="2709" spans="1:8" x14ac:dyDescent="0.25">
      <c r="A2709" s="21">
        <v>3022703</v>
      </c>
      <c r="B2709" s="1">
        <v>45261</v>
      </c>
      <c r="C2709" t="s">
        <v>309</v>
      </c>
      <c r="D2709" s="18">
        <v>706</v>
      </c>
      <c r="E2709" s="17">
        <v>1948.6</v>
      </c>
      <c r="F2709" s="15">
        <f>IFERROR(PRD[[#This Row],[VALOR]]/PRD[[#This Row],[KGS]],"")</f>
        <v>2.7600566572237959</v>
      </c>
      <c r="H2709" s="27"/>
    </row>
    <row r="2710" spans="1:8" x14ac:dyDescent="0.25">
      <c r="A2710" s="21">
        <v>3022805</v>
      </c>
      <c r="B2710" s="1">
        <v>45261</v>
      </c>
      <c r="C2710" t="s">
        <v>186</v>
      </c>
      <c r="D2710" s="17">
        <v>1465</v>
      </c>
      <c r="E2710" s="17">
        <v>3068.2</v>
      </c>
      <c r="F2710" s="15">
        <f>IFERROR(PRD[[#This Row],[VALOR]]/PRD[[#This Row],[KGS]],"")</f>
        <v>2.0943344709897609</v>
      </c>
      <c r="H2710" s="27"/>
    </row>
    <row r="2711" spans="1:8" x14ac:dyDescent="0.25">
      <c r="A2711" s="21">
        <v>3022906</v>
      </c>
      <c r="B2711" s="1">
        <v>45261</v>
      </c>
      <c r="C2711" t="s">
        <v>188</v>
      </c>
      <c r="D2711" s="17">
        <v>3840</v>
      </c>
      <c r="E2711" s="17">
        <v>7850.07</v>
      </c>
      <c r="F2711" s="15">
        <f>IFERROR(PRD[[#This Row],[VALOR]]/PRD[[#This Row],[KGS]],"")</f>
        <v>2.0442890624999999</v>
      </c>
      <c r="H2711" s="27"/>
    </row>
    <row r="2712" spans="1:8" x14ac:dyDescent="0.25">
      <c r="A2712" s="21">
        <v>3023007</v>
      </c>
      <c r="B2712" s="1">
        <v>45261</v>
      </c>
      <c r="C2712" t="s">
        <v>190</v>
      </c>
      <c r="D2712" s="17">
        <v>1520</v>
      </c>
      <c r="E2712" s="17">
        <v>3097.4</v>
      </c>
      <c r="F2712" s="15">
        <f>IFERROR(PRD[[#This Row],[VALOR]]/PRD[[#This Row],[KGS]],"")</f>
        <v>2.0377631578947368</v>
      </c>
      <c r="H2712" s="27"/>
    </row>
    <row r="2713" spans="1:8" x14ac:dyDescent="0.25">
      <c r="A2713" s="21">
        <v>3024001</v>
      </c>
      <c r="B2713" s="1">
        <v>45261</v>
      </c>
      <c r="C2713" t="s">
        <v>192</v>
      </c>
      <c r="D2713" s="17">
        <v>1362.94</v>
      </c>
      <c r="E2713" s="17">
        <v>5188.66</v>
      </c>
      <c r="F2713" s="15">
        <f>IFERROR(PRD[[#This Row],[VALOR]]/PRD[[#This Row],[KGS]],"")</f>
        <v>3.8069614216326468</v>
      </c>
      <c r="H2713" s="27"/>
    </row>
    <row r="2714" spans="1:8" x14ac:dyDescent="0.25">
      <c r="A2714" s="21">
        <v>3024003</v>
      </c>
      <c r="B2714" s="1">
        <v>45261</v>
      </c>
      <c r="C2714" t="s">
        <v>196</v>
      </c>
      <c r="D2714" s="19">
        <v>366.4</v>
      </c>
      <c r="E2714" s="17">
        <v>1035.5999999999999</v>
      </c>
      <c r="F2714" s="15">
        <f>IFERROR(PRD[[#This Row],[VALOR]]/PRD[[#This Row],[KGS]],"")</f>
        <v>2.8264192139737991</v>
      </c>
      <c r="H2714" s="27"/>
    </row>
    <row r="2715" spans="1:8" x14ac:dyDescent="0.25">
      <c r="A2715" s="21">
        <v>3024004</v>
      </c>
      <c r="B2715" s="1">
        <v>45261</v>
      </c>
      <c r="C2715" t="s">
        <v>198</v>
      </c>
      <c r="D2715" s="17">
        <v>1459.24</v>
      </c>
      <c r="E2715" s="17">
        <v>1507.36</v>
      </c>
      <c r="F2715" s="15">
        <f>IFERROR(PRD[[#This Row],[VALOR]]/PRD[[#This Row],[KGS]],"")</f>
        <v>1.0329760697349304</v>
      </c>
      <c r="H2715" s="27"/>
    </row>
    <row r="2716" spans="1:8" x14ac:dyDescent="0.25">
      <c r="A2716" s="21">
        <v>4030100</v>
      </c>
      <c r="B2716" s="1">
        <v>45261</v>
      </c>
      <c r="C2716" t="s">
        <v>200</v>
      </c>
      <c r="D2716" s="19">
        <v>301.8</v>
      </c>
      <c r="E2716" s="17">
        <v>1892.08</v>
      </c>
      <c r="F2716" s="15">
        <f>IFERROR(PRD[[#This Row],[VALOR]]/PRD[[#This Row],[KGS]],"")</f>
        <v>6.2693174287607683</v>
      </c>
      <c r="H2716" s="27"/>
    </row>
    <row r="2717" spans="1:8" x14ac:dyDescent="0.25">
      <c r="A2717" s="21">
        <v>4030211</v>
      </c>
      <c r="B2717" s="1">
        <v>45261</v>
      </c>
      <c r="C2717" t="s">
        <v>202</v>
      </c>
      <c r="D2717" s="17">
        <v>1576.9</v>
      </c>
      <c r="E2717" s="17">
        <v>8811.34</v>
      </c>
      <c r="F2717" s="15">
        <f>IFERROR(PRD[[#This Row],[VALOR]]/PRD[[#This Row],[KGS]],"")</f>
        <v>5.5877607964994604</v>
      </c>
      <c r="H2717" s="27"/>
    </row>
    <row r="2718" spans="1:8" x14ac:dyDescent="0.25">
      <c r="A2718" s="21">
        <v>4030311</v>
      </c>
      <c r="B2718" s="1">
        <v>45261</v>
      </c>
      <c r="C2718" t="s">
        <v>311</v>
      </c>
      <c r="D2718" s="19">
        <v>308.56</v>
      </c>
      <c r="E2718" s="17">
        <v>2006.42</v>
      </c>
      <c r="F2718" s="15">
        <f>IFERROR(PRD[[#This Row],[VALOR]]/PRD[[#This Row],[KGS]],"")</f>
        <v>6.5025278714026449</v>
      </c>
      <c r="H2718" s="27"/>
    </row>
    <row r="2719" spans="1:8" x14ac:dyDescent="0.25">
      <c r="A2719" s="21">
        <v>4030401</v>
      </c>
      <c r="B2719" s="1">
        <v>45261</v>
      </c>
      <c r="C2719" t="s">
        <v>461</v>
      </c>
      <c r="D2719" s="19">
        <v>328.25</v>
      </c>
      <c r="E2719" s="17">
        <v>1623.75</v>
      </c>
      <c r="F2719" s="15">
        <f>IFERROR(PRD[[#This Row],[VALOR]]/PRD[[#This Row],[KGS]],"")</f>
        <v>4.9466869763899464</v>
      </c>
      <c r="H2719" s="27"/>
    </row>
    <row r="2720" spans="1:8" x14ac:dyDescent="0.25">
      <c r="A2720" s="21">
        <v>4030532</v>
      </c>
      <c r="B2720" s="1">
        <v>45261</v>
      </c>
      <c r="C2720" t="s">
        <v>210</v>
      </c>
      <c r="D2720" s="19">
        <v>394.28</v>
      </c>
      <c r="E2720" s="17">
        <v>1998.94</v>
      </c>
      <c r="F2720" s="15">
        <f>IFERROR(PRD[[#This Row],[VALOR]]/PRD[[#This Row],[KGS]],"")</f>
        <v>5.0698488383889631</v>
      </c>
      <c r="H2720" s="27"/>
    </row>
    <row r="2721" spans="1:8" x14ac:dyDescent="0.25">
      <c r="A2721" s="21">
        <v>4030600</v>
      </c>
      <c r="B2721" s="1">
        <v>45261</v>
      </c>
      <c r="C2721" t="s">
        <v>212</v>
      </c>
      <c r="D2721" s="19">
        <v>963.84</v>
      </c>
      <c r="E2721" s="17">
        <v>2931.22</v>
      </c>
      <c r="F2721" s="15">
        <f>IFERROR(PRD[[#This Row],[VALOR]]/PRD[[#This Row],[KGS]],"")</f>
        <v>3.0411894090305442</v>
      </c>
      <c r="H2721" s="27"/>
    </row>
    <row r="2722" spans="1:8" x14ac:dyDescent="0.25">
      <c r="A2722" s="21">
        <v>4030711</v>
      </c>
      <c r="B2722" s="1">
        <v>45261</v>
      </c>
      <c r="C2722" t="s">
        <v>214</v>
      </c>
      <c r="D2722" s="17">
        <v>1386.74</v>
      </c>
      <c r="E2722" s="17">
        <v>4545.25</v>
      </c>
      <c r="F2722" s="15">
        <f>IFERROR(PRD[[#This Row],[VALOR]]/PRD[[#This Row],[KGS]],"")</f>
        <v>3.2776511819086491</v>
      </c>
      <c r="H2722" s="27"/>
    </row>
    <row r="2723" spans="1:8" x14ac:dyDescent="0.25">
      <c r="A2723" s="21">
        <v>4030811</v>
      </c>
      <c r="B2723" s="1">
        <v>45261</v>
      </c>
      <c r="C2723" t="s">
        <v>216</v>
      </c>
      <c r="D2723" s="17">
        <v>1303.98</v>
      </c>
      <c r="E2723" s="17">
        <v>4108.29</v>
      </c>
      <c r="F2723" s="15">
        <f>IFERROR(PRD[[#This Row],[VALOR]]/PRD[[#This Row],[KGS]],"")</f>
        <v>3.150577462844522</v>
      </c>
      <c r="H2723" s="27"/>
    </row>
    <row r="2724" spans="1:8" x14ac:dyDescent="0.25">
      <c r="A2724" s="21">
        <v>4030813</v>
      </c>
      <c r="B2724" s="1">
        <v>45261</v>
      </c>
      <c r="C2724" t="s">
        <v>218</v>
      </c>
      <c r="D2724" s="19">
        <v>357.75</v>
      </c>
      <c r="E2724" s="17">
        <v>1019.59</v>
      </c>
      <c r="F2724" s="15">
        <f>IFERROR(PRD[[#This Row],[VALOR]]/PRD[[#This Row],[KGS]],"")</f>
        <v>2.8500069881201959</v>
      </c>
      <c r="H2724" s="27"/>
    </row>
    <row r="2725" spans="1:8" x14ac:dyDescent="0.25">
      <c r="A2725" s="21">
        <v>4030900</v>
      </c>
      <c r="B2725" s="1">
        <v>45261</v>
      </c>
      <c r="C2725" t="s">
        <v>220</v>
      </c>
      <c r="D2725" s="17">
        <v>5482.3</v>
      </c>
      <c r="E2725" s="17">
        <v>16358.55</v>
      </c>
      <c r="F2725" s="15">
        <f>IFERROR(PRD[[#This Row],[VALOR]]/PRD[[#This Row],[KGS]],"")</f>
        <v>2.9838845010305892</v>
      </c>
      <c r="H2725" s="27"/>
    </row>
    <row r="2726" spans="1:8" x14ac:dyDescent="0.25">
      <c r="A2726" s="21">
        <v>4030910</v>
      </c>
      <c r="B2726" s="1">
        <v>45261</v>
      </c>
      <c r="C2726" t="s">
        <v>222</v>
      </c>
      <c r="D2726" s="19">
        <v>246.82</v>
      </c>
      <c r="E2726" s="17">
        <v>801.43</v>
      </c>
      <c r="F2726" s="15">
        <f>IFERROR(PRD[[#This Row],[VALOR]]/PRD[[#This Row],[KGS]],"")</f>
        <v>3.2470221213840045</v>
      </c>
      <c r="H2726" s="27"/>
    </row>
    <row r="2727" spans="1:8" x14ac:dyDescent="0.25">
      <c r="A2727" s="21">
        <v>4031012</v>
      </c>
      <c r="B2727" s="1">
        <v>45261</v>
      </c>
      <c r="C2727" t="s">
        <v>224</v>
      </c>
      <c r="D2727" s="17">
        <v>1168.53</v>
      </c>
      <c r="E2727" s="17">
        <v>3613.56</v>
      </c>
      <c r="F2727" s="15">
        <f>IFERROR(PRD[[#This Row],[VALOR]]/PRD[[#This Row],[KGS]],"")</f>
        <v>3.0923981412543964</v>
      </c>
      <c r="H2727" s="27"/>
    </row>
    <row r="2728" spans="1:8" x14ac:dyDescent="0.25">
      <c r="A2728" s="21">
        <v>4031017</v>
      </c>
      <c r="B2728" s="1">
        <v>45261</v>
      </c>
      <c r="C2728" t="s">
        <v>226</v>
      </c>
      <c r="D2728" s="17">
        <v>2408</v>
      </c>
      <c r="E2728" s="17">
        <v>1548.33</v>
      </c>
      <c r="F2728" s="15">
        <f>IFERROR(PRD[[#This Row],[VALOR]]/PRD[[#This Row],[KGS]],"")</f>
        <v>0.6429941860465116</v>
      </c>
      <c r="H2728" s="27"/>
    </row>
    <row r="2729" spans="1:8" x14ac:dyDescent="0.25">
      <c r="A2729" s="21">
        <v>4031102</v>
      </c>
      <c r="B2729" s="1">
        <v>45261</v>
      </c>
      <c r="C2729" t="s">
        <v>228</v>
      </c>
      <c r="D2729" s="17">
        <v>9132.7800000000007</v>
      </c>
      <c r="E2729" s="17">
        <v>26321.82</v>
      </c>
      <c r="F2729" s="15">
        <f>IFERROR(PRD[[#This Row],[VALOR]]/PRD[[#This Row],[KGS]],"")</f>
        <v>2.882125705425949</v>
      </c>
      <c r="H2729" s="27"/>
    </row>
    <row r="2730" spans="1:8" x14ac:dyDescent="0.25">
      <c r="A2730" s="21">
        <v>4031200</v>
      </c>
      <c r="B2730" s="1">
        <v>45261</v>
      </c>
      <c r="C2730" t="s">
        <v>230</v>
      </c>
      <c r="D2730" s="17">
        <v>1030.4000000000001</v>
      </c>
      <c r="E2730" s="17">
        <v>3101.6</v>
      </c>
      <c r="F2730" s="15">
        <f>IFERROR(PRD[[#This Row],[VALOR]]/PRD[[#This Row],[KGS]],"")</f>
        <v>3.010093167701863</v>
      </c>
      <c r="H2730" s="27"/>
    </row>
    <row r="2731" spans="1:8" x14ac:dyDescent="0.25">
      <c r="A2731" s="21">
        <v>4031304</v>
      </c>
      <c r="B2731" s="1">
        <v>45261</v>
      </c>
      <c r="C2731" t="s">
        <v>232</v>
      </c>
      <c r="D2731" s="17">
        <v>1020.95</v>
      </c>
      <c r="E2731" s="17">
        <v>3013.84</v>
      </c>
      <c r="F2731" s="15">
        <f>IFERROR(PRD[[#This Row],[VALOR]]/PRD[[#This Row],[KGS]],"")</f>
        <v>2.9519956902884568</v>
      </c>
      <c r="H2731" s="27"/>
    </row>
    <row r="2732" spans="1:8" x14ac:dyDescent="0.25">
      <c r="A2732" s="21">
        <v>4031411</v>
      </c>
      <c r="B2732" s="1">
        <v>45261</v>
      </c>
      <c r="C2732" t="s">
        <v>234</v>
      </c>
      <c r="D2732" s="19">
        <v>126.41</v>
      </c>
      <c r="E2732" s="17">
        <v>373.97</v>
      </c>
      <c r="F2732" s="15">
        <f>IFERROR(PRD[[#This Row],[VALOR]]/PRD[[#This Row],[KGS]],"")</f>
        <v>2.9583893679297528</v>
      </c>
      <c r="H2732" s="27"/>
    </row>
    <row r="2733" spans="1:8" x14ac:dyDescent="0.25">
      <c r="A2733" s="21">
        <v>4031500</v>
      </c>
      <c r="B2733" s="1">
        <v>45261</v>
      </c>
      <c r="C2733" t="s">
        <v>236</v>
      </c>
      <c r="D2733" s="17">
        <v>5689.6</v>
      </c>
      <c r="E2733" s="17">
        <v>15910.97</v>
      </c>
      <c r="F2733" s="15">
        <f>IFERROR(PRD[[#This Row],[VALOR]]/PRD[[#This Row],[KGS]],"")</f>
        <v>2.7965006327334079</v>
      </c>
      <c r="H2733" s="27"/>
    </row>
    <row r="2734" spans="1:8" x14ac:dyDescent="0.25">
      <c r="A2734" s="21">
        <v>4031604</v>
      </c>
      <c r="B2734" s="1">
        <v>45261</v>
      </c>
      <c r="C2734" t="s">
        <v>238</v>
      </c>
      <c r="D2734" s="17">
        <v>6259.86</v>
      </c>
      <c r="E2734" s="17">
        <v>16866.3</v>
      </c>
      <c r="F2734" s="15">
        <f>IFERROR(PRD[[#This Row],[VALOR]]/PRD[[#This Row],[KGS]],"")</f>
        <v>2.694357381794481</v>
      </c>
      <c r="H2734" s="27"/>
    </row>
    <row r="2735" spans="1:8" x14ac:dyDescent="0.25">
      <c r="A2735" s="21">
        <v>4031605</v>
      </c>
      <c r="B2735" s="1">
        <v>45261</v>
      </c>
      <c r="C2735" t="s">
        <v>240</v>
      </c>
      <c r="D2735" s="19">
        <v>4.3</v>
      </c>
      <c r="E2735" s="17">
        <v>14.62</v>
      </c>
      <c r="F2735" s="15">
        <f>IFERROR(PRD[[#This Row],[VALOR]]/PRD[[#This Row],[KGS]],"")</f>
        <v>3.4</v>
      </c>
      <c r="H2735" s="27"/>
    </row>
    <row r="2736" spans="1:8" x14ac:dyDescent="0.25">
      <c r="A2736" s="21">
        <v>4031700</v>
      </c>
      <c r="B2736" s="1">
        <v>45261</v>
      </c>
      <c r="C2736" t="s">
        <v>242</v>
      </c>
      <c r="D2736" s="19">
        <v>564.4</v>
      </c>
      <c r="E2736" s="17">
        <v>1662.53</v>
      </c>
      <c r="F2736" s="15">
        <f>IFERROR(PRD[[#This Row],[VALOR]]/PRD[[#This Row],[KGS]],"")</f>
        <v>2.9456591070163007</v>
      </c>
      <c r="H2736" s="27"/>
    </row>
    <row r="2737" spans="1:8" x14ac:dyDescent="0.25">
      <c r="A2737" s="21">
        <v>4031812</v>
      </c>
      <c r="B2737" s="1">
        <v>45261</v>
      </c>
      <c r="C2737" t="s">
        <v>244</v>
      </c>
      <c r="D2737" s="19">
        <v>367.95</v>
      </c>
      <c r="E2737" s="17">
        <v>1109.53</v>
      </c>
      <c r="F2737" s="15">
        <f>IFERROR(PRD[[#This Row],[VALOR]]/PRD[[#This Row],[KGS]],"")</f>
        <v>3.0154368800108711</v>
      </c>
      <c r="H2737" s="27"/>
    </row>
    <row r="2738" spans="1:8" x14ac:dyDescent="0.25">
      <c r="A2738" s="21">
        <v>4031813</v>
      </c>
      <c r="B2738" s="1">
        <v>45261</v>
      </c>
      <c r="C2738" t="s">
        <v>464</v>
      </c>
      <c r="D2738" s="18">
        <v>455</v>
      </c>
      <c r="E2738" s="17">
        <v>300.64999999999998</v>
      </c>
      <c r="F2738" s="15">
        <f>IFERROR(PRD[[#This Row],[VALOR]]/PRD[[#This Row],[KGS]],"")</f>
        <v>0.66076923076923066</v>
      </c>
      <c r="H2738" s="27"/>
    </row>
    <row r="2739" spans="1:8" x14ac:dyDescent="0.25">
      <c r="A2739" s="21">
        <v>4031904</v>
      </c>
      <c r="B2739" s="1">
        <v>45261</v>
      </c>
      <c r="C2739" t="s">
        <v>246</v>
      </c>
      <c r="D2739" s="17">
        <v>1058.32</v>
      </c>
      <c r="E2739" s="17">
        <v>3107.83</v>
      </c>
      <c r="F2739" s="15">
        <f>IFERROR(PRD[[#This Row],[VALOR]]/PRD[[#This Row],[KGS]],"")</f>
        <v>2.9365692796129714</v>
      </c>
      <c r="H2739" s="27"/>
    </row>
    <row r="2740" spans="1:8" x14ac:dyDescent="0.25">
      <c r="A2740" s="21">
        <v>4032002</v>
      </c>
      <c r="B2740" s="1">
        <v>45261</v>
      </c>
      <c r="C2740" t="s">
        <v>793</v>
      </c>
      <c r="D2740" s="18">
        <v>5</v>
      </c>
      <c r="E2740" s="17">
        <v>30</v>
      </c>
      <c r="F2740" s="15">
        <f>IFERROR(PRD[[#This Row],[VALOR]]/PRD[[#This Row],[KGS]],"")</f>
        <v>6</v>
      </c>
      <c r="H2740" s="27"/>
    </row>
    <row r="2741" spans="1:8" x14ac:dyDescent="0.25">
      <c r="A2741" s="21">
        <v>4032205</v>
      </c>
      <c r="B2741" s="1">
        <v>45261</v>
      </c>
      <c r="C2741" t="s">
        <v>553</v>
      </c>
      <c r="D2741" s="19">
        <v>122.92</v>
      </c>
      <c r="E2741" s="17">
        <v>636.55999999999995</v>
      </c>
      <c r="F2741" s="15">
        <f>IFERROR(PRD[[#This Row],[VALOR]]/PRD[[#This Row],[KGS]],"")</f>
        <v>5.1786527822974291</v>
      </c>
      <c r="H2741" s="27"/>
    </row>
    <row r="2742" spans="1:8" x14ac:dyDescent="0.25">
      <c r="A2742" s="21">
        <v>4032206</v>
      </c>
      <c r="B2742" s="1">
        <v>45261</v>
      </c>
      <c r="C2742" t="s">
        <v>555</v>
      </c>
      <c r="D2742" s="19">
        <v>49.45</v>
      </c>
      <c r="E2742" s="17">
        <v>261</v>
      </c>
      <c r="F2742" s="15">
        <f>IFERROR(PRD[[#This Row],[VALOR]]/PRD[[#This Row],[KGS]],"")</f>
        <v>5.2780586450960563</v>
      </c>
      <c r="H2742" s="27"/>
    </row>
    <row r="2743" spans="1:8" x14ac:dyDescent="0.25">
      <c r="A2743" s="21">
        <v>4032312</v>
      </c>
      <c r="B2743" s="1">
        <v>45261</v>
      </c>
      <c r="C2743" t="s">
        <v>252</v>
      </c>
      <c r="D2743" s="19">
        <v>379.26</v>
      </c>
      <c r="E2743" s="17">
        <v>1607.16</v>
      </c>
      <c r="F2743" s="15">
        <f>IFERROR(PRD[[#This Row],[VALOR]]/PRD[[#This Row],[KGS]],"")</f>
        <v>4.2376206296472079</v>
      </c>
      <c r="H2743" s="27"/>
    </row>
    <row r="2744" spans="1:8" x14ac:dyDescent="0.25">
      <c r="A2744" s="21">
        <v>4032404</v>
      </c>
      <c r="B2744" s="1">
        <v>45261</v>
      </c>
      <c r="C2744" t="s">
        <v>254</v>
      </c>
      <c r="D2744" s="19">
        <v>296.68</v>
      </c>
      <c r="E2744" s="17">
        <v>1235.22</v>
      </c>
      <c r="F2744" s="15">
        <f>IFERROR(PRD[[#This Row],[VALOR]]/PRD[[#This Row],[KGS]],"")</f>
        <v>4.1634757988405013</v>
      </c>
      <c r="H2744" s="27"/>
    </row>
    <row r="2745" spans="1:8" x14ac:dyDescent="0.25">
      <c r="A2745" s="21">
        <v>4032500</v>
      </c>
      <c r="B2745" s="1">
        <v>45261</v>
      </c>
      <c r="C2745" t="s">
        <v>256</v>
      </c>
      <c r="D2745" s="19">
        <v>279.5</v>
      </c>
      <c r="E2745" s="17">
        <v>772.66</v>
      </c>
      <c r="F2745" s="15">
        <f>IFERROR(PRD[[#This Row],[VALOR]]/PRD[[#This Row],[KGS]],"")</f>
        <v>2.7644364937388191</v>
      </c>
      <c r="H2745" s="27"/>
    </row>
    <row r="2746" spans="1:8" x14ac:dyDescent="0.25">
      <c r="A2746" s="21">
        <v>4032611</v>
      </c>
      <c r="B2746" s="1">
        <v>45261</v>
      </c>
      <c r="C2746" t="s">
        <v>258</v>
      </c>
      <c r="D2746" s="19">
        <v>34.53</v>
      </c>
      <c r="E2746" s="17">
        <v>111.01</v>
      </c>
      <c r="F2746" s="15">
        <f>IFERROR(PRD[[#This Row],[VALOR]]/PRD[[#This Row],[KGS]],"")</f>
        <v>3.2148856067187954</v>
      </c>
      <c r="H2746" s="27"/>
    </row>
    <row r="2747" spans="1:8" x14ac:dyDescent="0.25">
      <c r="A2747" s="21">
        <v>4032704</v>
      </c>
      <c r="B2747" s="1">
        <v>45261</v>
      </c>
      <c r="C2747" t="s">
        <v>260</v>
      </c>
      <c r="D2747" s="19">
        <v>303.56</v>
      </c>
      <c r="E2747" s="17">
        <v>887.76</v>
      </c>
      <c r="F2747" s="15">
        <f>IFERROR(PRD[[#This Row],[VALOR]]/PRD[[#This Row],[KGS]],"")</f>
        <v>2.9244959810251681</v>
      </c>
      <c r="H2747" s="27"/>
    </row>
    <row r="2748" spans="1:8" x14ac:dyDescent="0.25">
      <c r="A2748" s="21">
        <v>4032800</v>
      </c>
      <c r="B2748" s="1">
        <v>45261</v>
      </c>
      <c r="C2748" t="s">
        <v>262</v>
      </c>
      <c r="D2748" s="19">
        <v>102</v>
      </c>
      <c r="E2748" s="17">
        <v>583.80999999999995</v>
      </c>
      <c r="F2748" s="15">
        <f>IFERROR(PRD[[#This Row],[VALOR]]/PRD[[#This Row],[KGS]],"")</f>
        <v>5.7236274509803913</v>
      </c>
      <c r="H2748" s="27"/>
    </row>
    <row r="2749" spans="1:8" x14ac:dyDescent="0.25">
      <c r="A2749" s="21">
        <v>4032902</v>
      </c>
      <c r="B2749" s="1">
        <v>45261</v>
      </c>
      <c r="C2749" t="s">
        <v>264</v>
      </c>
      <c r="D2749" s="19">
        <v>167.53</v>
      </c>
      <c r="E2749" s="17">
        <v>897.35</v>
      </c>
      <c r="F2749" s="15">
        <f>IFERROR(PRD[[#This Row],[VALOR]]/PRD[[#This Row],[KGS]],"")</f>
        <v>5.3563540858353731</v>
      </c>
      <c r="H2749" s="27"/>
    </row>
    <row r="2750" spans="1:8" x14ac:dyDescent="0.25">
      <c r="A2750" s="21">
        <v>4033011</v>
      </c>
      <c r="B2750" s="1">
        <v>45261</v>
      </c>
      <c r="C2750" t="s">
        <v>266</v>
      </c>
      <c r="D2750" s="19">
        <v>83.02</v>
      </c>
      <c r="E2750" s="17">
        <v>396.34</v>
      </c>
      <c r="F2750" s="15">
        <f>IFERROR(PRD[[#This Row],[VALOR]]/PRD[[#This Row],[KGS]],"")</f>
        <v>4.7740303541315345</v>
      </c>
      <c r="H2750" s="27"/>
    </row>
    <row r="2751" spans="1:8" x14ac:dyDescent="0.25">
      <c r="A2751" s="21">
        <v>4033111</v>
      </c>
      <c r="B2751" s="1">
        <v>45261</v>
      </c>
      <c r="C2751" t="s">
        <v>268</v>
      </c>
      <c r="D2751" s="19">
        <v>349.7</v>
      </c>
      <c r="E2751" s="17">
        <v>1496.75</v>
      </c>
      <c r="F2751" s="15">
        <f>IFERROR(PRD[[#This Row],[VALOR]]/PRD[[#This Row],[KGS]],"")</f>
        <v>4.280097226193881</v>
      </c>
      <c r="H2751" s="27"/>
    </row>
    <row r="2752" spans="1:8" x14ac:dyDescent="0.25">
      <c r="A2752" s="21">
        <v>4033211</v>
      </c>
      <c r="B2752" s="1">
        <v>45261</v>
      </c>
      <c r="C2752" t="s">
        <v>270</v>
      </c>
      <c r="D2752" s="19">
        <v>103.8</v>
      </c>
      <c r="E2752" s="17">
        <v>443.27</v>
      </c>
      <c r="F2752" s="15">
        <f>IFERROR(PRD[[#This Row],[VALOR]]/PRD[[#This Row],[KGS]],"")</f>
        <v>4.2704238921001929</v>
      </c>
      <c r="H2752" s="27"/>
    </row>
    <row r="2753" spans="1:8" x14ac:dyDescent="0.25">
      <c r="A2753" s="21">
        <v>4033311</v>
      </c>
      <c r="B2753" s="1">
        <v>45261</v>
      </c>
      <c r="C2753" t="s">
        <v>272</v>
      </c>
      <c r="D2753" s="18">
        <v>23</v>
      </c>
      <c r="E2753" s="17">
        <v>141.99</v>
      </c>
      <c r="F2753" s="15">
        <f>IFERROR(PRD[[#This Row],[VALOR]]/PRD[[#This Row],[KGS]],"")</f>
        <v>6.1734782608695653</v>
      </c>
      <c r="H2753" s="27"/>
    </row>
    <row r="2754" spans="1:8" x14ac:dyDescent="0.25">
      <c r="A2754" s="21">
        <v>4033400</v>
      </c>
      <c r="B2754" s="1">
        <v>45261</v>
      </c>
      <c r="C2754" t="s">
        <v>274</v>
      </c>
      <c r="D2754" s="17">
        <v>1182.4000000000001</v>
      </c>
      <c r="E2754" s="17">
        <v>3416.81</v>
      </c>
      <c r="F2754" s="15">
        <f>IFERROR(PRD[[#This Row],[VALOR]]/PRD[[#This Row],[KGS]],"")</f>
        <v>2.889724289580514</v>
      </c>
      <c r="H2754" s="27"/>
    </row>
    <row r="2755" spans="1:8" x14ac:dyDescent="0.25">
      <c r="A2755" s="21">
        <v>4033511</v>
      </c>
      <c r="B2755" s="1">
        <v>45261</v>
      </c>
      <c r="C2755" t="s">
        <v>276</v>
      </c>
      <c r="D2755" s="17">
        <v>1857.5</v>
      </c>
      <c r="E2755" s="17">
        <v>5852.76</v>
      </c>
      <c r="F2755" s="15">
        <f>IFERROR(PRD[[#This Row],[VALOR]]/PRD[[#This Row],[KGS]],"")</f>
        <v>3.1508802153432032</v>
      </c>
      <c r="H2755" s="27"/>
    </row>
    <row r="2756" spans="1:8" x14ac:dyDescent="0.25">
      <c r="A2756" s="21">
        <v>4033900</v>
      </c>
      <c r="B2756" s="1">
        <v>45261</v>
      </c>
      <c r="C2756" t="s">
        <v>278</v>
      </c>
      <c r="D2756" s="19">
        <v>89.49</v>
      </c>
      <c r="E2756" s="17">
        <v>460.88</v>
      </c>
      <c r="F2756" s="15">
        <f>IFERROR(PRD[[#This Row],[VALOR]]/PRD[[#This Row],[KGS]],"")</f>
        <v>5.1500726338138341</v>
      </c>
      <c r="H2756" s="27"/>
    </row>
    <row r="2757" spans="1:8" x14ac:dyDescent="0.25">
      <c r="A2757" s="21">
        <v>4034011</v>
      </c>
      <c r="B2757" s="1">
        <v>45261</v>
      </c>
      <c r="C2757" t="s">
        <v>280</v>
      </c>
      <c r="D2757" s="19">
        <v>867.9</v>
      </c>
      <c r="E2757" s="17">
        <v>4509.17</v>
      </c>
      <c r="F2757" s="15">
        <f>IFERROR(PRD[[#This Row],[VALOR]]/PRD[[#This Row],[KGS]],"")</f>
        <v>5.1954948726811843</v>
      </c>
      <c r="H2757" s="27"/>
    </row>
    <row r="2758" spans="1:8" x14ac:dyDescent="0.25">
      <c r="A2758" s="21">
        <v>4034211</v>
      </c>
      <c r="B2758" s="1">
        <v>45261</v>
      </c>
      <c r="C2758" t="s">
        <v>282</v>
      </c>
      <c r="D2758" s="19">
        <v>194.46</v>
      </c>
      <c r="E2758" s="17">
        <v>834.37</v>
      </c>
      <c r="F2758" s="15">
        <f>IFERROR(PRD[[#This Row],[VALOR]]/PRD[[#This Row],[KGS]],"")</f>
        <v>4.2907024580890667</v>
      </c>
      <c r="H2758" s="27"/>
    </row>
    <row r="2759" spans="1:8" x14ac:dyDescent="0.25">
      <c r="A2759" s="21">
        <v>4034400</v>
      </c>
      <c r="B2759" s="1">
        <v>45261</v>
      </c>
      <c r="C2759" t="s">
        <v>284</v>
      </c>
      <c r="D2759" s="19">
        <v>177.45</v>
      </c>
      <c r="E2759" s="17">
        <v>464.19</v>
      </c>
      <c r="F2759" s="15">
        <f>IFERROR(PRD[[#This Row],[VALOR]]/PRD[[#This Row],[KGS]],"")</f>
        <v>2.6158918005071854</v>
      </c>
      <c r="H2759" s="27"/>
    </row>
    <row r="2760" spans="1:8" x14ac:dyDescent="0.25">
      <c r="A2760" s="21">
        <v>4034502</v>
      </c>
      <c r="B2760" s="1">
        <v>45261</v>
      </c>
      <c r="C2760" t="s">
        <v>286</v>
      </c>
      <c r="D2760" s="18">
        <v>39</v>
      </c>
      <c r="E2760" s="17">
        <v>112.11</v>
      </c>
      <c r="F2760" s="15">
        <f>IFERROR(PRD[[#This Row],[VALOR]]/PRD[[#This Row],[KGS]],"")</f>
        <v>2.8746153846153848</v>
      </c>
      <c r="H2760" s="27"/>
    </row>
    <row r="2761" spans="1:8" x14ac:dyDescent="0.25">
      <c r="A2761" s="21">
        <v>8030004</v>
      </c>
      <c r="B2761" s="1">
        <v>45261</v>
      </c>
      <c r="C2761" t="s">
        <v>697</v>
      </c>
      <c r="D2761" s="18">
        <v>2</v>
      </c>
      <c r="E2761" s="17">
        <v>20</v>
      </c>
      <c r="F2761" s="15">
        <f>IFERROR(PRD[[#This Row],[VALOR]]/PRD[[#This Row],[KGS]],"")</f>
        <v>10</v>
      </c>
      <c r="H2761" s="27"/>
    </row>
    <row r="2762" spans="1:8" x14ac:dyDescent="0.25">
      <c r="A2762" s="21">
        <v>8040008</v>
      </c>
      <c r="B2762" s="1">
        <v>45261</v>
      </c>
      <c r="C2762" t="s">
        <v>318</v>
      </c>
      <c r="D2762" s="19">
        <v>28.74</v>
      </c>
      <c r="E2762" s="17">
        <v>385.09</v>
      </c>
      <c r="F2762" s="15">
        <f>IFERROR(PRD[[#This Row],[VALOR]]/PRD[[#This Row],[KGS]],"")</f>
        <v>13.399095337508699</v>
      </c>
      <c r="H2762" s="27"/>
    </row>
    <row r="2763" spans="1:8" x14ac:dyDescent="0.25">
      <c r="A2763" s="21">
        <v>8040011</v>
      </c>
      <c r="B2763" s="1">
        <v>45261</v>
      </c>
      <c r="C2763" t="s">
        <v>560</v>
      </c>
      <c r="D2763" s="18">
        <v>6</v>
      </c>
      <c r="E2763" s="17">
        <v>17.940000000000001</v>
      </c>
      <c r="F2763" s="15">
        <f>IFERROR(PRD[[#This Row],[VALOR]]/PRD[[#This Row],[KGS]],"")</f>
        <v>2.99</v>
      </c>
      <c r="H2763" s="27"/>
    </row>
    <row r="2764" spans="1:8" x14ac:dyDescent="0.25">
      <c r="A2764" s="21">
        <v>8040037</v>
      </c>
      <c r="B2764" s="1">
        <v>45261</v>
      </c>
      <c r="C2764" t="s">
        <v>794</v>
      </c>
      <c r="D2764" s="19">
        <v>30.34</v>
      </c>
      <c r="E2764" s="17">
        <v>399.91</v>
      </c>
      <c r="F2764" s="15">
        <f>IFERROR(PRD[[#This Row],[VALOR]]/PRD[[#This Row],[KGS]],"")</f>
        <v>13.180949241924852</v>
      </c>
      <c r="H2764" s="27"/>
    </row>
    <row r="2765" spans="1:8" x14ac:dyDescent="0.25">
      <c r="A2765" s="21">
        <v>8040048</v>
      </c>
      <c r="B2765" s="1">
        <v>45261</v>
      </c>
      <c r="C2765" t="s">
        <v>699</v>
      </c>
      <c r="D2765" s="18">
        <v>17</v>
      </c>
      <c r="E2765" s="17">
        <v>-18.829999999999998</v>
      </c>
      <c r="F2765" s="15">
        <f>IFERROR(PRD[[#This Row],[VALOR]]/PRD[[#This Row],[KGS]],"")</f>
        <v>-1.1076470588235292</v>
      </c>
      <c r="H2765" s="27"/>
    </row>
    <row r="2766" spans="1:8" x14ac:dyDescent="0.25">
      <c r="A2766" s="21">
        <v>8040050</v>
      </c>
      <c r="B2766" s="1">
        <v>45261</v>
      </c>
      <c r="C2766" t="s">
        <v>746</v>
      </c>
      <c r="D2766" s="19">
        <v>12.8</v>
      </c>
      <c r="E2766" s="17">
        <v>167.68</v>
      </c>
      <c r="F2766" s="15">
        <f>IFERROR(PRD[[#This Row],[VALOR]]/PRD[[#This Row],[KGS]],"")</f>
        <v>13.1</v>
      </c>
      <c r="H2766" s="27"/>
    </row>
    <row r="2767" spans="1:8" x14ac:dyDescent="0.25">
      <c r="A2767" s="21">
        <v>8040053</v>
      </c>
      <c r="B2767" s="1">
        <v>45261</v>
      </c>
      <c r="C2767" t="s">
        <v>747</v>
      </c>
      <c r="D2767" s="18">
        <v>17</v>
      </c>
      <c r="E2767" s="17">
        <v>196.99</v>
      </c>
      <c r="F2767" s="15">
        <f>IFERROR(PRD[[#This Row],[VALOR]]/PRD[[#This Row],[KGS]],"")</f>
        <v>11.58764705882353</v>
      </c>
      <c r="H2767" s="27"/>
    </row>
    <row r="2768" spans="1:8" x14ac:dyDescent="0.25">
      <c r="A2768" s="21">
        <v>8070009</v>
      </c>
      <c r="B2768" s="1">
        <v>45261</v>
      </c>
      <c r="C2768" t="s">
        <v>581</v>
      </c>
      <c r="D2768" s="18">
        <v>336</v>
      </c>
      <c r="E2768" s="17">
        <v>1092</v>
      </c>
      <c r="F2768" s="15">
        <f>IFERROR(PRD[[#This Row],[VALOR]]/PRD[[#This Row],[KGS]],"")</f>
        <v>3.25</v>
      </c>
      <c r="H2768" s="27"/>
    </row>
    <row r="2769" spans="1:8" x14ac:dyDescent="0.25">
      <c r="A2769" s="21">
        <v>8070018</v>
      </c>
      <c r="B2769" s="1">
        <v>45261</v>
      </c>
      <c r="C2769" t="s">
        <v>397</v>
      </c>
      <c r="D2769" s="19">
        <v>2.8</v>
      </c>
      <c r="E2769" s="17">
        <v>9.6300000000000008</v>
      </c>
      <c r="F2769" s="15">
        <f>IFERROR(PRD[[#This Row],[VALOR]]/PRD[[#This Row],[KGS]],"")</f>
        <v>3.4392857142857149</v>
      </c>
      <c r="H2769" s="27"/>
    </row>
    <row r="2770" spans="1:8" x14ac:dyDescent="0.25">
      <c r="A2770" s="21">
        <v>8070026</v>
      </c>
      <c r="B2770" s="1">
        <v>45261</v>
      </c>
      <c r="C2770" t="s">
        <v>584</v>
      </c>
      <c r="D2770" s="18">
        <v>510</v>
      </c>
      <c r="E2770" s="17">
        <v>1689</v>
      </c>
      <c r="F2770" s="15">
        <f>IFERROR(PRD[[#This Row],[VALOR]]/PRD[[#This Row],[KGS]],"")</f>
        <v>3.3117647058823527</v>
      </c>
      <c r="H2770" s="27"/>
    </row>
    <row r="2771" spans="1:8" x14ac:dyDescent="0.25">
      <c r="A2771" s="21">
        <v>8070027</v>
      </c>
      <c r="B2771" s="1">
        <v>45261</v>
      </c>
      <c r="C2771" t="s">
        <v>772</v>
      </c>
      <c r="D2771" s="19">
        <v>370.6</v>
      </c>
      <c r="E2771" s="17">
        <v>1334.48</v>
      </c>
      <c r="F2771" s="15">
        <f>IFERROR(PRD[[#This Row],[VALOR]]/PRD[[#This Row],[KGS]],"")</f>
        <v>3.6008634646519155</v>
      </c>
      <c r="H2771" s="27"/>
    </row>
    <row r="2772" spans="1:8" x14ac:dyDescent="0.25">
      <c r="A2772" s="21">
        <v>8070028</v>
      </c>
      <c r="B2772" s="1">
        <v>45261</v>
      </c>
      <c r="C2772" t="s">
        <v>748</v>
      </c>
      <c r="D2772" s="17">
        <v>1560</v>
      </c>
      <c r="E2772" s="17">
        <v>5148</v>
      </c>
      <c r="F2772" s="15">
        <f>IFERROR(PRD[[#This Row],[VALOR]]/PRD[[#This Row],[KGS]],"")</f>
        <v>3.3</v>
      </c>
      <c r="H2772" s="27"/>
    </row>
    <row r="2773" spans="1:8" x14ac:dyDescent="0.25">
      <c r="A2773" s="21">
        <v>8070051</v>
      </c>
      <c r="B2773" s="1">
        <v>45261</v>
      </c>
      <c r="C2773" t="s">
        <v>750</v>
      </c>
      <c r="D2773" s="17">
        <v>0.9</v>
      </c>
      <c r="E2773" s="17">
        <v>5.01</v>
      </c>
      <c r="F2773" s="15">
        <f>IFERROR(PRD[[#This Row],[VALOR]]/PRD[[#This Row],[KGS]],"")</f>
        <v>5.5666666666666664</v>
      </c>
      <c r="H2773" s="27"/>
    </row>
    <row r="2774" spans="1:8" x14ac:dyDescent="0.25">
      <c r="A2774" s="21">
        <v>8070060</v>
      </c>
      <c r="B2774" s="1">
        <v>45261</v>
      </c>
      <c r="C2774" t="s">
        <v>701</v>
      </c>
      <c r="D2774" s="18">
        <v>2</v>
      </c>
      <c r="E2774" s="17">
        <v>4.38</v>
      </c>
      <c r="F2774" s="15">
        <f>IFERROR(PRD[[#This Row],[VALOR]]/PRD[[#This Row],[KGS]],"")</f>
        <v>2.19</v>
      </c>
      <c r="H2774" s="27"/>
    </row>
    <row r="2775" spans="1:8" x14ac:dyDescent="0.25">
      <c r="A2775" s="21">
        <v>8070061</v>
      </c>
      <c r="B2775" s="1">
        <v>45261</v>
      </c>
      <c r="C2775" t="s">
        <v>752</v>
      </c>
      <c r="D2775" s="18">
        <v>2</v>
      </c>
      <c r="E2775" s="17">
        <v>5.18</v>
      </c>
      <c r="F2775" s="15">
        <f>IFERROR(PRD[[#This Row],[VALOR]]/PRD[[#This Row],[KGS]],"")</f>
        <v>2.59</v>
      </c>
      <c r="H2775" s="27"/>
    </row>
    <row r="2776" spans="1:8" x14ac:dyDescent="0.25">
      <c r="A2776" s="21">
        <v>8070069</v>
      </c>
      <c r="B2776" s="1">
        <v>45261</v>
      </c>
      <c r="C2776" t="s">
        <v>774</v>
      </c>
      <c r="D2776" s="18">
        <v>504</v>
      </c>
      <c r="E2776" s="17">
        <v>604.79999999999995</v>
      </c>
      <c r="F2776" s="15">
        <f>IFERROR(PRD[[#This Row],[VALOR]]/PRD[[#This Row],[KGS]],"")</f>
        <v>1.2</v>
      </c>
      <c r="H2776" s="27"/>
    </row>
    <row r="2777" spans="1:8" x14ac:dyDescent="0.25">
      <c r="A2777" s="21">
        <v>8120003</v>
      </c>
      <c r="B2777" s="1">
        <v>45261</v>
      </c>
      <c r="C2777" t="s">
        <v>376</v>
      </c>
      <c r="D2777" s="19">
        <v>16.100000000000001</v>
      </c>
      <c r="E2777" s="17">
        <v>53.2</v>
      </c>
      <c r="F2777" s="15">
        <f>IFERROR(PRD[[#This Row],[VALOR]]/PRD[[#This Row],[KGS]],"")</f>
        <v>3.3043478260869565</v>
      </c>
      <c r="H2777" s="27"/>
    </row>
    <row r="2778" spans="1:8" x14ac:dyDescent="0.25">
      <c r="A2778" s="21">
        <v>8120004</v>
      </c>
      <c r="B2778" s="1">
        <v>45261</v>
      </c>
      <c r="C2778" t="s">
        <v>406</v>
      </c>
      <c r="D2778" s="18">
        <v>4</v>
      </c>
      <c r="E2778" s="17">
        <v>24.52</v>
      </c>
      <c r="F2778" s="15">
        <f>IFERROR(PRD[[#This Row],[VALOR]]/PRD[[#This Row],[KGS]],"")</f>
        <v>6.13</v>
      </c>
      <c r="H2778" s="27"/>
    </row>
    <row r="2779" spans="1:8" x14ac:dyDescent="0.25">
      <c r="A2779" s="21">
        <v>8120007</v>
      </c>
      <c r="B2779" s="1">
        <v>45261</v>
      </c>
      <c r="C2779" t="s">
        <v>377</v>
      </c>
      <c r="D2779" s="19">
        <v>30.15</v>
      </c>
      <c r="E2779" s="17">
        <v>287.33</v>
      </c>
      <c r="F2779" s="15">
        <f>IFERROR(PRD[[#This Row],[VALOR]]/PRD[[#This Row],[KGS]],"")</f>
        <v>9.5300165837479263</v>
      </c>
      <c r="H2779" s="27"/>
    </row>
    <row r="2780" spans="1:8" x14ac:dyDescent="0.25">
      <c r="A2780" s="21">
        <v>8120008</v>
      </c>
      <c r="B2780" s="1">
        <v>45261</v>
      </c>
      <c r="C2780" t="s">
        <v>409</v>
      </c>
      <c r="D2780" s="19">
        <v>65.819999999999993</v>
      </c>
      <c r="E2780" s="17">
        <v>748.58</v>
      </c>
      <c r="F2780" s="15">
        <f>IFERROR(PRD[[#This Row],[VALOR]]/PRD[[#This Row],[KGS]],"")</f>
        <v>11.373138863567307</v>
      </c>
      <c r="H2780" s="27"/>
    </row>
    <row r="2781" spans="1:8" x14ac:dyDescent="0.25">
      <c r="A2781" s="21">
        <v>8120052</v>
      </c>
      <c r="B2781" s="1">
        <v>45261</v>
      </c>
      <c r="C2781" t="s">
        <v>783</v>
      </c>
      <c r="D2781" s="19">
        <v>13.82</v>
      </c>
      <c r="E2781" s="17">
        <v>41.55</v>
      </c>
      <c r="F2781" s="15">
        <f>IFERROR(PRD[[#This Row],[VALOR]]/PRD[[#This Row],[KGS]],"")</f>
        <v>3.0065123010130241</v>
      </c>
      <c r="H2781" s="27"/>
    </row>
    <row r="2782" spans="1:8" x14ac:dyDescent="0.25">
      <c r="A2782" s="21">
        <v>8130001</v>
      </c>
      <c r="B2782" s="1">
        <v>45261</v>
      </c>
      <c r="C2782" t="s">
        <v>380</v>
      </c>
      <c r="D2782" s="18">
        <v>3</v>
      </c>
      <c r="E2782" s="17">
        <v>6.78</v>
      </c>
      <c r="F2782" s="15">
        <f>IFERROR(PRD[[#This Row],[VALOR]]/PRD[[#This Row],[KGS]],"")</f>
        <v>2.2600000000000002</v>
      </c>
      <c r="H2782" s="27"/>
    </row>
    <row r="2783" spans="1:8" x14ac:dyDescent="0.25">
      <c r="A2783" s="21">
        <v>8130007</v>
      </c>
      <c r="B2783" s="1">
        <v>45261</v>
      </c>
      <c r="C2783" t="s">
        <v>737</v>
      </c>
      <c r="D2783" s="18">
        <v>200</v>
      </c>
      <c r="E2783" s="17">
        <v>312</v>
      </c>
      <c r="F2783" s="15">
        <f>IFERROR(PRD[[#This Row],[VALOR]]/PRD[[#This Row],[KGS]],"")</f>
        <v>1.56</v>
      </c>
      <c r="H2783" s="27"/>
    </row>
    <row r="2784" spans="1:8" x14ac:dyDescent="0.25">
      <c r="A2784" s="21">
        <v>8130009</v>
      </c>
      <c r="B2784" s="1">
        <v>45261</v>
      </c>
      <c r="C2784" t="s">
        <v>738</v>
      </c>
      <c r="D2784" s="18">
        <v>300</v>
      </c>
      <c r="E2784" s="17">
        <v>552</v>
      </c>
      <c r="F2784" s="15">
        <f>IFERROR(PRD[[#This Row],[VALOR]]/PRD[[#This Row],[KGS]],"")</f>
        <v>1.84</v>
      </c>
      <c r="H2784" s="27"/>
    </row>
    <row r="2785" spans="1:8" x14ac:dyDescent="0.25">
      <c r="A2785" s="21">
        <v>8130010</v>
      </c>
      <c r="B2785" s="1">
        <v>45261</v>
      </c>
      <c r="C2785" t="s">
        <v>619</v>
      </c>
      <c r="D2785" s="18">
        <v>360</v>
      </c>
      <c r="E2785" s="17">
        <v>488.45</v>
      </c>
      <c r="F2785" s="15">
        <f>IFERROR(PRD[[#This Row],[VALOR]]/PRD[[#This Row],[KGS]],"")</f>
        <v>1.3568055555555556</v>
      </c>
      <c r="H2785" s="27"/>
    </row>
    <row r="2786" spans="1:8" x14ac:dyDescent="0.25">
      <c r="A2786" s="21">
        <v>8130013</v>
      </c>
      <c r="B2786" s="1">
        <v>45261</v>
      </c>
      <c r="C2786" t="s">
        <v>416</v>
      </c>
      <c r="D2786" s="18">
        <v>800</v>
      </c>
      <c r="E2786" s="17">
        <v>1760</v>
      </c>
      <c r="F2786" s="15">
        <f>IFERROR(PRD[[#This Row],[VALOR]]/PRD[[#This Row],[KGS]],"")</f>
        <v>2.2000000000000002</v>
      </c>
      <c r="H2786" s="27"/>
    </row>
    <row r="2787" spans="1:8" x14ac:dyDescent="0.25">
      <c r="A2787" s="21">
        <v>8130015</v>
      </c>
      <c r="B2787" s="1">
        <v>45261</v>
      </c>
      <c r="C2787" t="s">
        <v>622</v>
      </c>
      <c r="D2787" s="18">
        <v>14</v>
      </c>
      <c r="E2787" s="17">
        <v>51.95</v>
      </c>
      <c r="F2787" s="15">
        <f>IFERROR(PRD[[#This Row],[VALOR]]/PRD[[#This Row],[KGS]],"")</f>
        <v>3.7107142857142859</v>
      </c>
      <c r="H2787" s="27"/>
    </row>
    <row r="2788" spans="1:8" x14ac:dyDescent="0.25">
      <c r="A2788" s="21">
        <v>8130016</v>
      </c>
      <c r="B2788" s="1">
        <v>45261</v>
      </c>
      <c r="C2788" t="s">
        <v>776</v>
      </c>
      <c r="D2788" s="18">
        <v>530</v>
      </c>
      <c r="E2788" s="17">
        <v>2014</v>
      </c>
      <c r="F2788" s="15">
        <f>IFERROR(PRD[[#This Row],[VALOR]]/PRD[[#This Row],[KGS]],"")</f>
        <v>3.8</v>
      </c>
      <c r="H2788" s="27"/>
    </row>
    <row r="2789" spans="1:8" x14ac:dyDescent="0.25">
      <c r="A2789" s="21">
        <v>8130017</v>
      </c>
      <c r="B2789" s="1">
        <v>45261</v>
      </c>
      <c r="C2789" t="s">
        <v>795</v>
      </c>
      <c r="D2789" s="18">
        <v>972</v>
      </c>
      <c r="E2789" s="17">
        <v>2896.56</v>
      </c>
      <c r="F2789" s="15">
        <f>IFERROR(PRD[[#This Row],[VALOR]]/PRD[[#This Row],[KGS]],"")</f>
        <v>2.98</v>
      </c>
      <c r="H2789" s="27"/>
    </row>
    <row r="2790" spans="1:8" x14ac:dyDescent="0.25">
      <c r="A2790" s="21">
        <v>8140006</v>
      </c>
      <c r="B2790" s="1">
        <v>45261</v>
      </c>
      <c r="C2790" t="s">
        <v>423</v>
      </c>
      <c r="D2790" s="18">
        <v>11</v>
      </c>
      <c r="E2790" s="17">
        <v>25.52</v>
      </c>
      <c r="F2790" s="15">
        <f>IFERROR(PRD[[#This Row],[VALOR]]/PRD[[#This Row],[KGS]],"")</f>
        <v>2.3199999999999998</v>
      </c>
      <c r="H2790" s="27"/>
    </row>
    <row r="2791" spans="1:8" x14ac:dyDescent="0.25">
      <c r="A2791" s="21">
        <v>8140014</v>
      </c>
      <c r="B2791" s="1">
        <v>45261</v>
      </c>
      <c r="C2791" t="s">
        <v>675</v>
      </c>
      <c r="D2791" s="18">
        <v>4</v>
      </c>
      <c r="E2791" s="17">
        <v>4.1500000000000004</v>
      </c>
      <c r="F2791" s="15">
        <f>IFERROR(PRD[[#This Row],[VALOR]]/PRD[[#This Row],[KGS]],"")</f>
        <v>1.0375000000000001</v>
      </c>
      <c r="H2791" s="27"/>
    </row>
    <row r="2792" spans="1:8" x14ac:dyDescent="0.25">
      <c r="A2792" s="21">
        <v>8140015</v>
      </c>
      <c r="B2792" s="1">
        <v>45261</v>
      </c>
      <c r="C2792" t="s">
        <v>676</v>
      </c>
      <c r="D2792" s="18">
        <v>6</v>
      </c>
      <c r="E2792" s="17">
        <v>6.24</v>
      </c>
      <c r="F2792" s="15">
        <f>IFERROR(PRD[[#This Row],[VALOR]]/PRD[[#This Row],[KGS]],"")</f>
        <v>1.04</v>
      </c>
      <c r="H2792" s="27"/>
    </row>
    <row r="2793" spans="1:8" x14ac:dyDescent="0.25">
      <c r="A2793" s="21">
        <v>8140016</v>
      </c>
      <c r="B2793" s="1">
        <v>45261</v>
      </c>
      <c r="C2793" t="s">
        <v>677</v>
      </c>
      <c r="D2793" s="18">
        <v>150</v>
      </c>
      <c r="E2793" s="17">
        <v>578.76</v>
      </c>
      <c r="F2793" s="15">
        <f>IFERROR(PRD[[#This Row],[VALOR]]/PRD[[#This Row],[KGS]],"")</f>
        <v>3.8584000000000001</v>
      </c>
      <c r="H2793" s="27"/>
    </row>
    <row r="2794" spans="1:8" x14ac:dyDescent="0.25">
      <c r="A2794" s="21">
        <v>8150001</v>
      </c>
      <c r="B2794" s="1">
        <v>45261</v>
      </c>
      <c r="C2794" t="s">
        <v>382</v>
      </c>
      <c r="D2794" s="17">
        <v>1091</v>
      </c>
      <c r="E2794" s="17">
        <v>14116.3</v>
      </c>
      <c r="F2794" s="15">
        <f>IFERROR(PRD[[#This Row],[VALOR]]/PRD[[#This Row],[KGS]],"")</f>
        <v>12.938863428047663</v>
      </c>
      <c r="H2794" s="27"/>
    </row>
    <row r="2795" spans="1:8" x14ac:dyDescent="0.25">
      <c r="A2795" s="21">
        <v>8150003</v>
      </c>
      <c r="B2795" s="1">
        <v>45261</v>
      </c>
      <c r="C2795" t="s">
        <v>384</v>
      </c>
      <c r="D2795" s="17">
        <v>3150</v>
      </c>
      <c r="E2795" s="17">
        <v>22680</v>
      </c>
      <c r="F2795" s="15">
        <f>IFERROR(PRD[[#This Row],[VALOR]]/PRD[[#This Row],[KGS]],"")</f>
        <v>7.2</v>
      </c>
      <c r="H2795" s="27"/>
    </row>
    <row r="2796" spans="1:8" x14ac:dyDescent="0.25">
      <c r="A2796" s="21">
        <v>8150004</v>
      </c>
      <c r="B2796" s="1">
        <v>45261</v>
      </c>
      <c r="C2796" t="s">
        <v>625</v>
      </c>
      <c r="D2796" s="17">
        <v>4519</v>
      </c>
      <c r="E2796" s="17">
        <v>27372.2</v>
      </c>
      <c r="F2796" s="15">
        <f>IFERROR(PRD[[#This Row],[VALOR]]/PRD[[#This Row],[KGS]],"")</f>
        <v>6.0571365346315558</v>
      </c>
      <c r="H2796" s="27"/>
    </row>
    <row r="2797" spans="1:8" x14ac:dyDescent="0.25">
      <c r="A2797" s="21">
        <v>8150005</v>
      </c>
      <c r="B2797" s="1">
        <v>45261</v>
      </c>
      <c r="C2797" t="s">
        <v>386</v>
      </c>
      <c r="D2797" s="18">
        <v>90</v>
      </c>
      <c r="E2797" s="17">
        <v>495</v>
      </c>
      <c r="F2797" s="15">
        <f>IFERROR(PRD[[#This Row],[VALOR]]/PRD[[#This Row],[KGS]],"")</f>
        <v>5.5</v>
      </c>
      <c r="H2797" s="27"/>
    </row>
    <row r="2798" spans="1:8" x14ac:dyDescent="0.25">
      <c r="A2798" s="21">
        <v>8150006</v>
      </c>
      <c r="B2798" s="1">
        <v>45261</v>
      </c>
      <c r="C2798" t="s">
        <v>387</v>
      </c>
      <c r="D2798" s="18">
        <v>560</v>
      </c>
      <c r="E2798" s="17">
        <v>2688</v>
      </c>
      <c r="F2798" s="15">
        <f>IFERROR(PRD[[#This Row],[VALOR]]/PRD[[#This Row],[KGS]],"")</f>
        <v>4.8</v>
      </c>
      <c r="H2798" s="27"/>
    </row>
    <row r="2799" spans="1:8" x14ac:dyDescent="0.25">
      <c r="A2799" s="21">
        <v>8150009</v>
      </c>
      <c r="B2799" s="1">
        <v>45261</v>
      </c>
      <c r="C2799" t="s">
        <v>678</v>
      </c>
      <c r="D2799" s="18">
        <v>500</v>
      </c>
      <c r="E2799" s="17">
        <v>9400</v>
      </c>
      <c r="F2799" s="15">
        <f>IFERROR(PRD[[#This Row],[VALOR]]/PRD[[#This Row],[KGS]],"")</f>
        <v>18.8</v>
      </c>
      <c r="H2799" s="27"/>
    </row>
    <row r="2800" spans="1:8" x14ac:dyDescent="0.25">
      <c r="A2800" s="21">
        <v>8150014</v>
      </c>
      <c r="B2800" s="1">
        <v>45261</v>
      </c>
      <c r="C2800" t="s">
        <v>538</v>
      </c>
      <c r="D2800" s="18">
        <v>7</v>
      </c>
      <c r="E2800" s="17">
        <v>28.35</v>
      </c>
      <c r="F2800" s="15">
        <f>IFERROR(PRD[[#This Row],[VALOR]]/PRD[[#This Row],[KGS]],"")</f>
        <v>4.05</v>
      </c>
      <c r="H2800" s="27"/>
    </row>
    <row r="2801" spans="1:8" x14ac:dyDescent="0.25">
      <c r="A2801" s="21">
        <v>8150019</v>
      </c>
      <c r="B2801" s="1">
        <v>45261</v>
      </c>
      <c r="C2801" t="s">
        <v>680</v>
      </c>
      <c r="D2801" s="18">
        <v>10</v>
      </c>
      <c r="E2801" s="17">
        <v>50</v>
      </c>
      <c r="F2801" s="15">
        <f>IFERROR(PRD[[#This Row],[VALOR]]/PRD[[#This Row],[KGS]],"")</f>
        <v>5</v>
      </c>
      <c r="H2801" s="27"/>
    </row>
    <row r="2802" spans="1:8" x14ac:dyDescent="0.25">
      <c r="A2802" s="21">
        <v>8150020</v>
      </c>
      <c r="B2802" s="1">
        <v>45261</v>
      </c>
      <c r="C2802" t="s">
        <v>706</v>
      </c>
      <c r="D2802" s="18">
        <v>4</v>
      </c>
      <c r="E2802" s="17">
        <v>35.71</v>
      </c>
      <c r="F2802" s="15">
        <f>IFERROR(PRD[[#This Row],[VALOR]]/PRD[[#This Row],[KGS]],"")</f>
        <v>8.9275000000000002</v>
      </c>
      <c r="H2802" s="27"/>
    </row>
    <row r="2803" spans="1:8" x14ac:dyDescent="0.25">
      <c r="A2803" s="21" t="s">
        <v>426</v>
      </c>
      <c r="B2803" s="1">
        <v>45292</v>
      </c>
      <c r="C2803" t="s">
        <v>331</v>
      </c>
      <c r="D2803" s="18">
        <v>862.5</v>
      </c>
      <c r="E2803" s="31">
        <v>258.75</v>
      </c>
      <c r="F2803" s="15">
        <f>IFERROR(PRD[[#This Row],[VALOR]]/PRD[[#This Row],[KGS]],"")</f>
        <v>0.3</v>
      </c>
      <c r="H2803" s="27"/>
    </row>
    <row r="2804" spans="1:8" x14ac:dyDescent="0.25">
      <c r="A2804" s="21" t="s">
        <v>427</v>
      </c>
      <c r="B2804" s="1">
        <v>45292</v>
      </c>
      <c r="C2804" t="s">
        <v>333</v>
      </c>
      <c r="D2804" s="18">
        <v>177.1</v>
      </c>
      <c r="E2804" s="31">
        <v>53.13</v>
      </c>
      <c r="F2804" s="15">
        <f>IFERROR(PRD[[#This Row],[VALOR]]/PRD[[#This Row],[KGS]],"")</f>
        <v>0.30000000000000004</v>
      </c>
    </row>
    <row r="2805" spans="1:8" x14ac:dyDescent="0.25">
      <c r="A2805" s="21" t="s">
        <v>539</v>
      </c>
      <c r="B2805" s="1">
        <v>45292</v>
      </c>
      <c r="C2805" t="s">
        <v>540</v>
      </c>
      <c r="D2805" s="18">
        <v>4.8</v>
      </c>
      <c r="E2805" s="31">
        <v>9.6</v>
      </c>
      <c r="F2805" s="15">
        <f>IFERROR(PRD[[#This Row],[VALOR]]/PRD[[#This Row],[KGS]],"")</f>
        <v>2</v>
      </c>
    </row>
    <row r="2806" spans="1:8" x14ac:dyDescent="0.25">
      <c r="A2806" s="21" t="s">
        <v>5</v>
      </c>
      <c r="B2806" s="1">
        <v>45292</v>
      </c>
      <c r="C2806" t="s">
        <v>796</v>
      </c>
      <c r="D2806" s="18">
        <v>1288.2</v>
      </c>
      <c r="E2806" s="31">
        <v>1052.29</v>
      </c>
      <c r="F2806" s="15">
        <f>IFERROR(PRD[[#This Row],[VALOR]]/PRD[[#This Row],[KGS]],"")</f>
        <v>0.81686849868032907</v>
      </c>
    </row>
    <row r="2807" spans="1:8" x14ac:dyDescent="0.25">
      <c r="A2807" s="21" t="s">
        <v>7</v>
      </c>
      <c r="B2807" s="1">
        <v>45292</v>
      </c>
      <c r="C2807" t="s">
        <v>8</v>
      </c>
      <c r="D2807" s="18">
        <v>4754</v>
      </c>
      <c r="E2807" s="31">
        <v>4576.95</v>
      </c>
      <c r="F2807" s="15">
        <f>IFERROR(PRD[[#This Row],[VALOR]]/PRD[[#This Row],[KGS]],"")</f>
        <v>0.96275767774505672</v>
      </c>
    </row>
    <row r="2808" spans="1:8" x14ac:dyDescent="0.25">
      <c r="A2808" s="21" t="s">
        <v>9</v>
      </c>
      <c r="B2808" s="1">
        <v>45292</v>
      </c>
      <c r="C2808" t="s">
        <v>10</v>
      </c>
      <c r="D2808" s="18">
        <v>3951.28</v>
      </c>
      <c r="E2808" s="31">
        <v>8096.23</v>
      </c>
      <c r="F2808" s="15">
        <f>IFERROR(PRD[[#This Row],[VALOR]]/PRD[[#This Row],[KGS]],"")</f>
        <v>2.0490144965682004</v>
      </c>
    </row>
    <row r="2809" spans="1:8" x14ac:dyDescent="0.25">
      <c r="A2809" s="21" t="s">
        <v>11</v>
      </c>
      <c r="B2809" s="1">
        <v>45292</v>
      </c>
      <c r="C2809" t="s">
        <v>12</v>
      </c>
      <c r="D2809" s="18">
        <v>129.28</v>
      </c>
      <c r="E2809" s="31">
        <v>1079.52</v>
      </c>
      <c r="F2809" s="15">
        <f>IFERROR(PRD[[#This Row],[VALOR]]/PRD[[#This Row],[KGS]],"")</f>
        <v>8.3502475247524757</v>
      </c>
    </row>
    <row r="2810" spans="1:8" x14ac:dyDescent="0.25">
      <c r="A2810" s="21" t="s">
        <v>797</v>
      </c>
      <c r="B2810" s="1">
        <v>45292</v>
      </c>
      <c r="C2810" t="s">
        <v>798</v>
      </c>
      <c r="D2810" s="18">
        <v>102.3</v>
      </c>
      <c r="E2810" s="31">
        <v>208.61</v>
      </c>
      <c r="F2810" s="15">
        <f>IFERROR(PRD[[#This Row],[VALOR]]/PRD[[#This Row],[KGS]],"")</f>
        <v>2.0391984359726298</v>
      </c>
    </row>
    <row r="2811" spans="1:8" x14ac:dyDescent="0.25">
      <c r="A2811" s="21" t="s">
        <v>13</v>
      </c>
      <c r="B2811" s="1">
        <v>45292</v>
      </c>
      <c r="C2811" t="s">
        <v>14</v>
      </c>
      <c r="D2811" s="18">
        <v>10.029999999999999</v>
      </c>
      <c r="E2811" s="31">
        <v>82.45</v>
      </c>
      <c r="F2811" s="15">
        <f>IFERROR(PRD[[#This Row],[VALOR]]/PRD[[#This Row],[KGS]],"")</f>
        <v>8.2203389830508478</v>
      </c>
    </row>
    <row r="2812" spans="1:8" x14ac:dyDescent="0.25">
      <c r="A2812" s="21" t="s">
        <v>799</v>
      </c>
      <c r="B2812" s="1">
        <v>45292</v>
      </c>
      <c r="C2812" t="s">
        <v>800</v>
      </c>
      <c r="D2812" s="18">
        <v>282.98</v>
      </c>
      <c r="E2812" s="31">
        <v>1805.41</v>
      </c>
      <c r="F2812" s="15">
        <f>IFERROR(PRD[[#This Row],[VALOR]]/PRD[[#This Row],[KGS]],"")</f>
        <v>6.3799915188352534</v>
      </c>
    </row>
    <row r="2813" spans="1:8" x14ac:dyDescent="0.25">
      <c r="A2813" s="21" t="s">
        <v>801</v>
      </c>
      <c r="B2813" s="1">
        <v>45292</v>
      </c>
      <c r="C2813" t="s">
        <v>802</v>
      </c>
      <c r="D2813" s="18">
        <v>4.32</v>
      </c>
      <c r="E2813" s="31">
        <v>56.16</v>
      </c>
      <c r="F2813" s="15">
        <f>IFERROR(PRD[[#This Row],[VALOR]]/PRD[[#This Row],[KGS]],"")</f>
        <v>12.999999999999998</v>
      </c>
    </row>
    <row r="2814" spans="1:8" x14ac:dyDescent="0.25">
      <c r="A2814" s="21" t="s">
        <v>15</v>
      </c>
      <c r="B2814" s="1">
        <v>45292</v>
      </c>
      <c r="C2814" t="s">
        <v>336</v>
      </c>
      <c r="D2814" s="18">
        <v>17.600000000000001</v>
      </c>
      <c r="E2814" s="31">
        <v>25.05</v>
      </c>
      <c r="F2814" s="15">
        <f>IFERROR(PRD[[#This Row],[VALOR]]/PRD[[#This Row],[KGS]],"")</f>
        <v>1.4232954545454544</v>
      </c>
    </row>
    <row r="2815" spans="1:8" x14ac:dyDescent="0.25">
      <c r="A2815" s="21" t="s">
        <v>430</v>
      </c>
      <c r="B2815" s="1">
        <v>45292</v>
      </c>
      <c r="C2815" t="s">
        <v>431</v>
      </c>
      <c r="D2815" s="18">
        <v>1052.76</v>
      </c>
      <c r="E2815" s="31">
        <v>1290.3499999999999</v>
      </c>
      <c r="F2815" s="15">
        <f>IFERROR(PRD[[#This Row],[VALOR]]/PRD[[#This Row],[KGS]],"")</f>
        <v>1.2256829666780653</v>
      </c>
    </row>
    <row r="2816" spans="1:8" x14ac:dyDescent="0.25">
      <c r="A2816" s="21" t="s">
        <v>803</v>
      </c>
      <c r="B2816" s="1">
        <v>45292</v>
      </c>
      <c r="C2816" t="s">
        <v>629</v>
      </c>
      <c r="D2816" s="18">
        <v>581</v>
      </c>
      <c r="E2816" s="31">
        <v>499.96</v>
      </c>
      <c r="F2816" s="15">
        <f>IFERROR(PRD[[#This Row],[VALOR]]/PRD[[#This Row],[KGS]],"")</f>
        <v>0.86051635111876068</v>
      </c>
    </row>
    <row r="2817" spans="1:6" x14ac:dyDescent="0.25">
      <c r="A2817" s="21" t="s">
        <v>19</v>
      </c>
      <c r="B2817" s="1">
        <v>45292</v>
      </c>
      <c r="C2817" t="s">
        <v>20</v>
      </c>
      <c r="D2817" s="18">
        <v>1563.4</v>
      </c>
      <c r="E2817" s="31">
        <v>1129.83</v>
      </c>
      <c r="F2817" s="15">
        <f>IFERROR(PRD[[#This Row],[VALOR]]/PRD[[#This Row],[KGS]],"")</f>
        <v>0.72267493923500059</v>
      </c>
    </row>
    <row r="2818" spans="1:6" x14ac:dyDescent="0.25">
      <c r="A2818" s="21" t="s">
        <v>21</v>
      </c>
      <c r="B2818" s="1">
        <v>45292</v>
      </c>
      <c r="C2818" t="s">
        <v>22</v>
      </c>
      <c r="D2818" s="18">
        <v>42.3</v>
      </c>
      <c r="E2818" s="31">
        <v>21.67</v>
      </c>
      <c r="F2818" s="15">
        <f>IFERROR(PRD[[#This Row],[VALOR]]/PRD[[#This Row],[KGS]],"")</f>
        <v>0.51229314420803795</v>
      </c>
    </row>
    <row r="2819" spans="1:6" x14ac:dyDescent="0.25">
      <c r="A2819" s="21" t="s">
        <v>23</v>
      </c>
      <c r="B2819" s="1">
        <v>45292</v>
      </c>
      <c r="C2819" t="s">
        <v>24</v>
      </c>
      <c r="D2819" s="18">
        <v>102.7</v>
      </c>
      <c r="E2819" s="31">
        <v>145.34</v>
      </c>
      <c r="F2819" s="15">
        <f>IFERROR(PRD[[#This Row],[VALOR]]/PRD[[#This Row],[KGS]],"")</f>
        <v>1.4151898734177215</v>
      </c>
    </row>
    <row r="2820" spans="1:6" x14ac:dyDescent="0.25">
      <c r="A2820" s="21" t="s">
        <v>432</v>
      </c>
      <c r="B2820" s="1">
        <v>45292</v>
      </c>
      <c r="C2820" t="s">
        <v>338</v>
      </c>
      <c r="D2820" s="18">
        <v>128.30000000000001</v>
      </c>
      <c r="E2820" s="31">
        <v>346.41</v>
      </c>
      <c r="F2820" s="15">
        <f>IFERROR(PRD[[#This Row],[VALOR]]/PRD[[#This Row],[KGS]],"")</f>
        <v>2.7</v>
      </c>
    </row>
    <row r="2821" spans="1:6" x14ac:dyDescent="0.25">
      <c r="A2821" s="21" t="s">
        <v>433</v>
      </c>
      <c r="B2821" s="1">
        <v>45292</v>
      </c>
      <c r="C2821" t="s">
        <v>340</v>
      </c>
      <c r="D2821" s="18">
        <v>429.8</v>
      </c>
      <c r="E2821" s="31">
        <v>85.96</v>
      </c>
      <c r="F2821" s="15">
        <f>IFERROR(PRD[[#This Row],[VALOR]]/PRD[[#This Row],[KGS]],"")</f>
        <v>0.19999999999999998</v>
      </c>
    </row>
    <row r="2822" spans="1:6" x14ac:dyDescent="0.25">
      <c r="A2822" s="21" t="s">
        <v>434</v>
      </c>
      <c r="B2822" s="1">
        <v>45292</v>
      </c>
      <c r="C2822" t="s">
        <v>342</v>
      </c>
      <c r="D2822" s="18">
        <v>104</v>
      </c>
      <c r="E2822" s="31">
        <v>62.4</v>
      </c>
      <c r="F2822" s="15">
        <f>IFERROR(PRD[[#This Row],[VALOR]]/PRD[[#This Row],[KGS]],"")</f>
        <v>0.6</v>
      </c>
    </row>
    <row r="2823" spans="1:6" x14ac:dyDescent="0.25">
      <c r="A2823" s="21" t="s">
        <v>435</v>
      </c>
      <c r="B2823" s="1">
        <v>45292</v>
      </c>
      <c r="C2823" t="s">
        <v>344</v>
      </c>
      <c r="D2823" s="18">
        <v>130.69999999999999</v>
      </c>
      <c r="E2823" s="31">
        <v>222.19</v>
      </c>
      <c r="F2823" s="15">
        <f>IFERROR(PRD[[#This Row],[VALOR]]/PRD[[#This Row],[KGS]],"")</f>
        <v>1.7000000000000002</v>
      </c>
    </row>
    <row r="2824" spans="1:6" x14ac:dyDescent="0.25">
      <c r="A2824" s="21" t="s">
        <v>805</v>
      </c>
      <c r="B2824" s="1">
        <v>45292</v>
      </c>
      <c r="C2824" t="s">
        <v>685</v>
      </c>
      <c r="D2824" s="18">
        <v>217.9</v>
      </c>
      <c r="E2824" s="31">
        <v>76.28</v>
      </c>
      <c r="F2824" s="15">
        <f>IFERROR(PRD[[#This Row],[VALOR]]/PRD[[#This Row],[KGS]],"")</f>
        <v>0.35006883891693436</v>
      </c>
    </row>
    <row r="2825" spans="1:6" x14ac:dyDescent="0.25">
      <c r="A2825" s="21" t="s">
        <v>294</v>
      </c>
      <c r="B2825" s="1">
        <v>45292</v>
      </c>
      <c r="C2825" t="s">
        <v>295</v>
      </c>
      <c r="D2825" s="18">
        <v>8469.4</v>
      </c>
      <c r="E2825" s="31">
        <v>2436.64</v>
      </c>
      <c r="F2825" s="15">
        <f>IFERROR(PRD[[#This Row],[VALOR]]/PRD[[#This Row],[KGS]],"")</f>
        <v>0.28769924669988428</v>
      </c>
    </row>
    <row r="2826" spans="1:6" x14ac:dyDescent="0.25">
      <c r="A2826" s="21" t="s">
        <v>806</v>
      </c>
      <c r="B2826" s="1">
        <v>45292</v>
      </c>
      <c r="C2826" t="s">
        <v>25</v>
      </c>
      <c r="D2826" s="18">
        <v>28</v>
      </c>
      <c r="E2826" s="31">
        <v>70</v>
      </c>
      <c r="F2826" s="15">
        <f>IFERROR(PRD[[#This Row],[VALOR]]/PRD[[#This Row],[KGS]],"")</f>
        <v>2.5</v>
      </c>
    </row>
    <row r="2827" spans="1:6" x14ac:dyDescent="0.25">
      <c r="A2827" s="21" t="s">
        <v>26</v>
      </c>
      <c r="B2827" s="1">
        <v>45292</v>
      </c>
      <c r="C2827" t="s">
        <v>27</v>
      </c>
      <c r="D2827" s="18">
        <v>1455.18</v>
      </c>
      <c r="E2827" s="31">
        <v>1130.8599999999999</v>
      </c>
      <c r="F2827" s="15">
        <f>IFERROR(PRD[[#This Row],[VALOR]]/PRD[[#This Row],[KGS]],"")</f>
        <v>0.77712722824667724</v>
      </c>
    </row>
    <row r="2828" spans="1:6" x14ac:dyDescent="0.25">
      <c r="A2828" s="21" t="s">
        <v>28</v>
      </c>
      <c r="B2828" s="1">
        <v>45292</v>
      </c>
      <c r="C2828" t="s">
        <v>29</v>
      </c>
      <c r="D2828" s="18">
        <v>21641</v>
      </c>
      <c r="E2828" s="31">
        <v>1731.28</v>
      </c>
      <c r="F2828" s="15">
        <f>IFERROR(PRD[[#This Row],[VALOR]]/PRD[[#This Row],[KGS]],"")</f>
        <v>0.08</v>
      </c>
    </row>
    <row r="2829" spans="1:6" x14ac:dyDescent="0.25">
      <c r="A2829" s="21" t="s">
        <v>30</v>
      </c>
      <c r="B2829" s="1">
        <v>45292</v>
      </c>
      <c r="C2829" t="s">
        <v>31</v>
      </c>
      <c r="D2829" s="18">
        <v>328.5</v>
      </c>
      <c r="E2829" s="31">
        <v>523.29999999999995</v>
      </c>
      <c r="F2829" s="15">
        <f>IFERROR(PRD[[#This Row],[VALOR]]/PRD[[#This Row],[KGS]],"")</f>
        <v>1.5929984779299846</v>
      </c>
    </row>
    <row r="2830" spans="1:6" x14ac:dyDescent="0.25">
      <c r="A2830" s="21" t="s">
        <v>32</v>
      </c>
      <c r="B2830" s="1">
        <v>45292</v>
      </c>
      <c r="C2830" t="s">
        <v>33</v>
      </c>
      <c r="D2830" s="18">
        <v>4365.25</v>
      </c>
      <c r="E2830" s="31">
        <v>7253.09</v>
      </c>
      <c r="F2830" s="15">
        <f>IFERROR(PRD[[#This Row],[VALOR]]/PRD[[#This Row],[KGS]],"")</f>
        <v>1.661552030238818</v>
      </c>
    </row>
    <row r="2831" spans="1:6" x14ac:dyDescent="0.25">
      <c r="A2831" s="21" t="s">
        <v>34</v>
      </c>
      <c r="B2831" s="1">
        <v>45292</v>
      </c>
      <c r="C2831" t="s">
        <v>35</v>
      </c>
      <c r="D2831" s="18">
        <v>267.35000000000002</v>
      </c>
      <c r="E2831" s="31">
        <v>414.39</v>
      </c>
      <c r="F2831" s="15">
        <f>IFERROR(PRD[[#This Row],[VALOR]]/PRD[[#This Row],[KGS]],"")</f>
        <v>1.5499906489620345</v>
      </c>
    </row>
    <row r="2832" spans="1:6" x14ac:dyDescent="0.25">
      <c r="A2832" s="21" t="s">
        <v>36</v>
      </c>
      <c r="B2832" s="1">
        <v>45292</v>
      </c>
      <c r="C2832" t="s">
        <v>37</v>
      </c>
      <c r="D2832" s="18">
        <v>198.81</v>
      </c>
      <c r="E2832" s="31">
        <v>144.97999999999999</v>
      </c>
      <c r="F2832" s="15">
        <f>IFERROR(PRD[[#This Row],[VALOR]]/PRD[[#This Row],[KGS]],"")</f>
        <v>0.72923897188270204</v>
      </c>
    </row>
    <row r="2833" spans="1:6" x14ac:dyDescent="0.25">
      <c r="A2833" s="21" t="s">
        <v>301</v>
      </c>
      <c r="B2833" s="1">
        <v>45292</v>
      </c>
      <c r="C2833" t="s">
        <v>302</v>
      </c>
      <c r="D2833" s="18">
        <v>472.9</v>
      </c>
      <c r="E2833" s="31">
        <v>1324.12</v>
      </c>
      <c r="F2833" s="15">
        <f>IFERROR(PRD[[#This Row],[VALOR]]/PRD[[#This Row],[KGS]],"")</f>
        <v>2.8</v>
      </c>
    </row>
    <row r="2834" spans="1:6" x14ac:dyDescent="0.25">
      <c r="A2834" s="21" t="s">
        <v>38</v>
      </c>
      <c r="B2834" s="1">
        <v>45292</v>
      </c>
      <c r="C2834" t="s">
        <v>39</v>
      </c>
      <c r="D2834" s="18">
        <v>2271.6</v>
      </c>
      <c r="E2834" s="31">
        <v>3580.24</v>
      </c>
      <c r="F2834" s="15">
        <f>IFERROR(PRD[[#This Row],[VALOR]]/PRD[[#This Row],[KGS]],"")</f>
        <v>1.5760873393203028</v>
      </c>
    </row>
    <row r="2835" spans="1:6" x14ac:dyDescent="0.25">
      <c r="A2835" s="21" t="s">
        <v>40</v>
      </c>
      <c r="B2835" s="1">
        <v>45292</v>
      </c>
      <c r="C2835" t="s">
        <v>41</v>
      </c>
      <c r="D2835" s="18">
        <v>439.6</v>
      </c>
      <c r="E2835" s="31">
        <v>797.72</v>
      </c>
      <c r="F2835" s="15">
        <f>IFERROR(PRD[[#This Row],[VALOR]]/PRD[[#This Row],[KGS]],"")</f>
        <v>1.8146496815286624</v>
      </c>
    </row>
    <row r="2836" spans="1:6" x14ac:dyDescent="0.25">
      <c r="A2836" s="21" t="s">
        <v>42</v>
      </c>
      <c r="B2836" s="1">
        <v>45292</v>
      </c>
      <c r="C2836" t="s">
        <v>43</v>
      </c>
      <c r="D2836" s="18">
        <v>1865.1</v>
      </c>
      <c r="E2836" s="31">
        <v>3208.9</v>
      </c>
      <c r="F2836" s="15">
        <f>IFERROR(PRD[[#This Row],[VALOR]]/PRD[[#This Row],[KGS]],"")</f>
        <v>1.7204975604525228</v>
      </c>
    </row>
    <row r="2837" spans="1:6" x14ac:dyDescent="0.25">
      <c r="A2837" s="21" t="s">
        <v>807</v>
      </c>
      <c r="B2837" s="1">
        <v>45292</v>
      </c>
      <c r="C2837" t="s">
        <v>741</v>
      </c>
      <c r="D2837" s="18">
        <v>95.8</v>
      </c>
      <c r="E2837" s="31">
        <v>153.69999999999999</v>
      </c>
      <c r="F2837" s="15">
        <f>IFERROR(PRD[[#This Row],[VALOR]]/PRD[[#This Row],[KGS]],"")</f>
        <v>1.6043841336116909</v>
      </c>
    </row>
    <row r="2838" spans="1:6" x14ac:dyDescent="0.25">
      <c r="A2838" s="21" t="s">
        <v>808</v>
      </c>
      <c r="B2838" s="1">
        <v>45292</v>
      </c>
      <c r="C2838" t="s">
        <v>763</v>
      </c>
      <c r="D2838" s="18">
        <v>231.9</v>
      </c>
      <c r="E2838" s="31">
        <v>404.25</v>
      </c>
      <c r="F2838" s="15">
        <f>IFERROR(PRD[[#This Row],[VALOR]]/PRD[[#This Row],[KGS]],"")</f>
        <v>1.743208279430789</v>
      </c>
    </row>
    <row r="2839" spans="1:6" x14ac:dyDescent="0.25">
      <c r="A2839" s="21" t="s">
        <v>809</v>
      </c>
      <c r="B2839" s="1">
        <v>45292</v>
      </c>
      <c r="C2839" t="s">
        <v>810</v>
      </c>
      <c r="D2839" s="18">
        <v>600</v>
      </c>
      <c r="E2839" s="31">
        <v>1050</v>
      </c>
      <c r="F2839" s="15">
        <f>IFERROR(PRD[[#This Row],[VALOR]]/PRD[[#This Row],[KGS]],"")</f>
        <v>1.75</v>
      </c>
    </row>
    <row r="2840" spans="1:6" x14ac:dyDescent="0.25">
      <c r="A2840" s="21" t="s">
        <v>44</v>
      </c>
      <c r="B2840" s="1">
        <v>45292</v>
      </c>
      <c r="C2840" t="s">
        <v>45</v>
      </c>
      <c r="D2840" s="18">
        <v>596.6</v>
      </c>
      <c r="E2840" s="31">
        <v>873.07</v>
      </c>
      <c r="F2840" s="15">
        <f>IFERROR(PRD[[#This Row],[VALOR]]/PRD[[#This Row],[KGS]],"")</f>
        <v>1.4634093194770366</v>
      </c>
    </row>
    <row r="2841" spans="1:6" x14ac:dyDescent="0.25">
      <c r="A2841" s="21" t="s">
        <v>46</v>
      </c>
      <c r="B2841" s="1">
        <v>45292</v>
      </c>
      <c r="C2841" t="s">
        <v>811</v>
      </c>
      <c r="D2841" s="18">
        <v>240</v>
      </c>
      <c r="E2841" s="31">
        <v>310.5</v>
      </c>
      <c r="F2841" s="15">
        <f>IFERROR(PRD[[#This Row],[VALOR]]/PRD[[#This Row],[KGS]],"")</f>
        <v>1.29375</v>
      </c>
    </row>
    <row r="2842" spans="1:6" x14ac:dyDescent="0.25">
      <c r="A2842" s="21" t="s">
        <v>48</v>
      </c>
      <c r="B2842" s="1">
        <v>45292</v>
      </c>
      <c r="C2842" t="s">
        <v>49</v>
      </c>
      <c r="D2842" s="18">
        <v>1195.3800000000001</v>
      </c>
      <c r="E2842" s="31">
        <v>2071.02</v>
      </c>
      <c r="F2842" s="15">
        <f>IFERROR(PRD[[#This Row],[VALOR]]/PRD[[#This Row],[KGS]],"")</f>
        <v>1.7325202027807056</v>
      </c>
    </row>
    <row r="2843" spans="1:6" x14ac:dyDescent="0.25">
      <c r="A2843" s="21" t="s">
        <v>50</v>
      </c>
      <c r="B2843" s="1">
        <v>45292</v>
      </c>
      <c r="C2843" t="s">
        <v>51</v>
      </c>
      <c r="D2843" s="18">
        <v>46</v>
      </c>
      <c r="E2843" s="31">
        <v>66.22</v>
      </c>
      <c r="F2843" s="15">
        <f>IFERROR(PRD[[#This Row],[VALOR]]/PRD[[#This Row],[KGS]],"")</f>
        <v>1.4395652173913043</v>
      </c>
    </row>
    <row r="2844" spans="1:6" x14ac:dyDescent="0.25">
      <c r="A2844" s="21" t="s">
        <v>52</v>
      </c>
      <c r="B2844" s="1">
        <v>45292</v>
      </c>
      <c r="C2844" t="s">
        <v>53</v>
      </c>
      <c r="D2844" s="18">
        <v>1365.4</v>
      </c>
      <c r="E2844" s="31">
        <v>346.19</v>
      </c>
      <c r="F2844" s="15">
        <f>IFERROR(PRD[[#This Row],[VALOR]]/PRD[[#This Row],[KGS]],"")</f>
        <v>0.25354474879156291</v>
      </c>
    </row>
    <row r="2845" spans="1:6" x14ac:dyDescent="0.25">
      <c r="A2845" s="21" t="s">
        <v>54</v>
      </c>
      <c r="B2845" s="1">
        <v>45292</v>
      </c>
      <c r="C2845" t="s">
        <v>55</v>
      </c>
      <c r="D2845" s="18">
        <v>166</v>
      </c>
      <c r="E2845" s="31">
        <v>166</v>
      </c>
      <c r="F2845" s="15">
        <f>IFERROR(PRD[[#This Row],[VALOR]]/PRD[[#This Row],[KGS]],"")</f>
        <v>1</v>
      </c>
    </row>
    <row r="2846" spans="1:6" x14ac:dyDescent="0.25">
      <c r="A2846" s="21" t="s">
        <v>438</v>
      </c>
      <c r="B2846" s="1">
        <v>45292</v>
      </c>
      <c r="C2846" t="s">
        <v>389</v>
      </c>
      <c r="D2846" s="18">
        <v>8.8000000000000007</v>
      </c>
      <c r="E2846" s="31">
        <v>7.04</v>
      </c>
      <c r="F2846" s="15">
        <f>IFERROR(PRD[[#This Row],[VALOR]]/PRD[[#This Row],[KGS]],"")</f>
        <v>0.79999999999999993</v>
      </c>
    </row>
    <row r="2847" spans="1:6" x14ac:dyDescent="0.25">
      <c r="A2847" s="21" t="s">
        <v>56</v>
      </c>
      <c r="B2847" s="1">
        <v>45292</v>
      </c>
      <c r="C2847" t="s">
        <v>57</v>
      </c>
      <c r="D2847" s="18">
        <v>297.5</v>
      </c>
      <c r="E2847" s="31">
        <v>366.99</v>
      </c>
      <c r="F2847" s="15">
        <f>IFERROR(PRD[[#This Row],[VALOR]]/PRD[[#This Row],[KGS]],"")</f>
        <v>1.2335798319327731</v>
      </c>
    </row>
    <row r="2848" spans="1:6" x14ac:dyDescent="0.25">
      <c r="A2848" s="21" t="s">
        <v>440</v>
      </c>
      <c r="B2848" s="1">
        <v>45292</v>
      </c>
      <c r="C2848" t="s">
        <v>346</v>
      </c>
      <c r="D2848" s="18">
        <v>4365</v>
      </c>
      <c r="E2848" s="31">
        <v>2619</v>
      </c>
      <c r="F2848" s="15">
        <f>IFERROR(PRD[[#This Row],[VALOR]]/PRD[[#This Row],[KGS]],"")</f>
        <v>0.6</v>
      </c>
    </row>
    <row r="2849" spans="1:6" x14ac:dyDescent="0.25">
      <c r="A2849" s="21" t="s">
        <v>58</v>
      </c>
      <c r="B2849" s="1">
        <v>45292</v>
      </c>
      <c r="C2849" t="s">
        <v>59</v>
      </c>
      <c r="D2849" s="18">
        <v>2733</v>
      </c>
      <c r="E2849" s="31">
        <v>2966.95</v>
      </c>
      <c r="F2849" s="15">
        <f>IFERROR(PRD[[#This Row],[VALOR]]/PRD[[#This Row],[KGS]],"")</f>
        <v>1.0856019026710573</v>
      </c>
    </row>
    <row r="2850" spans="1:6" x14ac:dyDescent="0.25">
      <c r="A2850" s="21" t="s">
        <v>441</v>
      </c>
      <c r="B2850" s="1">
        <v>45292</v>
      </c>
      <c r="C2850" t="s">
        <v>347</v>
      </c>
      <c r="D2850" s="18">
        <v>674</v>
      </c>
      <c r="E2850" s="31">
        <v>712.8</v>
      </c>
      <c r="F2850" s="15">
        <f>IFERROR(PRD[[#This Row],[VALOR]]/PRD[[#This Row],[KGS]],"")</f>
        <v>1.0575667655786349</v>
      </c>
    </row>
    <row r="2851" spans="1:6" x14ac:dyDescent="0.25">
      <c r="A2851" s="21" t="s">
        <v>442</v>
      </c>
      <c r="B2851" s="1">
        <v>45292</v>
      </c>
      <c r="C2851" t="s">
        <v>443</v>
      </c>
      <c r="D2851" s="18">
        <v>4.5999999999999996</v>
      </c>
      <c r="E2851" s="31">
        <v>7.36</v>
      </c>
      <c r="F2851" s="15">
        <f>IFERROR(PRD[[#This Row],[VALOR]]/PRD[[#This Row],[KGS]],"")</f>
        <v>1.6</v>
      </c>
    </row>
    <row r="2852" spans="1:6" x14ac:dyDescent="0.25">
      <c r="A2852" s="21" t="s">
        <v>444</v>
      </c>
      <c r="B2852" s="1">
        <v>45292</v>
      </c>
      <c r="C2852" t="s">
        <v>348</v>
      </c>
      <c r="D2852" s="18">
        <v>922.4</v>
      </c>
      <c r="E2852" s="31">
        <v>276.72000000000003</v>
      </c>
      <c r="F2852" s="15">
        <f>IFERROR(PRD[[#This Row],[VALOR]]/PRD[[#This Row],[KGS]],"")</f>
        <v>0.30000000000000004</v>
      </c>
    </row>
    <row r="2853" spans="1:6" x14ac:dyDescent="0.25">
      <c r="A2853" s="21" t="s">
        <v>60</v>
      </c>
      <c r="B2853" s="1">
        <v>45292</v>
      </c>
      <c r="C2853" t="s">
        <v>61</v>
      </c>
      <c r="D2853" s="18">
        <v>32.6</v>
      </c>
      <c r="E2853" s="31">
        <v>16.3</v>
      </c>
      <c r="F2853" s="15">
        <f>IFERROR(PRD[[#This Row],[VALOR]]/PRD[[#This Row],[KGS]],"")</f>
        <v>0.5</v>
      </c>
    </row>
    <row r="2854" spans="1:6" x14ac:dyDescent="0.25">
      <c r="A2854" s="21" t="s">
        <v>62</v>
      </c>
      <c r="B2854" s="1">
        <v>45292</v>
      </c>
      <c r="C2854" t="s">
        <v>63</v>
      </c>
      <c r="D2854" s="18">
        <v>87656.6</v>
      </c>
      <c r="E2854" s="31">
        <v>218523.31</v>
      </c>
      <c r="F2854" s="15">
        <f>IFERROR(PRD[[#This Row],[VALOR]]/PRD[[#This Row],[KGS]],"")</f>
        <v>2.4929475932217309</v>
      </c>
    </row>
    <row r="2855" spans="1:6" x14ac:dyDescent="0.25">
      <c r="A2855" s="21" t="s">
        <v>64</v>
      </c>
      <c r="B2855" s="1">
        <v>45292</v>
      </c>
      <c r="C2855" t="s">
        <v>65</v>
      </c>
      <c r="D2855" s="18">
        <v>544.1</v>
      </c>
      <c r="E2855" s="31">
        <v>1365.7</v>
      </c>
      <c r="F2855" s="15">
        <f>IFERROR(PRD[[#This Row],[VALOR]]/PRD[[#This Row],[KGS]],"")</f>
        <v>2.5100165410770079</v>
      </c>
    </row>
    <row r="2856" spans="1:6" x14ac:dyDescent="0.25">
      <c r="A2856" s="21" t="s">
        <v>812</v>
      </c>
      <c r="B2856" s="1">
        <v>45292</v>
      </c>
      <c r="C2856" t="s">
        <v>789</v>
      </c>
      <c r="D2856" s="18">
        <v>92.2</v>
      </c>
      <c r="E2856" s="31">
        <v>230.5</v>
      </c>
      <c r="F2856" s="15">
        <f>IFERROR(PRD[[#This Row],[VALOR]]/PRD[[#This Row],[KGS]],"")</f>
        <v>2.5</v>
      </c>
    </row>
    <row r="2857" spans="1:6" x14ac:dyDescent="0.25">
      <c r="A2857" s="21" t="s">
        <v>66</v>
      </c>
      <c r="B2857" s="1">
        <v>45292</v>
      </c>
      <c r="C2857" t="s">
        <v>67</v>
      </c>
      <c r="D2857" s="18">
        <v>4147.3999999999996</v>
      </c>
      <c r="E2857" s="31">
        <v>12465.64</v>
      </c>
      <c r="F2857" s="15">
        <f>IFERROR(PRD[[#This Row],[VALOR]]/PRD[[#This Row],[KGS]],"")</f>
        <v>3.0056517336162418</v>
      </c>
    </row>
    <row r="2858" spans="1:6" x14ac:dyDescent="0.25">
      <c r="A2858" s="21" t="s">
        <v>68</v>
      </c>
      <c r="B2858" s="1">
        <v>45292</v>
      </c>
      <c r="C2858" t="s">
        <v>69</v>
      </c>
      <c r="D2858" s="18">
        <v>114.4</v>
      </c>
      <c r="E2858" s="31">
        <v>351.29</v>
      </c>
      <c r="F2858" s="15">
        <f>IFERROR(PRD[[#This Row],[VALOR]]/PRD[[#This Row],[KGS]],"")</f>
        <v>3.0707167832167834</v>
      </c>
    </row>
    <row r="2859" spans="1:6" x14ac:dyDescent="0.25">
      <c r="A2859" s="21" t="s">
        <v>72</v>
      </c>
      <c r="B2859" s="1">
        <v>45292</v>
      </c>
      <c r="C2859" t="s">
        <v>73</v>
      </c>
      <c r="D2859" s="18">
        <v>16986.900000000001</v>
      </c>
      <c r="E2859" s="31">
        <v>41001.589999999997</v>
      </c>
      <c r="F2859" s="15">
        <f>IFERROR(PRD[[#This Row],[VALOR]]/PRD[[#This Row],[KGS]],"")</f>
        <v>2.4137182181563435</v>
      </c>
    </row>
    <row r="2860" spans="1:6" x14ac:dyDescent="0.25">
      <c r="A2860" s="21" t="s">
        <v>74</v>
      </c>
      <c r="B2860" s="1">
        <v>45292</v>
      </c>
      <c r="C2860" t="s">
        <v>75</v>
      </c>
      <c r="D2860" s="18">
        <v>498.1</v>
      </c>
      <c r="E2860" s="31">
        <v>1428.09</v>
      </c>
      <c r="F2860" s="15">
        <f>IFERROR(PRD[[#This Row],[VALOR]]/PRD[[#This Row],[KGS]],"")</f>
        <v>2.8670748845613327</v>
      </c>
    </row>
    <row r="2861" spans="1:6" x14ac:dyDescent="0.25">
      <c r="A2861" s="21" t="s">
        <v>76</v>
      </c>
      <c r="B2861" s="1">
        <v>45292</v>
      </c>
      <c r="C2861" t="s">
        <v>77</v>
      </c>
      <c r="D2861" s="18">
        <v>10554.4</v>
      </c>
      <c r="E2861" s="31">
        <v>33491.75</v>
      </c>
      <c r="F2861" s="15">
        <f>IFERROR(PRD[[#This Row],[VALOR]]/PRD[[#This Row],[KGS]],"")</f>
        <v>3.1732500189494428</v>
      </c>
    </row>
    <row r="2862" spans="1:6" x14ac:dyDescent="0.25">
      <c r="A2862" s="21" t="s">
        <v>78</v>
      </c>
      <c r="B2862" s="1">
        <v>45292</v>
      </c>
      <c r="C2862" t="s">
        <v>79</v>
      </c>
      <c r="D2862" s="18">
        <v>539.6</v>
      </c>
      <c r="E2862" s="31">
        <v>2885.25</v>
      </c>
      <c r="F2862" s="15">
        <f>IFERROR(PRD[[#This Row],[VALOR]]/PRD[[#This Row],[KGS]],"")</f>
        <v>5.3470163083765749</v>
      </c>
    </row>
    <row r="2863" spans="1:6" x14ac:dyDescent="0.25">
      <c r="A2863" s="21" t="s">
        <v>303</v>
      </c>
      <c r="B2863" s="1">
        <v>45292</v>
      </c>
      <c r="C2863" t="s">
        <v>304</v>
      </c>
      <c r="D2863" s="18">
        <v>290</v>
      </c>
      <c r="E2863" s="31">
        <v>1535.8</v>
      </c>
      <c r="F2863" s="15">
        <f>IFERROR(PRD[[#This Row],[VALOR]]/PRD[[#This Row],[KGS]],"")</f>
        <v>5.2958620689655174</v>
      </c>
    </row>
    <row r="2864" spans="1:6" x14ac:dyDescent="0.25">
      <c r="A2864" s="21" t="s">
        <v>813</v>
      </c>
      <c r="B2864" s="1">
        <v>45292</v>
      </c>
      <c r="C2864" t="s">
        <v>814</v>
      </c>
      <c r="D2864" s="18">
        <v>9.85</v>
      </c>
      <c r="E2864" s="31">
        <v>118.2</v>
      </c>
      <c r="F2864" s="15">
        <f>IFERROR(PRD[[#This Row],[VALOR]]/PRD[[#This Row],[KGS]],"")</f>
        <v>12</v>
      </c>
    </row>
    <row r="2865" spans="1:6" x14ac:dyDescent="0.25">
      <c r="A2865" s="21" t="s">
        <v>815</v>
      </c>
      <c r="B2865" s="1">
        <v>45292</v>
      </c>
      <c r="C2865" t="s">
        <v>631</v>
      </c>
      <c r="D2865" s="18">
        <v>797.75</v>
      </c>
      <c r="E2865" s="31">
        <v>2543.56</v>
      </c>
      <c r="F2865" s="15">
        <f>IFERROR(PRD[[#This Row],[VALOR]]/PRD[[#This Row],[KGS]],"")</f>
        <v>3.188417424005014</v>
      </c>
    </row>
    <row r="2866" spans="1:6" x14ac:dyDescent="0.25">
      <c r="A2866" s="21" t="s">
        <v>80</v>
      </c>
      <c r="B2866" s="1">
        <v>45292</v>
      </c>
      <c r="C2866" t="s">
        <v>349</v>
      </c>
      <c r="D2866" s="18">
        <v>8292.11</v>
      </c>
      <c r="E2866" s="31">
        <v>24959.31</v>
      </c>
      <c r="F2866" s="15">
        <f>IFERROR(PRD[[#This Row],[VALOR]]/PRD[[#This Row],[KGS]],"")</f>
        <v>3.0100071031378022</v>
      </c>
    </row>
    <row r="2867" spans="1:6" x14ac:dyDescent="0.25">
      <c r="A2867" s="21" t="s">
        <v>82</v>
      </c>
      <c r="B2867" s="1">
        <v>45292</v>
      </c>
      <c r="C2867" t="s">
        <v>83</v>
      </c>
      <c r="D2867" s="18">
        <v>13189.32</v>
      </c>
      <c r="E2867" s="31">
        <v>41769.08</v>
      </c>
      <c r="F2867" s="15">
        <f>IFERROR(PRD[[#This Row],[VALOR]]/PRD[[#This Row],[KGS]],"")</f>
        <v>3.1668865415351211</v>
      </c>
    </row>
    <row r="2868" spans="1:6" x14ac:dyDescent="0.25">
      <c r="A2868" s="21" t="s">
        <v>816</v>
      </c>
      <c r="B2868" s="1">
        <v>45292</v>
      </c>
      <c r="C2868" t="s">
        <v>84</v>
      </c>
      <c r="D2868" s="18">
        <v>1238.5999999999999</v>
      </c>
      <c r="E2868" s="31">
        <v>4632.33</v>
      </c>
      <c r="F2868" s="15">
        <f>IFERROR(PRD[[#This Row],[VALOR]]/PRD[[#This Row],[KGS]],"")</f>
        <v>3.7399725496528342</v>
      </c>
    </row>
    <row r="2869" spans="1:6" x14ac:dyDescent="0.25">
      <c r="A2869" s="21" t="s">
        <v>85</v>
      </c>
      <c r="B2869" s="1">
        <v>45292</v>
      </c>
      <c r="C2869" t="s">
        <v>86</v>
      </c>
      <c r="D2869" s="18">
        <v>749.2</v>
      </c>
      <c r="E2869" s="31">
        <v>2665.68</v>
      </c>
      <c r="F2869" s="15">
        <f>IFERROR(PRD[[#This Row],[VALOR]]/PRD[[#This Row],[KGS]],"")</f>
        <v>3.558035237586759</v>
      </c>
    </row>
    <row r="2870" spans="1:6" x14ac:dyDescent="0.25">
      <c r="A2870" s="21" t="s">
        <v>817</v>
      </c>
      <c r="B2870" s="1">
        <v>45292</v>
      </c>
      <c r="C2870" t="s">
        <v>718</v>
      </c>
      <c r="D2870" s="18">
        <v>6.5</v>
      </c>
      <c r="E2870" s="31">
        <v>34.450000000000003</v>
      </c>
      <c r="F2870" s="15">
        <f>IFERROR(PRD[[#This Row],[VALOR]]/PRD[[#This Row],[KGS]],"")</f>
        <v>5.3000000000000007</v>
      </c>
    </row>
    <row r="2871" spans="1:6" x14ac:dyDescent="0.25">
      <c r="A2871" s="21" t="s">
        <v>87</v>
      </c>
      <c r="B2871" s="1">
        <v>45292</v>
      </c>
      <c r="C2871" t="s">
        <v>88</v>
      </c>
      <c r="D2871" s="18">
        <v>329.8</v>
      </c>
      <c r="E2871" s="31">
        <v>584.26</v>
      </c>
      <c r="F2871" s="15">
        <f>IFERROR(PRD[[#This Row],[VALOR]]/PRD[[#This Row],[KGS]],"")</f>
        <v>1.7715585203153426</v>
      </c>
    </row>
    <row r="2872" spans="1:6" x14ac:dyDescent="0.25">
      <c r="A2872" s="21" t="s">
        <v>818</v>
      </c>
      <c r="B2872" s="1">
        <v>45292</v>
      </c>
      <c r="C2872" t="s">
        <v>686</v>
      </c>
      <c r="D2872" s="18">
        <v>2660.06</v>
      </c>
      <c r="E2872" s="31">
        <v>10154.540000000001</v>
      </c>
      <c r="F2872" s="15">
        <f>IFERROR(PRD[[#This Row],[VALOR]]/PRD[[#This Row],[KGS]],"")</f>
        <v>3.8174101336060091</v>
      </c>
    </row>
    <row r="2873" spans="1:6" x14ac:dyDescent="0.25">
      <c r="A2873" s="21" t="s">
        <v>819</v>
      </c>
      <c r="B2873" s="1">
        <v>45292</v>
      </c>
      <c r="C2873" t="s">
        <v>790</v>
      </c>
      <c r="D2873" s="18">
        <v>514</v>
      </c>
      <c r="E2873" s="31">
        <v>2158.8000000000002</v>
      </c>
      <c r="F2873" s="15">
        <f>IFERROR(PRD[[#This Row],[VALOR]]/PRD[[#This Row],[KGS]],"")</f>
        <v>4.2</v>
      </c>
    </row>
    <row r="2874" spans="1:6" x14ac:dyDescent="0.25">
      <c r="A2874" s="21" t="s">
        <v>820</v>
      </c>
      <c r="B2874" s="1">
        <v>45292</v>
      </c>
      <c r="C2874" t="s">
        <v>764</v>
      </c>
      <c r="D2874" s="18">
        <v>1564.37</v>
      </c>
      <c r="E2874" s="31">
        <v>6022.83</v>
      </c>
      <c r="F2874" s="15">
        <f>IFERROR(PRD[[#This Row],[VALOR]]/PRD[[#This Row],[KGS]],"")</f>
        <v>3.8500035157923</v>
      </c>
    </row>
    <row r="2875" spans="1:6" x14ac:dyDescent="0.25">
      <c r="A2875" s="21" t="s">
        <v>821</v>
      </c>
      <c r="B2875" s="1">
        <v>45292</v>
      </c>
      <c r="C2875" t="s">
        <v>822</v>
      </c>
      <c r="D2875" s="18">
        <v>16.399999999999999</v>
      </c>
      <c r="E2875" s="31">
        <v>98.4</v>
      </c>
      <c r="F2875" s="15">
        <f>IFERROR(PRD[[#This Row],[VALOR]]/PRD[[#This Row],[KGS]],"")</f>
        <v>6.0000000000000009</v>
      </c>
    </row>
    <row r="2876" spans="1:6" x14ac:dyDescent="0.25">
      <c r="A2876" s="21" t="s">
        <v>823</v>
      </c>
      <c r="B2876" s="1">
        <v>45292</v>
      </c>
      <c r="C2876" t="s">
        <v>824</v>
      </c>
      <c r="D2876" s="18">
        <v>10.84</v>
      </c>
      <c r="E2876" s="31">
        <v>108.4</v>
      </c>
      <c r="F2876" s="15">
        <f>IFERROR(PRD[[#This Row],[VALOR]]/PRD[[#This Row],[KGS]],"")</f>
        <v>10</v>
      </c>
    </row>
    <row r="2877" spans="1:6" x14ac:dyDescent="0.25">
      <c r="A2877" s="21" t="s">
        <v>825</v>
      </c>
      <c r="B2877" s="1">
        <v>45292</v>
      </c>
      <c r="C2877" t="s">
        <v>826</v>
      </c>
      <c r="D2877" s="18">
        <v>7.06</v>
      </c>
      <c r="E2877" s="31">
        <v>67.12</v>
      </c>
      <c r="F2877" s="15">
        <f>IFERROR(PRD[[#This Row],[VALOR]]/PRD[[#This Row],[KGS]],"")</f>
        <v>9.5070821529745047</v>
      </c>
    </row>
    <row r="2878" spans="1:6" x14ac:dyDescent="0.25">
      <c r="A2878" s="21" t="s">
        <v>89</v>
      </c>
      <c r="B2878" s="1">
        <v>45292</v>
      </c>
      <c r="C2878" t="s">
        <v>90</v>
      </c>
      <c r="D2878" s="18">
        <v>18036.84</v>
      </c>
      <c r="E2878" s="31">
        <v>52331.8</v>
      </c>
      <c r="F2878" s="15">
        <f>IFERROR(PRD[[#This Row],[VALOR]]/PRD[[#This Row],[KGS]],"")</f>
        <v>2.9013840561872257</v>
      </c>
    </row>
    <row r="2879" spans="1:6" x14ac:dyDescent="0.25">
      <c r="A2879" s="21" t="s">
        <v>445</v>
      </c>
      <c r="B2879" s="1">
        <v>45292</v>
      </c>
      <c r="C2879" t="s">
        <v>306</v>
      </c>
      <c r="D2879" s="18">
        <v>162.1</v>
      </c>
      <c r="E2879" s="31">
        <v>474.94</v>
      </c>
      <c r="F2879" s="15">
        <f>IFERROR(PRD[[#This Row],[VALOR]]/PRD[[#This Row],[KGS]],"")</f>
        <v>2.9299198025909932</v>
      </c>
    </row>
    <row r="2880" spans="1:6" x14ac:dyDescent="0.25">
      <c r="A2880" s="21" t="s">
        <v>93</v>
      </c>
      <c r="B2880" s="1">
        <v>45292</v>
      </c>
      <c r="C2880" t="s">
        <v>94</v>
      </c>
      <c r="D2880" s="18">
        <v>1469.97</v>
      </c>
      <c r="E2880" s="31">
        <v>7287.74</v>
      </c>
      <c r="F2880" s="15">
        <f>IFERROR(PRD[[#This Row],[VALOR]]/PRD[[#This Row],[KGS]],"")</f>
        <v>4.9577474370225243</v>
      </c>
    </row>
    <row r="2881" spans="1:6" x14ac:dyDescent="0.25">
      <c r="A2881" s="21" t="s">
        <v>827</v>
      </c>
      <c r="B2881" s="1">
        <v>45292</v>
      </c>
      <c r="C2881" t="s">
        <v>791</v>
      </c>
      <c r="D2881" s="18">
        <v>1080.29</v>
      </c>
      <c r="E2881" s="31">
        <v>4319.05</v>
      </c>
      <c r="F2881" s="15">
        <f>IFERROR(PRD[[#This Row],[VALOR]]/PRD[[#This Row],[KGS]],"")</f>
        <v>3.9980468207610924</v>
      </c>
    </row>
    <row r="2882" spans="1:6" x14ac:dyDescent="0.25">
      <c r="A2882" s="21" t="s">
        <v>828</v>
      </c>
      <c r="B2882" s="1">
        <v>45292</v>
      </c>
      <c r="C2882" t="s">
        <v>829</v>
      </c>
      <c r="D2882" s="18">
        <v>39.590000000000003</v>
      </c>
      <c r="E2882" s="31">
        <v>233.58</v>
      </c>
      <c r="F2882" s="15">
        <f>IFERROR(PRD[[#This Row],[VALOR]]/PRD[[#This Row],[KGS]],"")</f>
        <v>5.8999747410962362</v>
      </c>
    </row>
    <row r="2883" spans="1:6" x14ac:dyDescent="0.25">
      <c r="A2883" s="21" t="s">
        <v>95</v>
      </c>
      <c r="B2883" s="1">
        <v>45292</v>
      </c>
      <c r="C2883" t="s">
        <v>96</v>
      </c>
      <c r="D2883" s="18">
        <v>13749.45</v>
      </c>
      <c r="E2883" s="31">
        <v>46478</v>
      </c>
      <c r="F2883" s="15">
        <f>IFERROR(PRD[[#This Row],[VALOR]]/PRD[[#This Row],[KGS]],"")</f>
        <v>3.3803533959540197</v>
      </c>
    </row>
    <row r="2884" spans="1:6" x14ac:dyDescent="0.25">
      <c r="A2884" s="21" t="s">
        <v>97</v>
      </c>
      <c r="B2884" s="1">
        <v>45292</v>
      </c>
      <c r="C2884" t="s">
        <v>98</v>
      </c>
      <c r="D2884" s="18">
        <v>2240.4</v>
      </c>
      <c r="E2884" s="31">
        <v>9266.11</v>
      </c>
      <c r="F2884" s="15">
        <f>IFERROR(PRD[[#This Row],[VALOR]]/PRD[[#This Row],[KGS]],"")</f>
        <v>4.1359176932690591</v>
      </c>
    </row>
    <row r="2885" spans="1:6" x14ac:dyDescent="0.25">
      <c r="A2885" s="21" t="s">
        <v>830</v>
      </c>
      <c r="B2885" s="1">
        <v>45292</v>
      </c>
      <c r="C2885" t="s">
        <v>687</v>
      </c>
      <c r="D2885" s="18">
        <v>172.29</v>
      </c>
      <c r="E2885" s="31">
        <v>689.16</v>
      </c>
      <c r="F2885" s="15">
        <f>IFERROR(PRD[[#This Row],[VALOR]]/PRD[[#This Row],[KGS]],"")</f>
        <v>4</v>
      </c>
    </row>
    <row r="2886" spans="1:6" x14ac:dyDescent="0.25">
      <c r="A2886" s="21" t="s">
        <v>831</v>
      </c>
      <c r="B2886" s="1">
        <v>45292</v>
      </c>
      <c r="C2886" t="s">
        <v>832</v>
      </c>
      <c r="D2886" s="18">
        <v>53.58</v>
      </c>
      <c r="E2886" s="31">
        <v>294.69</v>
      </c>
      <c r="F2886" s="15">
        <f>IFERROR(PRD[[#This Row],[VALOR]]/PRD[[#This Row],[KGS]],"")</f>
        <v>5.5</v>
      </c>
    </row>
    <row r="2887" spans="1:6" x14ac:dyDescent="0.25">
      <c r="A2887" s="21" t="s">
        <v>99</v>
      </c>
      <c r="B2887" s="1">
        <v>45292</v>
      </c>
      <c r="C2887" t="s">
        <v>100</v>
      </c>
      <c r="D2887" s="18">
        <v>27782.15</v>
      </c>
      <c r="E2887" s="31">
        <v>86928.8</v>
      </c>
      <c r="F2887" s="15">
        <f>IFERROR(PRD[[#This Row],[VALOR]]/PRD[[#This Row],[KGS]],"")</f>
        <v>3.1289443041665241</v>
      </c>
    </row>
    <row r="2888" spans="1:6" x14ac:dyDescent="0.25">
      <c r="A2888" s="21" t="s">
        <v>833</v>
      </c>
      <c r="B2888" s="1">
        <v>45292</v>
      </c>
      <c r="C2888" t="s">
        <v>742</v>
      </c>
      <c r="D2888" s="18">
        <v>4360.5</v>
      </c>
      <c r="E2888" s="31">
        <v>15115.9</v>
      </c>
      <c r="F2888" s="15">
        <f>IFERROR(PRD[[#This Row],[VALOR]]/PRD[[#This Row],[KGS]],"")</f>
        <v>3.4665520009173258</v>
      </c>
    </row>
    <row r="2889" spans="1:6" x14ac:dyDescent="0.25">
      <c r="A2889" s="21" t="s">
        <v>834</v>
      </c>
      <c r="B2889" s="1">
        <v>45292</v>
      </c>
      <c r="C2889" t="s">
        <v>350</v>
      </c>
      <c r="D2889" s="18">
        <v>3666.95</v>
      </c>
      <c r="E2889" s="31">
        <v>11338.42</v>
      </c>
      <c r="F2889" s="15">
        <f>IFERROR(PRD[[#This Row],[VALOR]]/PRD[[#This Row],[KGS]],"")</f>
        <v>3.0920574319257148</v>
      </c>
    </row>
    <row r="2890" spans="1:6" x14ac:dyDescent="0.25">
      <c r="A2890" s="21" t="s">
        <v>835</v>
      </c>
      <c r="B2890" s="1">
        <v>45292</v>
      </c>
      <c r="C2890" t="s">
        <v>836</v>
      </c>
      <c r="D2890" s="18">
        <v>323.47000000000003</v>
      </c>
      <c r="E2890" s="31">
        <v>1035.0999999999999</v>
      </c>
      <c r="F2890" s="15">
        <f>IFERROR(PRD[[#This Row],[VALOR]]/PRD[[#This Row],[KGS]],"")</f>
        <v>3.1999876340928055</v>
      </c>
    </row>
    <row r="2891" spans="1:6" x14ac:dyDescent="0.25">
      <c r="A2891" s="21" t="s">
        <v>837</v>
      </c>
      <c r="B2891" s="1">
        <v>45292</v>
      </c>
      <c r="C2891" t="s">
        <v>743</v>
      </c>
      <c r="D2891" s="18">
        <v>56.84</v>
      </c>
      <c r="E2891" s="31">
        <v>246.26</v>
      </c>
      <c r="F2891" s="15">
        <f>IFERROR(PRD[[#This Row],[VALOR]]/PRD[[#This Row],[KGS]],"")</f>
        <v>4.3325123152709359</v>
      </c>
    </row>
    <row r="2892" spans="1:6" x14ac:dyDescent="0.25">
      <c r="A2892" s="21" t="s">
        <v>101</v>
      </c>
      <c r="B2892" s="1">
        <v>45292</v>
      </c>
      <c r="C2892" t="s">
        <v>102</v>
      </c>
      <c r="D2892" s="18">
        <v>555.70000000000005</v>
      </c>
      <c r="E2892" s="31">
        <v>1784.7</v>
      </c>
      <c r="F2892" s="15">
        <f>IFERROR(PRD[[#This Row],[VALOR]]/PRD[[#This Row],[KGS]],"")</f>
        <v>3.2116249775058483</v>
      </c>
    </row>
    <row r="2893" spans="1:6" x14ac:dyDescent="0.25">
      <c r="A2893" s="21" t="s">
        <v>103</v>
      </c>
      <c r="B2893" s="1">
        <v>45292</v>
      </c>
      <c r="C2893" t="s">
        <v>104</v>
      </c>
      <c r="D2893" s="18">
        <v>26807.21</v>
      </c>
      <c r="E2893" s="31">
        <v>67325.429999999993</v>
      </c>
      <c r="F2893" s="15">
        <f>IFERROR(PRD[[#This Row],[VALOR]]/PRD[[#This Row],[KGS]],"")</f>
        <v>2.5114672507881273</v>
      </c>
    </row>
    <row r="2894" spans="1:6" x14ac:dyDescent="0.25">
      <c r="A2894" s="21" t="s">
        <v>105</v>
      </c>
      <c r="B2894" s="1">
        <v>45292</v>
      </c>
      <c r="C2894" t="s">
        <v>106</v>
      </c>
      <c r="D2894" s="18">
        <v>720.3</v>
      </c>
      <c r="E2894" s="31">
        <v>1897.88</v>
      </c>
      <c r="F2894" s="15">
        <f>IFERROR(PRD[[#This Row],[VALOR]]/PRD[[#This Row],[KGS]],"")</f>
        <v>2.634846591697904</v>
      </c>
    </row>
    <row r="2895" spans="1:6" x14ac:dyDescent="0.25">
      <c r="A2895" s="21" t="s">
        <v>107</v>
      </c>
      <c r="B2895" s="1">
        <v>45292</v>
      </c>
      <c r="C2895" t="s">
        <v>108</v>
      </c>
      <c r="D2895" s="18">
        <v>182.4</v>
      </c>
      <c r="E2895" s="31">
        <v>471.38</v>
      </c>
      <c r="F2895" s="15">
        <f>IFERROR(PRD[[#This Row],[VALOR]]/PRD[[#This Row],[KGS]],"")</f>
        <v>2.5843201754385965</v>
      </c>
    </row>
    <row r="2896" spans="1:6" x14ac:dyDescent="0.25">
      <c r="A2896" s="21" t="s">
        <v>109</v>
      </c>
      <c r="B2896" s="1">
        <v>45292</v>
      </c>
      <c r="C2896" t="s">
        <v>838</v>
      </c>
      <c r="D2896" s="18">
        <v>2057.1999999999998</v>
      </c>
      <c r="E2896" s="31">
        <v>5060.3999999999996</v>
      </c>
      <c r="F2896" s="15">
        <f>IFERROR(PRD[[#This Row],[VALOR]]/PRD[[#This Row],[KGS]],"")</f>
        <v>2.4598483375461795</v>
      </c>
    </row>
    <row r="2897" spans="1:6" x14ac:dyDescent="0.25">
      <c r="A2897" s="21" t="s">
        <v>111</v>
      </c>
      <c r="B2897" s="1">
        <v>45292</v>
      </c>
      <c r="C2897" t="s">
        <v>112</v>
      </c>
      <c r="D2897" s="18">
        <v>467.3</v>
      </c>
      <c r="E2897" s="31">
        <v>1197.47</v>
      </c>
      <c r="F2897" s="15">
        <f>IFERROR(PRD[[#This Row],[VALOR]]/PRD[[#This Row],[KGS]],"")</f>
        <v>2.5625294243526642</v>
      </c>
    </row>
    <row r="2898" spans="1:6" x14ac:dyDescent="0.25">
      <c r="A2898" s="21" t="s">
        <v>113</v>
      </c>
      <c r="B2898" s="1">
        <v>45292</v>
      </c>
      <c r="C2898" t="s">
        <v>114</v>
      </c>
      <c r="D2898" s="18">
        <v>2450.1999999999998</v>
      </c>
      <c r="E2898" s="31">
        <v>8174.58</v>
      </c>
      <c r="F2898" s="15">
        <f>IFERROR(PRD[[#This Row],[VALOR]]/PRD[[#This Row],[KGS]],"")</f>
        <v>3.336290915027345</v>
      </c>
    </row>
    <row r="2899" spans="1:6" x14ac:dyDescent="0.25">
      <c r="A2899" s="21" t="s">
        <v>447</v>
      </c>
      <c r="B2899" s="1">
        <v>45292</v>
      </c>
      <c r="C2899" t="s">
        <v>448</v>
      </c>
      <c r="D2899" s="18">
        <v>842.57</v>
      </c>
      <c r="E2899" s="31">
        <v>2822.61</v>
      </c>
      <c r="F2899" s="15">
        <f>IFERROR(PRD[[#This Row],[VALOR]]/PRD[[#This Row],[KGS]],"")</f>
        <v>3.350000593422505</v>
      </c>
    </row>
    <row r="2900" spans="1:6" x14ac:dyDescent="0.25">
      <c r="A2900" s="21" t="s">
        <v>449</v>
      </c>
      <c r="B2900" s="1">
        <v>45292</v>
      </c>
      <c r="C2900" t="s">
        <v>351</v>
      </c>
      <c r="D2900" s="18">
        <v>307.22000000000003</v>
      </c>
      <c r="E2900" s="31">
        <v>1288.77</v>
      </c>
      <c r="F2900" s="15">
        <f>IFERROR(PRD[[#This Row],[VALOR]]/PRD[[#This Row],[KGS]],"")</f>
        <v>4.1949417355640906</v>
      </c>
    </row>
    <row r="2901" spans="1:6" x14ac:dyDescent="0.25">
      <c r="A2901" s="21" t="s">
        <v>839</v>
      </c>
      <c r="B2901" s="1">
        <v>45292</v>
      </c>
      <c r="C2901" t="s">
        <v>840</v>
      </c>
      <c r="D2901" s="18">
        <v>726.63</v>
      </c>
      <c r="E2901" s="31">
        <v>3051.87</v>
      </c>
      <c r="F2901" s="15">
        <f>IFERROR(PRD[[#This Row],[VALOR]]/PRD[[#This Row],[KGS]],"")</f>
        <v>4.2000330291895462</v>
      </c>
    </row>
    <row r="2902" spans="1:6" x14ac:dyDescent="0.25">
      <c r="A2902" s="21" t="s">
        <v>841</v>
      </c>
      <c r="B2902" s="1">
        <v>45292</v>
      </c>
      <c r="C2902" t="s">
        <v>781</v>
      </c>
      <c r="D2902" s="18">
        <v>872.14</v>
      </c>
      <c r="E2902" s="31">
        <v>2965.28</v>
      </c>
      <c r="F2902" s="15">
        <f>IFERROR(PRD[[#This Row],[VALOR]]/PRD[[#This Row],[KGS]],"")</f>
        <v>3.400004586419612</v>
      </c>
    </row>
    <row r="2903" spans="1:6" x14ac:dyDescent="0.25">
      <c r="A2903" s="21" t="s">
        <v>842</v>
      </c>
      <c r="B2903" s="1">
        <v>45292</v>
      </c>
      <c r="C2903" t="s">
        <v>115</v>
      </c>
      <c r="D2903" s="18">
        <v>217.8</v>
      </c>
      <c r="E2903" s="31">
        <v>915.57</v>
      </c>
      <c r="F2903" s="15">
        <f>IFERROR(PRD[[#This Row],[VALOR]]/PRD[[#This Row],[KGS]],"")</f>
        <v>4.2037190082644624</v>
      </c>
    </row>
    <row r="2904" spans="1:6" x14ac:dyDescent="0.25">
      <c r="A2904" s="21" t="s">
        <v>118</v>
      </c>
      <c r="B2904" s="1">
        <v>45292</v>
      </c>
      <c r="C2904" t="s">
        <v>119</v>
      </c>
      <c r="D2904" s="18">
        <v>4376.3</v>
      </c>
      <c r="E2904" s="31">
        <v>12025.38</v>
      </c>
      <c r="F2904" s="15">
        <f>IFERROR(PRD[[#This Row],[VALOR]]/PRD[[#This Row],[KGS]],"")</f>
        <v>2.7478417841555651</v>
      </c>
    </row>
    <row r="2905" spans="1:6" x14ac:dyDescent="0.25">
      <c r="A2905" s="21" t="s">
        <v>120</v>
      </c>
      <c r="B2905" s="1">
        <v>45292</v>
      </c>
      <c r="C2905" t="s">
        <v>121</v>
      </c>
      <c r="D2905" s="18">
        <v>1154.67</v>
      </c>
      <c r="E2905" s="31">
        <v>2336.34</v>
      </c>
      <c r="F2905" s="15">
        <f>IFERROR(PRD[[#This Row],[VALOR]]/PRD[[#This Row],[KGS]],"")</f>
        <v>2.0233833043207152</v>
      </c>
    </row>
    <row r="2906" spans="1:6" x14ac:dyDescent="0.25">
      <c r="A2906" s="21" t="s">
        <v>122</v>
      </c>
      <c r="B2906" s="1">
        <v>45292</v>
      </c>
      <c r="C2906" t="s">
        <v>123</v>
      </c>
      <c r="D2906" s="18">
        <v>181.76</v>
      </c>
      <c r="E2906" s="31">
        <v>367.14</v>
      </c>
      <c r="F2906" s="15">
        <f>IFERROR(PRD[[#This Row],[VALOR]]/PRD[[#This Row],[KGS]],"")</f>
        <v>2.0199163732394365</v>
      </c>
    </row>
    <row r="2907" spans="1:6" x14ac:dyDescent="0.25">
      <c r="A2907" s="21" t="s">
        <v>126</v>
      </c>
      <c r="B2907" s="1">
        <v>45292</v>
      </c>
      <c r="C2907" t="s">
        <v>127</v>
      </c>
      <c r="D2907" s="18">
        <v>10</v>
      </c>
      <c r="E2907" s="31">
        <v>9</v>
      </c>
      <c r="F2907" s="15">
        <f>IFERROR(PRD[[#This Row],[VALOR]]/PRD[[#This Row],[KGS]],"")</f>
        <v>0.9</v>
      </c>
    </row>
    <row r="2908" spans="1:6" x14ac:dyDescent="0.25">
      <c r="A2908" s="21" t="s">
        <v>843</v>
      </c>
      <c r="B2908" s="1">
        <v>45292</v>
      </c>
      <c r="C2908" t="s">
        <v>633</v>
      </c>
      <c r="D2908" s="18">
        <v>1600.5</v>
      </c>
      <c r="E2908" s="31">
        <v>1552.75</v>
      </c>
      <c r="F2908" s="15">
        <f>IFERROR(PRD[[#This Row],[VALOR]]/PRD[[#This Row],[KGS]],"")</f>
        <v>0.97016557325835673</v>
      </c>
    </row>
    <row r="2909" spans="1:6" x14ac:dyDescent="0.25">
      <c r="A2909" s="21" t="s">
        <v>543</v>
      </c>
      <c r="B2909" s="1">
        <v>45292</v>
      </c>
      <c r="C2909" t="s">
        <v>544</v>
      </c>
      <c r="D2909" s="18">
        <v>2030</v>
      </c>
      <c r="E2909" s="31">
        <v>1339</v>
      </c>
      <c r="F2909" s="15">
        <f>IFERROR(PRD[[#This Row],[VALOR]]/PRD[[#This Row],[KGS]],"")</f>
        <v>0.65960591133004931</v>
      </c>
    </row>
    <row r="2910" spans="1:6" x14ac:dyDescent="0.25">
      <c r="A2910" s="21" t="s">
        <v>128</v>
      </c>
      <c r="B2910" s="1">
        <v>45292</v>
      </c>
      <c r="C2910" t="s">
        <v>129</v>
      </c>
      <c r="D2910" s="18">
        <v>610</v>
      </c>
      <c r="E2910" s="31">
        <v>1433.25</v>
      </c>
      <c r="F2910" s="15">
        <f>IFERROR(PRD[[#This Row],[VALOR]]/PRD[[#This Row],[KGS]],"")</f>
        <v>2.3495901639344261</v>
      </c>
    </row>
    <row r="2911" spans="1:6" x14ac:dyDescent="0.25">
      <c r="A2911" s="21" t="s">
        <v>450</v>
      </c>
      <c r="B2911" s="1">
        <v>45292</v>
      </c>
      <c r="C2911" t="s">
        <v>451</v>
      </c>
      <c r="D2911" s="18">
        <v>18.13</v>
      </c>
      <c r="E2911" s="31">
        <v>96.09</v>
      </c>
      <c r="F2911" s="15">
        <f>IFERROR(PRD[[#This Row],[VALOR]]/PRD[[#This Row],[KGS]],"")</f>
        <v>5.300055157198015</v>
      </c>
    </row>
    <row r="2912" spans="1:6" x14ac:dyDescent="0.25">
      <c r="A2912" s="21" t="s">
        <v>130</v>
      </c>
      <c r="B2912" s="1">
        <v>45292</v>
      </c>
      <c r="C2912" t="s">
        <v>131</v>
      </c>
      <c r="D2912" s="18">
        <v>6373.58</v>
      </c>
      <c r="E2912" s="31">
        <v>20058.740000000002</v>
      </c>
      <c r="F2912" s="15">
        <f>IFERROR(PRD[[#This Row],[VALOR]]/PRD[[#This Row],[KGS]],"")</f>
        <v>3.1471700363061266</v>
      </c>
    </row>
    <row r="2913" spans="1:6" x14ac:dyDescent="0.25">
      <c r="A2913" s="21" t="s">
        <v>132</v>
      </c>
      <c r="B2913" s="1">
        <v>45292</v>
      </c>
      <c r="C2913" t="s">
        <v>133</v>
      </c>
      <c r="D2913" s="18">
        <v>1623.9</v>
      </c>
      <c r="E2913" s="31">
        <v>6002.62</v>
      </c>
      <c r="F2913" s="15">
        <f>IFERROR(PRD[[#This Row],[VALOR]]/PRD[[#This Row],[KGS]],"")</f>
        <v>3.6964221934848203</v>
      </c>
    </row>
    <row r="2914" spans="1:6" x14ac:dyDescent="0.25">
      <c r="A2914" s="21" t="s">
        <v>134</v>
      </c>
      <c r="B2914" s="1">
        <v>45292</v>
      </c>
      <c r="C2914" t="s">
        <v>135</v>
      </c>
      <c r="D2914" s="18">
        <v>569.35</v>
      </c>
      <c r="E2914" s="31">
        <v>2037.2</v>
      </c>
      <c r="F2914" s="15">
        <f>IFERROR(PRD[[#This Row],[VALOR]]/PRD[[#This Row],[KGS]],"")</f>
        <v>3.578115394748397</v>
      </c>
    </row>
    <row r="2915" spans="1:6" x14ac:dyDescent="0.25">
      <c r="A2915" s="21" t="s">
        <v>136</v>
      </c>
      <c r="B2915" s="1">
        <v>45292</v>
      </c>
      <c r="C2915" t="s">
        <v>137</v>
      </c>
      <c r="D2915" s="18">
        <v>2286.79</v>
      </c>
      <c r="E2915" s="31">
        <v>8170.78</v>
      </c>
      <c r="F2915" s="15">
        <f>IFERROR(PRD[[#This Row],[VALOR]]/PRD[[#This Row],[KGS]],"")</f>
        <v>3.5730346905487602</v>
      </c>
    </row>
    <row r="2916" spans="1:6" x14ac:dyDescent="0.25">
      <c r="A2916" s="21" t="s">
        <v>138</v>
      </c>
      <c r="B2916" s="1">
        <v>45292</v>
      </c>
      <c r="C2916" t="s">
        <v>139</v>
      </c>
      <c r="D2916" s="18">
        <v>241.96</v>
      </c>
      <c r="E2916" s="31">
        <v>769.43</v>
      </c>
      <c r="F2916" s="15">
        <f>IFERROR(PRD[[#This Row],[VALOR]]/PRD[[#This Row],[KGS]],"")</f>
        <v>3.1799884278393118</v>
      </c>
    </row>
    <row r="2917" spans="1:6" x14ac:dyDescent="0.25">
      <c r="A2917" s="21" t="s">
        <v>844</v>
      </c>
      <c r="B2917" s="1">
        <v>45292</v>
      </c>
      <c r="C2917" t="s">
        <v>845</v>
      </c>
      <c r="D2917" s="18">
        <v>34.5</v>
      </c>
      <c r="E2917" s="31">
        <v>120.75</v>
      </c>
      <c r="F2917" s="15">
        <f>IFERROR(PRD[[#This Row],[VALOR]]/PRD[[#This Row],[KGS]],"")</f>
        <v>3.5</v>
      </c>
    </row>
    <row r="2918" spans="1:6" x14ac:dyDescent="0.25">
      <c r="A2918" s="21" t="s">
        <v>846</v>
      </c>
      <c r="B2918" s="1">
        <v>45292</v>
      </c>
      <c r="C2918" t="s">
        <v>847</v>
      </c>
      <c r="D2918" s="18">
        <v>34.5</v>
      </c>
      <c r="E2918" s="31">
        <v>120.75</v>
      </c>
      <c r="F2918" s="15">
        <f>IFERROR(PRD[[#This Row],[VALOR]]/PRD[[#This Row],[KGS]],"")</f>
        <v>3.5</v>
      </c>
    </row>
    <row r="2919" spans="1:6" x14ac:dyDescent="0.25">
      <c r="A2919" s="21" t="s">
        <v>140</v>
      </c>
      <c r="B2919" s="1">
        <v>45292</v>
      </c>
      <c r="C2919" t="s">
        <v>141</v>
      </c>
      <c r="D2919" s="18">
        <v>3414.57</v>
      </c>
      <c r="E2919" s="31">
        <v>11971.14</v>
      </c>
      <c r="F2919" s="15">
        <f>IFERROR(PRD[[#This Row],[VALOR]]/PRD[[#This Row],[KGS]],"")</f>
        <v>3.5058997179732732</v>
      </c>
    </row>
    <row r="2920" spans="1:6" x14ac:dyDescent="0.25">
      <c r="A2920" s="21" t="s">
        <v>142</v>
      </c>
      <c r="B2920" s="1">
        <v>45292</v>
      </c>
      <c r="C2920" t="s">
        <v>143</v>
      </c>
      <c r="D2920" s="18">
        <v>411.42</v>
      </c>
      <c r="E2920" s="31">
        <v>1549.94</v>
      </c>
      <c r="F2920" s="15">
        <f>IFERROR(PRD[[#This Row],[VALOR]]/PRD[[#This Row],[KGS]],"")</f>
        <v>3.7672937630645085</v>
      </c>
    </row>
    <row r="2921" spans="1:6" x14ac:dyDescent="0.25">
      <c r="A2921" s="21" t="s">
        <v>144</v>
      </c>
      <c r="B2921" s="1">
        <v>45292</v>
      </c>
      <c r="C2921" t="s">
        <v>145</v>
      </c>
      <c r="D2921" s="18">
        <v>7312.62</v>
      </c>
      <c r="E2921" s="31">
        <v>26283.19</v>
      </c>
      <c r="F2921" s="15">
        <f>IFERROR(PRD[[#This Row],[VALOR]]/PRD[[#This Row],[KGS]],"")</f>
        <v>3.5942234110346223</v>
      </c>
    </row>
    <row r="2922" spans="1:6" x14ac:dyDescent="0.25">
      <c r="A2922" s="21" t="s">
        <v>146</v>
      </c>
      <c r="B2922" s="1">
        <v>45292</v>
      </c>
      <c r="C2922" t="s">
        <v>147</v>
      </c>
      <c r="D2922" s="18">
        <v>859.57</v>
      </c>
      <c r="E2922" s="31">
        <v>3317.9</v>
      </c>
      <c r="F2922" s="15">
        <f>IFERROR(PRD[[#This Row],[VALOR]]/PRD[[#This Row],[KGS]],"")</f>
        <v>3.8599532324301684</v>
      </c>
    </row>
    <row r="2923" spans="1:6" x14ac:dyDescent="0.25">
      <c r="A2923" s="21" t="s">
        <v>148</v>
      </c>
      <c r="B2923" s="1">
        <v>45292</v>
      </c>
      <c r="C2923" t="s">
        <v>149</v>
      </c>
      <c r="D2923" s="18">
        <v>479.91</v>
      </c>
      <c r="E2923" s="31">
        <v>1804.64</v>
      </c>
      <c r="F2923" s="15">
        <f>IFERROR(PRD[[#This Row],[VALOR]]/PRD[[#This Row],[KGS]],"")</f>
        <v>3.7603717363672353</v>
      </c>
    </row>
    <row r="2924" spans="1:6" x14ac:dyDescent="0.25">
      <c r="A2924" s="21" t="s">
        <v>150</v>
      </c>
      <c r="B2924" s="1">
        <v>45292</v>
      </c>
      <c r="C2924" t="s">
        <v>151</v>
      </c>
      <c r="D2924" s="18">
        <v>1721.57</v>
      </c>
      <c r="E2924" s="31">
        <v>6420.74</v>
      </c>
      <c r="F2924" s="15">
        <f>IFERROR(PRD[[#This Row],[VALOR]]/PRD[[#This Row],[KGS]],"")</f>
        <v>3.729584042472859</v>
      </c>
    </row>
    <row r="2925" spans="1:6" x14ac:dyDescent="0.25">
      <c r="A2925" s="21" t="s">
        <v>152</v>
      </c>
      <c r="B2925" s="1">
        <v>45292</v>
      </c>
      <c r="C2925" t="s">
        <v>153</v>
      </c>
      <c r="D2925" s="18">
        <v>2082.46</v>
      </c>
      <c r="E2925" s="31">
        <v>7823.6</v>
      </c>
      <c r="F2925" s="15">
        <f>IFERROR(PRD[[#This Row],[VALOR]]/PRD[[#This Row],[KGS]],"")</f>
        <v>3.7569028936930362</v>
      </c>
    </row>
    <row r="2926" spans="1:6" x14ac:dyDescent="0.25">
      <c r="A2926" s="21" t="s">
        <v>454</v>
      </c>
      <c r="B2926" s="1">
        <v>45292</v>
      </c>
      <c r="C2926" t="s">
        <v>848</v>
      </c>
      <c r="D2926" s="18">
        <v>240.58</v>
      </c>
      <c r="E2926" s="31">
        <v>986.38</v>
      </c>
      <c r="F2926" s="15">
        <f>IFERROR(PRD[[#This Row],[VALOR]]/PRD[[#This Row],[KGS]],"")</f>
        <v>4.1000083132429959</v>
      </c>
    </row>
    <row r="2927" spans="1:6" x14ac:dyDescent="0.25">
      <c r="A2927" s="21" t="s">
        <v>154</v>
      </c>
      <c r="B2927" s="1">
        <v>45292</v>
      </c>
      <c r="C2927" t="s">
        <v>155</v>
      </c>
      <c r="D2927" s="18">
        <v>1278.25</v>
      </c>
      <c r="E2927" s="31">
        <v>4815.49</v>
      </c>
      <c r="F2927" s="15">
        <f>IFERROR(PRD[[#This Row],[VALOR]]/PRD[[#This Row],[KGS]],"")</f>
        <v>3.7672521024838646</v>
      </c>
    </row>
    <row r="2928" spans="1:6" x14ac:dyDescent="0.25">
      <c r="A2928" s="21" t="s">
        <v>156</v>
      </c>
      <c r="B2928" s="1">
        <v>45292</v>
      </c>
      <c r="C2928" t="s">
        <v>157</v>
      </c>
      <c r="D2928" s="18">
        <v>1974.07</v>
      </c>
      <c r="E2928" s="31">
        <v>7514.86</v>
      </c>
      <c r="F2928" s="15">
        <f>IFERROR(PRD[[#This Row],[VALOR]]/PRD[[#This Row],[KGS]],"")</f>
        <v>3.8067849670984311</v>
      </c>
    </row>
    <row r="2929" spans="1:6" x14ac:dyDescent="0.25">
      <c r="A2929" s="21" t="s">
        <v>545</v>
      </c>
      <c r="B2929" s="1">
        <v>45292</v>
      </c>
      <c r="C2929" t="s">
        <v>546</v>
      </c>
      <c r="D2929" s="18">
        <v>292.42</v>
      </c>
      <c r="E2929" s="31">
        <v>950.93</v>
      </c>
      <c r="F2929" s="15">
        <f>IFERROR(PRD[[#This Row],[VALOR]]/PRD[[#This Row],[KGS]],"")</f>
        <v>3.2519321523835574</v>
      </c>
    </row>
    <row r="2930" spans="1:6" x14ac:dyDescent="0.25">
      <c r="A2930" s="21" t="s">
        <v>547</v>
      </c>
      <c r="B2930" s="1">
        <v>45292</v>
      </c>
      <c r="C2930" t="s">
        <v>548</v>
      </c>
      <c r="D2930" s="18">
        <v>549.42999999999995</v>
      </c>
      <c r="E2930" s="31">
        <v>1610.37</v>
      </c>
      <c r="F2930" s="15">
        <f>IFERROR(PRD[[#This Row],[VALOR]]/PRD[[#This Row],[KGS]],"")</f>
        <v>2.930983018764902</v>
      </c>
    </row>
    <row r="2931" spans="1:6" x14ac:dyDescent="0.25">
      <c r="A2931" s="21" t="s">
        <v>456</v>
      </c>
      <c r="B2931" s="1">
        <v>45292</v>
      </c>
      <c r="C2931" t="s">
        <v>457</v>
      </c>
      <c r="D2931" s="18">
        <v>30.37</v>
      </c>
      <c r="E2931" s="31">
        <v>94.15</v>
      </c>
      <c r="F2931" s="15">
        <f>IFERROR(PRD[[#This Row],[VALOR]]/PRD[[#This Row],[KGS]],"")</f>
        <v>3.1000987816924597</v>
      </c>
    </row>
    <row r="2932" spans="1:6" x14ac:dyDescent="0.25">
      <c r="A2932" s="21" t="s">
        <v>164</v>
      </c>
      <c r="B2932" s="1">
        <v>45292</v>
      </c>
      <c r="C2932" t="s">
        <v>165</v>
      </c>
      <c r="D2932" s="18">
        <v>-2.99</v>
      </c>
      <c r="E2932" s="31">
        <v>-8.3699999999999992</v>
      </c>
      <c r="F2932" s="15">
        <f>IFERROR(PRD[[#This Row],[VALOR]]/PRD[[#This Row],[KGS]],"")</f>
        <v>2.7993311036789295</v>
      </c>
    </row>
    <row r="2933" spans="1:6" x14ac:dyDescent="0.25">
      <c r="A2933" s="21" t="s">
        <v>458</v>
      </c>
      <c r="B2933" s="1">
        <v>45292</v>
      </c>
      <c r="C2933" t="s">
        <v>459</v>
      </c>
      <c r="D2933" s="18">
        <v>379.27</v>
      </c>
      <c r="E2933" s="31">
        <v>1076.94</v>
      </c>
      <c r="F2933" s="15">
        <f>IFERROR(PRD[[#This Row],[VALOR]]/PRD[[#This Row],[KGS]],"")</f>
        <v>2.8395074748859654</v>
      </c>
    </row>
    <row r="2934" spans="1:6" x14ac:dyDescent="0.25">
      <c r="A2934" s="21" t="s">
        <v>166</v>
      </c>
      <c r="B2934" s="1">
        <v>45292</v>
      </c>
      <c r="C2934" t="s">
        <v>167</v>
      </c>
      <c r="D2934" s="18">
        <v>5460.53</v>
      </c>
      <c r="E2934" s="31">
        <v>10425.870000000001</v>
      </c>
      <c r="F2934" s="15">
        <f>IFERROR(PRD[[#This Row],[VALOR]]/PRD[[#This Row],[KGS]],"")</f>
        <v>1.9093146635949261</v>
      </c>
    </row>
    <row r="2935" spans="1:6" x14ac:dyDescent="0.25">
      <c r="A2935" s="21" t="s">
        <v>168</v>
      </c>
      <c r="B2935" s="1">
        <v>45292</v>
      </c>
      <c r="C2935" t="s">
        <v>169</v>
      </c>
      <c r="D2935" s="18">
        <v>881.72</v>
      </c>
      <c r="E2935" s="31">
        <v>1923.25</v>
      </c>
      <c r="F2935" s="15">
        <f>IFERROR(PRD[[#This Row],[VALOR]]/PRD[[#This Row],[KGS]],"")</f>
        <v>2.1812480152429341</v>
      </c>
    </row>
    <row r="2936" spans="1:6" x14ac:dyDescent="0.25">
      <c r="A2936" s="21" t="s">
        <v>170</v>
      </c>
      <c r="B2936" s="1">
        <v>45292</v>
      </c>
      <c r="C2936" t="s">
        <v>171</v>
      </c>
      <c r="D2936" s="18">
        <v>2953.29</v>
      </c>
      <c r="E2936" s="31">
        <v>5623.7</v>
      </c>
      <c r="F2936" s="15">
        <f>IFERROR(PRD[[#This Row],[VALOR]]/PRD[[#This Row],[KGS]],"")</f>
        <v>1.9042152988700736</v>
      </c>
    </row>
    <row r="2937" spans="1:6" x14ac:dyDescent="0.25">
      <c r="A2937" s="21" t="s">
        <v>172</v>
      </c>
      <c r="B2937" s="1">
        <v>45292</v>
      </c>
      <c r="C2937" t="s">
        <v>173</v>
      </c>
      <c r="D2937" s="18">
        <v>60.93</v>
      </c>
      <c r="E2937" s="31">
        <v>240.65</v>
      </c>
      <c r="F2937" s="15">
        <f>IFERROR(PRD[[#This Row],[VALOR]]/PRD[[#This Row],[KGS]],"")</f>
        <v>3.9496143115050057</v>
      </c>
    </row>
    <row r="2938" spans="1:6" x14ac:dyDescent="0.25">
      <c r="A2938" s="21" t="s">
        <v>174</v>
      </c>
      <c r="B2938" s="1">
        <v>45292</v>
      </c>
      <c r="C2938" t="s">
        <v>849</v>
      </c>
      <c r="D2938" s="18">
        <v>92.04</v>
      </c>
      <c r="E2938" s="31">
        <v>356.04</v>
      </c>
      <c r="F2938" s="15">
        <f>IFERROR(PRD[[#This Row],[VALOR]]/PRD[[#This Row],[KGS]],"")</f>
        <v>3.8683181225554106</v>
      </c>
    </row>
    <row r="2939" spans="1:6" x14ac:dyDescent="0.25">
      <c r="A2939" s="21" t="s">
        <v>175</v>
      </c>
      <c r="B2939" s="1">
        <v>45292</v>
      </c>
      <c r="C2939" t="s">
        <v>176</v>
      </c>
      <c r="D2939" s="18">
        <v>2499.87</v>
      </c>
      <c r="E2939" s="31">
        <v>5977.75</v>
      </c>
      <c r="F2939" s="15">
        <f>IFERROR(PRD[[#This Row],[VALOR]]/PRD[[#This Row],[KGS]],"")</f>
        <v>2.3912243436658707</v>
      </c>
    </row>
    <row r="2940" spans="1:6" x14ac:dyDescent="0.25">
      <c r="A2940" s="21" t="s">
        <v>177</v>
      </c>
      <c r="B2940" s="1">
        <v>45292</v>
      </c>
      <c r="C2940" t="s">
        <v>178</v>
      </c>
      <c r="D2940" s="18">
        <v>57.85</v>
      </c>
      <c r="E2940" s="31">
        <v>158.36000000000001</v>
      </c>
      <c r="F2940" s="15">
        <f>IFERROR(PRD[[#This Row],[VALOR]]/PRD[[#This Row],[KGS]],"")</f>
        <v>2.7374243733794299</v>
      </c>
    </row>
    <row r="2941" spans="1:6" x14ac:dyDescent="0.25">
      <c r="A2941" s="21" t="s">
        <v>179</v>
      </c>
      <c r="B2941" s="1">
        <v>45292</v>
      </c>
      <c r="C2941" t="s">
        <v>180</v>
      </c>
      <c r="D2941" s="18">
        <v>3.8</v>
      </c>
      <c r="E2941" s="31">
        <v>9.32</v>
      </c>
      <c r="F2941" s="15">
        <f>IFERROR(PRD[[#This Row],[VALOR]]/PRD[[#This Row],[KGS]],"")</f>
        <v>2.4526315789473685</v>
      </c>
    </row>
    <row r="2942" spans="1:6" x14ac:dyDescent="0.25">
      <c r="A2942" s="21" t="s">
        <v>181</v>
      </c>
      <c r="B2942" s="1">
        <v>45292</v>
      </c>
      <c r="C2942" t="s">
        <v>182</v>
      </c>
      <c r="D2942" s="18">
        <v>340.25</v>
      </c>
      <c r="E2942" s="31">
        <v>1331.69</v>
      </c>
      <c r="F2942" s="15">
        <f>IFERROR(PRD[[#This Row],[VALOR]]/PRD[[#This Row],[KGS]],"")</f>
        <v>3.9138574577516532</v>
      </c>
    </row>
    <row r="2943" spans="1:6" x14ac:dyDescent="0.25">
      <c r="A2943" s="21" t="s">
        <v>183</v>
      </c>
      <c r="B2943" s="1">
        <v>45292</v>
      </c>
      <c r="C2943" t="s">
        <v>309</v>
      </c>
      <c r="D2943" s="18">
        <v>1131</v>
      </c>
      <c r="E2943" s="31">
        <v>3104.2</v>
      </c>
      <c r="F2943" s="15">
        <f>IFERROR(PRD[[#This Row],[VALOR]]/PRD[[#This Row],[KGS]],"")</f>
        <v>2.7446507515473031</v>
      </c>
    </row>
    <row r="2944" spans="1:6" x14ac:dyDescent="0.25">
      <c r="A2944" s="21" t="s">
        <v>185</v>
      </c>
      <c r="B2944" s="1">
        <v>45292</v>
      </c>
      <c r="C2944" t="s">
        <v>186</v>
      </c>
      <c r="D2944" s="18">
        <v>1855</v>
      </c>
      <c r="E2944" s="31">
        <v>3899.35</v>
      </c>
      <c r="F2944" s="15">
        <f>IFERROR(PRD[[#This Row],[VALOR]]/PRD[[#This Row],[KGS]],"")</f>
        <v>2.1020754716981132</v>
      </c>
    </row>
    <row r="2945" spans="1:6" x14ac:dyDescent="0.25">
      <c r="A2945" s="21" t="s">
        <v>187</v>
      </c>
      <c r="B2945" s="1">
        <v>45292</v>
      </c>
      <c r="C2945" t="s">
        <v>188</v>
      </c>
      <c r="D2945" s="18">
        <v>3420</v>
      </c>
      <c r="E2945" s="31">
        <v>7003.67</v>
      </c>
      <c r="F2945" s="15">
        <f>IFERROR(PRD[[#This Row],[VALOR]]/PRD[[#This Row],[KGS]],"")</f>
        <v>2.047856725146199</v>
      </c>
    </row>
    <row r="2946" spans="1:6" x14ac:dyDescent="0.25">
      <c r="A2946" s="21" t="s">
        <v>189</v>
      </c>
      <c r="B2946" s="1">
        <v>45292</v>
      </c>
      <c r="C2946" t="s">
        <v>190</v>
      </c>
      <c r="D2946" s="18">
        <v>840</v>
      </c>
      <c r="E2946" s="31">
        <v>1708.8</v>
      </c>
      <c r="F2946" s="15">
        <f>IFERROR(PRD[[#This Row],[VALOR]]/PRD[[#This Row],[KGS]],"")</f>
        <v>2.0342857142857143</v>
      </c>
    </row>
    <row r="2947" spans="1:6" x14ac:dyDescent="0.25">
      <c r="A2947" s="21" t="s">
        <v>191</v>
      </c>
      <c r="B2947" s="1">
        <v>45292</v>
      </c>
      <c r="C2947" t="s">
        <v>192</v>
      </c>
      <c r="D2947" s="18">
        <v>1789.2</v>
      </c>
      <c r="E2947" s="31">
        <v>6800.54</v>
      </c>
      <c r="F2947" s="15">
        <f>IFERROR(PRD[[#This Row],[VALOR]]/PRD[[#This Row],[KGS]],"")</f>
        <v>3.8008830762351886</v>
      </c>
    </row>
    <row r="2948" spans="1:6" x14ac:dyDescent="0.25">
      <c r="A2948" s="21" t="s">
        <v>195</v>
      </c>
      <c r="B2948" s="1">
        <v>45292</v>
      </c>
      <c r="C2948" t="s">
        <v>196</v>
      </c>
      <c r="D2948" s="18">
        <v>383.68</v>
      </c>
      <c r="E2948" s="31">
        <v>1084.8499999999999</v>
      </c>
      <c r="F2948" s="15">
        <f>IFERROR(PRD[[#This Row],[VALOR]]/PRD[[#This Row],[KGS]],"")</f>
        <v>2.8274864470391989</v>
      </c>
    </row>
    <row r="2949" spans="1:6" x14ac:dyDescent="0.25">
      <c r="A2949" s="21" t="s">
        <v>197</v>
      </c>
      <c r="B2949" s="1">
        <v>45292</v>
      </c>
      <c r="C2949" t="s">
        <v>198</v>
      </c>
      <c r="D2949" s="18">
        <v>1743.84</v>
      </c>
      <c r="E2949" s="31">
        <v>1736.69</v>
      </c>
      <c r="F2949" s="15">
        <f>IFERROR(PRD[[#This Row],[VALOR]]/PRD[[#This Row],[KGS]],"")</f>
        <v>0.99589985319754115</v>
      </c>
    </row>
    <row r="2950" spans="1:6" x14ac:dyDescent="0.25">
      <c r="A2950" s="21" t="s">
        <v>199</v>
      </c>
      <c r="B2950" s="1">
        <v>45292</v>
      </c>
      <c r="C2950" t="s">
        <v>850</v>
      </c>
      <c r="D2950" s="18">
        <v>393.24</v>
      </c>
      <c r="E2950" s="31">
        <v>2461.14</v>
      </c>
      <c r="F2950" s="15">
        <f>IFERROR(PRD[[#This Row],[VALOR]]/PRD[[#This Row],[KGS]],"")</f>
        <v>6.2586206896551717</v>
      </c>
    </row>
    <row r="2951" spans="1:6" x14ac:dyDescent="0.25">
      <c r="A2951" s="21" t="s">
        <v>201</v>
      </c>
      <c r="B2951" s="1">
        <v>45292</v>
      </c>
      <c r="C2951" t="s">
        <v>851</v>
      </c>
      <c r="D2951" s="18">
        <v>694.28</v>
      </c>
      <c r="E2951" s="31">
        <v>4193.74</v>
      </c>
      <c r="F2951" s="15">
        <f>IFERROR(PRD[[#This Row],[VALOR]]/PRD[[#This Row],[KGS]],"")</f>
        <v>6.0404159705018143</v>
      </c>
    </row>
    <row r="2952" spans="1:6" x14ac:dyDescent="0.25">
      <c r="A2952" s="21" t="s">
        <v>203</v>
      </c>
      <c r="B2952" s="1">
        <v>45292</v>
      </c>
      <c r="C2952" t="s">
        <v>311</v>
      </c>
      <c r="D2952" s="18">
        <v>587.95000000000005</v>
      </c>
      <c r="E2952" s="31">
        <v>3822.99</v>
      </c>
      <c r="F2952" s="15">
        <f>IFERROR(PRD[[#This Row],[VALOR]]/PRD[[#This Row],[KGS]],"")</f>
        <v>6.5022365847436001</v>
      </c>
    </row>
    <row r="2953" spans="1:6" x14ac:dyDescent="0.25">
      <c r="A2953" s="21" t="s">
        <v>205</v>
      </c>
      <c r="B2953" s="1">
        <v>45292</v>
      </c>
      <c r="C2953" t="s">
        <v>206</v>
      </c>
      <c r="D2953" s="18">
        <v>170.5</v>
      </c>
      <c r="E2953" s="31">
        <v>841.4</v>
      </c>
      <c r="F2953" s="15">
        <f>IFERROR(PRD[[#This Row],[VALOR]]/PRD[[#This Row],[KGS]],"")</f>
        <v>4.934897360703812</v>
      </c>
    </row>
    <row r="2954" spans="1:6" x14ac:dyDescent="0.25">
      <c r="A2954" s="21" t="s">
        <v>209</v>
      </c>
      <c r="B2954" s="1">
        <v>45292</v>
      </c>
      <c r="C2954" t="s">
        <v>852</v>
      </c>
      <c r="D2954" s="18">
        <v>379.43</v>
      </c>
      <c r="E2954" s="31">
        <v>1870.42</v>
      </c>
      <c r="F2954" s="15">
        <f>IFERROR(PRD[[#This Row],[VALOR]]/PRD[[#This Row],[KGS]],"")</f>
        <v>4.9295522230714495</v>
      </c>
    </row>
    <row r="2955" spans="1:6" x14ac:dyDescent="0.25">
      <c r="A2955" s="21" t="s">
        <v>211</v>
      </c>
      <c r="B2955" s="1">
        <v>45292</v>
      </c>
      <c r="C2955" t="s">
        <v>212</v>
      </c>
      <c r="D2955" s="18">
        <v>1669.1</v>
      </c>
      <c r="E2955" s="31">
        <v>4969.7299999999996</v>
      </c>
      <c r="F2955" s="15">
        <f>IFERROR(PRD[[#This Row],[VALOR]]/PRD[[#This Row],[KGS]],"")</f>
        <v>2.9774908633395243</v>
      </c>
    </row>
    <row r="2956" spans="1:6" x14ac:dyDescent="0.25">
      <c r="A2956" s="21" t="s">
        <v>213</v>
      </c>
      <c r="B2956" s="1">
        <v>45292</v>
      </c>
      <c r="C2956" t="s">
        <v>214</v>
      </c>
      <c r="D2956" s="18">
        <v>3324.46</v>
      </c>
      <c r="E2956" s="31">
        <v>10772.22</v>
      </c>
      <c r="F2956" s="15">
        <f>IFERROR(PRD[[#This Row],[VALOR]]/PRD[[#This Row],[KGS]],"")</f>
        <v>3.2402916563893083</v>
      </c>
    </row>
    <row r="2957" spans="1:6" x14ac:dyDescent="0.25">
      <c r="A2957" s="21" t="s">
        <v>215</v>
      </c>
      <c r="B2957" s="1">
        <v>45292</v>
      </c>
      <c r="C2957" t="s">
        <v>216</v>
      </c>
      <c r="D2957" s="18">
        <v>1934.24</v>
      </c>
      <c r="E2957" s="31">
        <v>6082.86</v>
      </c>
      <c r="F2957" s="15">
        <f>IFERROR(PRD[[#This Row],[VALOR]]/PRD[[#This Row],[KGS]],"")</f>
        <v>3.1448320787492761</v>
      </c>
    </row>
    <row r="2958" spans="1:6" x14ac:dyDescent="0.25">
      <c r="A2958" s="21" t="s">
        <v>217</v>
      </c>
      <c r="B2958" s="1">
        <v>45292</v>
      </c>
      <c r="C2958" t="s">
        <v>218</v>
      </c>
      <c r="D2958" s="18">
        <v>846.47</v>
      </c>
      <c r="E2958" s="31">
        <v>2353.19</v>
      </c>
      <c r="F2958" s="15">
        <f>IFERROR(PRD[[#This Row],[VALOR]]/PRD[[#This Row],[KGS]],"")</f>
        <v>2.78000401668104</v>
      </c>
    </row>
    <row r="2959" spans="1:6" x14ac:dyDescent="0.25">
      <c r="A2959" s="21" t="s">
        <v>219</v>
      </c>
      <c r="B2959" s="1">
        <v>45292</v>
      </c>
      <c r="C2959" t="s">
        <v>220</v>
      </c>
      <c r="D2959" s="18">
        <v>6883.99</v>
      </c>
      <c r="E2959" s="31">
        <v>20472.62</v>
      </c>
      <c r="F2959" s="15">
        <f>IFERROR(PRD[[#This Row],[VALOR]]/PRD[[#This Row],[KGS]],"")</f>
        <v>2.9739467953904639</v>
      </c>
    </row>
    <row r="2960" spans="1:6" x14ac:dyDescent="0.25">
      <c r="A2960" s="21" t="s">
        <v>221</v>
      </c>
      <c r="B2960" s="1">
        <v>45292</v>
      </c>
      <c r="C2960" t="s">
        <v>222</v>
      </c>
      <c r="D2960" s="18">
        <v>113.89</v>
      </c>
      <c r="E2960" s="31">
        <v>361.44</v>
      </c>
      <c r="F2960" s="15">
        <f>IFERROR(PRD[[#This Row],[VALOR]]/PRD[[#This Row],[KGS]],"")</f>
        <v>3.1735885503556061</v>
      </c>
    </row>
    <row r="2961" spans="1:6" x14ac:dyDescent="0.25">
      <c r="A2961" s="21" t="s">
        <v>223</v>
      </c>
      <c r="B2961" s="1">
        <v>45292</v>
      </c>
      <c r="C2961" t="s">
        <v>224</v>
      </c>
      <c r="D2961" s="18">
        <v>1106.76</v>
      </c>
      <c r="E2961" s="31">
        <v>3402.98</v>
      </c>
      <c r="F2961" s="15">
        <f>IFERROR(PRD[[#This Row],[VALOR]]/PRD[[#This Row],[KGS]],"")</f>
        <v>3.0747226137554664</v>
      </c>
    </row>
    <row r="2962" spans="1:6" x14ac:dyDescent="0.25">
      <c r="A2962" s="21" t="s">
        <v>225</v>
      </c>
      <c r="B2962" s="1">
        <v>45292</v>
      </c>
      <c r="C2962" t="s">
        <v>226</v>
      </c>
      <c r="D2962" s="18">
        <v>280</v>
      </c>
      <c r="E2962" s="31">
        <v>193.2</v>
      </c>
      <c r="F2962" s="15">
        <f>IFERROR(PRD[[#This Row],[VALOR]]/PRD[[#This Row],[KGS]],"")</f>
        <v>0.69</v>
      </c>
    </row>
    <row r="2963" spans="1:6" x14ac:dyDescent="0.25">
      <c r="A2963" s="21" t="s">
        <v>853</v>
      </c>
      <c r="B2963" s="1">
        <v>45292</v>
      </c>
      <c r="C2963" t="s">
        <v>226</v>
      </c>
      <c r="D2963" s="18">
        <v>1435</v>
      </c>
      <c r="E2963" s="31">
        <v>918.4</v>
      </c>
      <c r="F2963" s="15">
        <f>IFERROR(PRD[[#This Row],[VALOR]]/PRD[[#This Row],[KGS]],"")</f>
        <v>0.64</v>
      </c>
    </row>
    <row r="2964" spans="1:6" x14ac:dyDescent="0.25">
      <c r="A2964" s="21" t="s">
        <v>227</v>
      </c>
      <c r="B2964" s="1">
        <v>45292</v>
      </c>
      <c r="C2964" t="s">
        <v>228</v>
      </c>
      <c r="D2964" s="18">
        <v>12008.9</v>
      </c>
      <c r="E2964" s="31">
        <v>34945.78</v>
      </c>
      <c r="F2964" s="15">
        <f>IFERROR(PRD[[#This Row],[VALOR]]/PRD[[#This Row],[KGS]],"")</f>
        <v>2.9099900906827436</v>
      </c>
    </row>
    <row r="2965" spans="1:6" x14ac:dyDescent="0.25">
      <c r="A2965" s="21" t="s">
        <v>854</v>
      </c>
      <c r="B2965" s="1">
        <v>45292</v>
      </c>
      <c r="C2965" t="s">
        <v>855</v>
      </c>
      <c r="D2965" s="18">
        <v>372.35</v>
      </c>
      <c r="E2965" s="31">
        <v>1149.81</v>
      </c>
      <c r="F2965" s="15">
        <f>IFERROR(PRD[[#This Row],[VALOR]]/PRD[[#This Row],[KGS]],"")</f>
        <v>3.087981737612461</v>
      </c>
    </row>
    <row r="2966" spans="1:6" x14ac:dyDescent="0.25">
      <c r="A2966" s="21" t="s">
        <v>229</v>
      </c>
      <c r="B2966" s="1">
        <v>45292</v>
      </c>
      <c r="C2966" t="s">
        <v>230</v>
      </c>
      <c r="D2966" s="18">
        <v>1200.3</v>
      </c>
      <c r="E2966" s="31">
        <v>3584.66</v>
      </c>
      <c r="F2966" s="15">
        <f>IFERROR(PRD[[#This Row],[VALOR]]/PRD[[#This Row],[KGS]],"")</f>
        <v>2.9864700491543781</v>
      </c>
    </row>
    <row r="2967" spans="1:6" x14ac:dyDescent="0.25">
      <c r="A2967" s="21" t="s">
        <v>231</v>
      </c>
      <c r="B2967" s="1">
        <v>45292</v>
      </c>
      <c r="C2967" t="s">
        <v>232</v>
      </c>
      <c r="D2967" s="18">
        <v>1653.89</v>
      </c>
      <c r="E2967" s="31">
        <v>4744.82</v>
      </c>
      <c r="F2967" s="15">
        <f>IFERROR(PRD[[#This Row],[VALOR]]/PRD[[#This Row],[KGS]],"")</f>
        <v>2.8688848714243385</v>
      </c>
    </row>
    <row r="2968" spans="1:6" x14ac:dyDescent="0.25">
      <c r="A2968" s="21" t="s">
        <v>233</v>
      </c>
      <c r="B2968" s="1">
        <v>45292</v>
      </c>
      <c r="C2968" t="s">
        <v>234</v>
      </c>
      <c r="D2968" s="18">
        <v>66.86</v>
      </c>
      <c r="E2968" s="31">
        <v>208.52</v>
      </c>
      <c r="F2968" s="15">
        <f>IFERROR(PRD[[#This Row],[VALOR]]/PRD[[#This Row],[KGS]],"")</f>
        <v>3.1187556087346695</v>
      </c>
    </row>
    <row r="2969" spans="1:6" x14ac:dyDescent="0.25">
      <c r="A2969" s="21" t="s">
        <v>235</v>
      </c>
      <c r="B2969" s="1">
        <v>45292</v>
      </c>
      <c r="C2969" t="s">
        <v>236</v>
      </c>
      <c r="D2969" s="18">
        <v>7023.51</v>
      </c>
      <c r="E2969" s="31">
        <v>19604.25</v>
      </c>
      <c r="F2969" s="15">
        <f>IFERROR(PRD[[#This Row],[VALOR]]/PRD[[#This Row],[KGS]],"")</f>
        <v>2.7912325888337883</v>
      </c>
    </row>
    <row r="2970" spans="1:6" x14ac:dyDescent="0.25">
      <c r="A2970" s="21" t="s">
        <v>237</v>
      </c>
      <c r="B2970" s="1">
        <v>45292</v>
      </c>
      <c r="C2970" t="s">
        <v>238</v>
      </c>
      <c r="D2970" s="18">
        <v>7495.15</v>
      </c>
      <c r="E2970" s="31">
        <v>20339.439999999999</v>
      </c>
      <c r="F2970" s="15">
        <f>IFERROR(PRD[[#This Row],[VALOR]]/PRD[[#This Row],[KGS]],"")</f>
        <v>2.7136801798496362</v>
      </c>
    </row>
    <row r="2971" spans="1:6" x14ac:dyDescent="0.25">
      <c r="A2971" s="21" t="s">
        <v>239</v>
      </c>
      <c r="B2971" s="1">
        <v>45292</v>
      </c>
      <c r="C2971" t="s">
        <v>240</v>
      </c>
      <c r="D2971" s="18">
        <v>17.22</v>
      </c>
      <c r="E2971" s="31">
        <v>56.14</v>
      </c>
      <c r="F2971" s="15">
        <f>IFERROR(PRD[[#This Row],[VALOR]]/PRD[[#This Row],[KGS]],"")</f>
        <v>3.2601626016260163</v>
      </c>
    </row>
    <row r="2972" spans="1:6" x14ac:dyDescent="0.25">
      <c r="A2972" s="21" t="s">
        <v>241</v>
      </c>
      <c r="B2972" s="1">
        <v>45292</v>
      </c>
      <c r="C2972" t="s">
        <v>242</v>
      </c>
      <c r="D2972" s="18">
        <v>953.5</v>
      </c>
      <c r="E2972" s="31">
        <v>2749.38</v>
      </c>
      <c r="F2972" s="15">
        <f>IFERROR(PRD[[#This Row],[VALOR]]/PRD[[#This Row],[KGS]],"")</f>
        <v>2.8834609334032515</v>
      </c>
    </row>
    <row r="2973" spans="1:6" x14ac:dyDescent="0.25">
      <c r="A2973" s="21" t="s">
        <v>243</v>
      </c>
      <c r="B2973" s="1">
        <v>45292</v>
      </c>
      <c r="C2973" t="s">
        <v>244</v>
      </c>
      <c r="D2973" s="18">
        <v>430.75</v>
      </c>
      <c r="E2973" s="31">
        <v>1295.49</v>
      </c>
      <c r="F2973" s="15">
        <f>IFERROR(PRD[[#This Row],[VALOR]]/PRD[[#This Row],[KGS]],"")</f>
        <v>3.0075217643644807</v>
      </c>
    </row>
    <row r="2974" spans="1:6" x14ac:dyDescent="0.25">
      <c r="A2974" s="21" t="s">
        <v>463</v>
      </c>
      <c r="B2974" s="1">
        <v>45292</v>
      </c>
      <c r="C2974" t="s">
        <v>856</v>
      </c>
      <c r="D2974" s="18">
        <v>455</v>
      </c>
      <c r="E2974" s="31">
        <v>300.64999999999998</v>
      </c>
      <c r="F2974" s="15">
        <f>IFERROR(PRD[[#This Row],[VALOR]]/PRD[[#This Row],[KGS]],"")</f>
        <v>0.66076923076923066</v>
      </c>
    </row>
    <row r="2975" spans="1:6" x14ac:dyDescent="0.25">
      <c r="A2975" s="21" t="s">
        <v>245</v>
      </c>
      <c r="B2975" s="1">
        <v>45292</v>
      </c>
      <c r="C2975" t="s">
        <v>246</v>
      </c>
      <c r="D2975" s="18">
        <v>1148.75</v>
      </c>
      <c r="E2975" s="31">
        <v>3379.39</v>
      </c>
      <c r="F2975" s="15">
        <f>IFERROR(PRD[[#This Row],[VALOR]]/PRD[[#This Row],[KGS]],"")</f>
        <v>2.94179760609358</v>
      </c>
    </row>
    <row r="2976" spans="1:6" x14ac:dyDescent="0.25">
      <c r="A2976" s="21" t="s">
        <v>857</v>
      </c>
      <c r="B2976" s="1">
        <v>45292</v>
      </c>
      <c r="C2976" t="s">
        <v>793</v>
      </c>
      <c r="D2976" s="18">
        <v>-2.1</v>
      </c>
      <c r="E2976" s="31">
        <v>-12.6</v>
      </c>
      <c r="F2976" s="15">
        <f>IFERROR(PRD[[#This Row],[VALOR]]/PRD[[#This Row],[KGS]],"")</f>
        <v>6</v>
      </c>
    </row>
    <row r="2977" spans="1:6" x14ac:dyDescent="0.25">
      <c r="A2977" s="21" t="s">
        <v>552</v>
      </c>
      <c r="B2977" s="1">
        <v>45292</v>
      </c>
      <c r="C2977" t="s">
        <v>553</v>
      </c>
      <c r="D2977" s="18">
        <v>121.74</v>
      </c>
      <c r="E2977" s="31">
        <v>638.83000000000004</v>
      </c>
      <c r="F2977" s="15">
        <f>IFERROR(PRD[[#This Row],[VALOR]]/PRD[[#This Row],[KGS]],"")</f>
        <v>5.247494660752424</v>
      </c>
    </row>
    <row r="2978" spans="1:6" x14ac:dyDescent="0.25">
      <c r="A2978" s="21" t="s">
        <v>554</v>
      </c>
      <c r="B2978" s="1">
        <v>45292</v>
      </c>
      <c r="C2978" t="s">
        <v>555</v>
      </c>
      <c r="D2978" s="18">
        <v>27.46</v>
      </c>
      <c r="E2978" s="31">
        <v>148.47</v>
      </c>
      <c r="F2978" s="15">
        <f>IFERROR(PRD[[#This Row],[VALOR]]/PRD[[#This Row],[KGS]],"")</f>
        <v>5.4067734887108516</v>
      </c>
    </row>
    <row r="2979" spans="1:6" x14ac:dyDescent="0.25">
      <c r="A2979" s="21" t="s">
        <v>251</v>
      </c>
      <c r="B2979" s="1">
        <v>45292</v>
      </c>
      <c r="C2979" t="s">
        <v>252</v>
      </c>
      <c r="D2979" s="18">
        <v>473.03</v>
      </c>
      <c r="E2979" s="31">
        <v>2013.31</v>
      </c>
      <c r="F2979" s="15">
        <f>IFERROR(PRD[[#This Row],[VALOR]]/PRD[[#This Row],[KGS]],"")</f>
        <v>4.2561993953871848</v>
      </c>
    </row>
    <row r="2980" spans="1:6" x14ac:dyDescent="0.25">
      <c r="A2980" s="21" t="s">
        <v>253</v>
      </c>
      <c r="B2980" s="1">
        <v>45292</v>
      </c>
      <c r="C2980" t="s">
        <v>254</v>
      </c>
      <c r="D2980" s="18">
        <v>132.72</v>
      </c>
      <c r="E2980" s="31">
        <v>569.91999999999996</v>
      </c>
      <c r="F2980" s="15">
        <f>IFERROR(PRD[[#This Row],[VALOR]]/PRD[[#This Row],[KGS]],"")</f>
        <v>4.2941531042796859</v>
      </c>
    </row>
    <row r="2981" spans="1:6" x14ac:dyDescent="0.25">
      <c r="A2981" s="21" t="s">
        <v>255</v>
      </c>
      <c r="B2981" s="1">
        <v>45292</v>
      </c>
      <c r="C2981" t="s">
        <v>256</v>
      </c>
      <c r="D2981" s="18">
        <v>374.92</v>
      </c>
      <c r="E2981" s="31">
        <v>1018.56</v>
      </c>
      <c r="F2981" s="15">
        <f>IFERROR(PRD[[#This Row],[VALOR]]/PRD[[#This Row],[KGS]],"")</f>
        <v>2.7167395711085027</v>
      </c>
    </row>
    <row r="2982" spans="1:6" x14ac:dyDescent="0.25">
      <c r="A2982" s="21" t="s">
        <v>257</v>
      </c>
      <c r="B2982" s="1">
        <v>45292</v>
      </c>
      <c r="C2982" t="s">
        <v>258</v>
      </c>
      <c r="D2982" s="18">
        <v>68.2</v>
      </c>
      <c r="E2982" s="31">
        <v>211.87</v>
      </c>
      <c r="F2982" s="15">
        <f>IFERROR(PRD[[#This Row],[VALOR]]/PRD[[#This Row],[KGS]],"")</f>
        <v>3.1065982404692081</v>
      </c>
    </row>
    <row r="2983" spans="1:6" x14ac:dyDescent="0.25">
      <c r="A2983" s="21" t="s">
        <v>858</v>
      </c>
      <c r="B2983" s="1">
        <v>45292</v>
      </c>
      <c r="C2983" t="s">
        <v>859</v>
      </c>
      <c r="D2983" s="18">
        <v>102</v>
      </c>
      <c r="E2983" s="31">
        <v>55.08</v>
      </c>
      <c r="F2983" s="15">
        <f>IFERROR(PRD[[#This Row],[VALOR]]/PRD[[#This Row],[KGS]],"")</f>
        <v>0.54</v>
      </c>
    </row>
    <row r="2984" spans="1:6" x14ac:dyDescent="0.25">
      <c r="A2984" s="21" t="s">
        <v>259</v>
      </c>
      <c r="B2984" s="1">
        <v>45292</v>
      </c>
      <c r="C2984" t="s">
        <v>860</v>
      </c>
      <c r="D2984" s="18">
        <v>360.69</v>
      </c>
      <c r="E2984" s="31">
        <v>1068.05</v>
      </c>
      <c r="F2984" s="15">
        <f>IFERROR(PRD[[#This Row],[VALOR]]/PRD[[#This Row],[KGS]],"")</f>
        <v>2.961130056281017</v>
      </c>
    </row>
    <row r="2985" spans="1:6" x14ac:dyDescent="0.25">
      <c r="A2985" s="21" t="s">
        <v>261</v>
      </c>
      <c r="B2985" s="1">
        <v>45292</v>
      </c>
      <c r="C2985" t="s">
        <v>262</v>
      </c>
      <c r="D2985" s="18">
        <v>331.85</v>
      </c>
      <c r="E2985" s="31">
        <v>1736.06</v>
      </c>
      <c r="F2985" s="15">
        <f>IFERROR(PRD[[#This Row],[VALOR]]/PRD[[#This Row],[KGS]],"")</f>
        <v>5.2314599969865894</v>
      </c>
    </row>
    <row r="2986" spans="1:6" x14ac:dyDescent="0.25">
      <c r="A2986" s="21" t="s">
        <v>263</v>
      </c>
      <c r="B2986" s="1">
        <v>45292</v>
      </c>
      <c r="C2986" t="s">
        <v>264</v>
      </c>
      <c r="D2986" s="18">
        <v>899.5</v>
      </c>
      <c r="E2986" s="31">
        <v>4659.45</v>
      </c>
      <c r="F2986" s="15">
        <f>IFERROR(PRD[[#This Row],[VALOR]]/PRD[[#This Row],[KGS]],"")</f>
        <v>5.1800444691495269</v>
      </c>
    </row>
    <row r="2987" spans="1:6" x14ac:dyDescent="0.25">
      <c r="A2987" s="21" t="s">
        <v>265</v>
      </c>
      <c r="B2987" s="1">
        <v>45292</v>
      </c>
      <c r="C2987" t="s">
        <v>266</v>
      </c>
      <c r="D2987" s="18">
        <v>148.58000000000001</v>
      </c>
      <c r="E2987" s="31">
        <v>729.62</v>
      </c>
      <c r="F2987" s="15">
        <f>IFERROR(PRD[[#This Row],[VALOR]]/PRD[[#This Row],[KGS]],"")</f>
        <v>4.9106205411226274</v>
      </c>
    </row>
    <row r="2988" spans="1:6" x14ac:dyDescent="0.25">
      <c r="A2988" s="21" t="s">
        <v>267</v>
      </c>
      <c r="B2988" s="1">
        <v>45292</v>
      </c>
      <c r="C2988" t="s">
        <v>268</v>
      </c>
      <c r="D2988" s="18">
        <v>465.64</v>
      </c>
      <c r="E2988" s="31">
        <v>1995.36</v>
      </c>
      <c r="F2988" s="15">
        <f>IFERROR(PRD[[#This Row],[VALOR]]/PRD[[#This Row],[KGS]],"")</f>
        <v>4.2851988660767972</v>
      </c>
    </row>
    <row r="2989" spans="1:6" x14ac:dyDescent="0.25">
      <c r="A2989" s="21" t="s">
        <v>269</v>
      </c>
      <c r="B2989" s="1">
        <v>45292</v>
      </c>
      <c r="C2989" t="s">
        <v>270</v>
      </c>
      <c r="D2989" s="18">
        <v>119.22</v>
      </c>
      <c r="E2989" s="31">
        <v>502.71</v>
      </c>
      <c r="F2989" s="15">
        <f>IFERROR(PRD[[#This Row],[VALOR]]/PRD[[#This Row],[KGS]],"")</f>
        <v>4.2166582788122797</v>
      </c>
    </row>
    <row r="2990" spans="1:6" x14ac:dyDescent="0.25">
      <c r="A2990" s="21" t="s">
        <v>271</v>
      </c>
      <c r="B2990" s="1">
        <v>45292</v>
      </c>
      <c r="C2990" t="s">
        <v>272</v>
      </c>
      <c r="D2990" s="18">
        <v>9.17</v>
      </c>
      <c r="E2990" s="31">
        <v>56.8</v>
      </c>
      <c r="F2990" s="15">
        <f>IFERROR(PRD[[#This Row],[VALOR]]/PRD[[#This Row],[KGS]],"")</f>
        <v>6.1941112322791714</v>
      </c>
    </row>
    <row r="2991" spans="1:6" x14ac:dyDescent="0.25">
      <c r="A2991" s="21" t="s">
        <v>273</v>
      </c>
      <c r="B2991" s="1">
        <v>45292</v>
      </c>
      <c r="C2991" t="s">
        <v>274</v>
      </c>
      <c r="D2991" s="18">
        <v>1824.71</v>
      </c>
      <c r="E2991" s="31">
        <v>5228.8</v>
      </c>
      <c r="F2991" s="15">
        <f>IFERROR(PRD[[#This Row],[VALOR]]/PRD[[#This Row],[KGS]],"")</f>
        <v>2.8655512382789596</v>
      </c>
    </row>
    <row r="2992" spans="1:6" x14ac:dyDescent="0.25">
      <c r="A2992" s="21" t="s">
        <v>275</v>
      </c>
      <c r="B2992" s="1">
        <v>45292</v>
      </c>
      <c r="C2992" t="s">
        <v>861</v>
      </c>
      <c r="D2992" s="18">
        <v>4243.07</v>
      </c>
      <c r="E2992" s="31">
        <v>12969.2</v>
      </c>
      <c r="F2992" s="15">
        <f>IFERROR(PRD[[#This Row],[VALOR]]/PRD[[#This Row],[KGS]],"")</f>
        <v>3.056560462118231</v>
      </c>
    </row>
    <row r="2993" spans="1:6" x14ac:dyDescent="0.25">
      <c r="A2993" s="21" t="s">
        <v>277</v>
      </c>
      <c r="B2993" s="1">
        <v>45292</v>
      </c>
      <c r="C2993" t="s">
        <v>278</v>
      </c>
      <c r="D2993" s="18">
        <v>11.6</v>
      </c>
      <c r="E2993" s="31">
        <v>61.43</v>
      </c>
      <c r="F2993" s="15">
        <f>IFERROR(PRD[[#This Row],[VALOR]]/PRD[[#This Row],[KGS]],"")</f>
        <v>5.2956896551724135</v>
      </c>
    </row>
    <row r="2994" spans="1:6" x14ac:dyDescent="0.25">
      <c r="A2994" s="21" t="s">
        <v>279</v>
      </c>
      <c r="B2994" s="1">
        <v>45292</v>
      </c>
      <c r="C2994" t="s">
        <v>280</v>
      </c>
      <c r="D2994" s="18">
        <v>676.64</v>
      </c>
      <c r="E2994" s="31">
        <v>3547.28</v>
      </c>
      <c r="F2994" s="15">
        <f>IFERROR(PRD[[#This Row],[VALOR]]/PRD[[#This Row],[KGS]],"")</f>
        <v>5.2424923149680778</v>
      </c>
    </row>
    <row r="2995" spans="1:6" x14ac:dyDescent="0.25">
      <c r="A2995" s="21" t="s">
        <v>862</v>
      </c>
      <c r="B2995" s="1">
        <v>45292</v>
      </c>
      <c r="C2995" t="s">
        <v>863</v>
      </c>
      <c r="D2995" s="18">
        <v>2588.25</v>
      </c>
      <c r="E2995" s="31">
        <v>3249.63</v>
      </c>
      <c r="F2995" s="15">
        <f>IFERROR(PRD[[#This Row],[VALOR]]/PRD[[#This Row],[KGS]],"")</f>
        <v>1.2555317299333526</v>
      </c>
    </row>
    <row r="2996" spans="1:6" x14ac:dyDescent="0.25">
      <c r="A2996" s="21" t="s">
        <v>281</v>
      </c>
      <c r="B2996" s="1">
        <v>45292</v>
      </c>
      <c r="C2996" t="s">
        <v>282</v>
      </c>
      <c r="D2996" s="18">
        <v>208.17</v>
      </c>
      <c r="E2996" s="31">
        <v>894.83</v>
      </c>
      <c r="F2996" s="15">
        <f>IFERROR(PRD[[#This Row],[VALOR]]/PRD[[#This Row],[KGS]],"")</f>
        <v>4.298554066388049</v>
      </c>
    </row>
    <row r="2997" spans="1:6" x14ac:dyDescent="0.25">
      <c r="A2997" s="21" t="s">
        <v>283</v>
      </c>
      <c r="B2997" s="1">
        <v>45292</v>
      </c>
      <c r="C2997" t="s">
        <v>284</v>
      </c>
      <c r="D2997" s="18">
        <v>257.64</v>
      </c>
      <c r="E2997" s="31">
        <v>676.54</v>
      </c>
      <c r="F2997" s="15">
        <f>IFERROR(PRD[[#This Row],[VALOR]]/PRD[[#This Row],[KGS]],"")</f>
        <v>2.6259121254463591</v>
      </c>
    </row>
    <row r="2998" spans="1:6" x14ac:dyDescent="0.25">
      <c r="A2998" s="21" t="s">
        <v>285</v>
      </c>
      <c r="B2998" s="1">
        <v>45292</v>
      </c>
      <c r="C2998" t="s">
        <v>286</v>
      </c>
      <c r="D2998" s="18">
        <v>283.19</v>
      </c>
      <c r="E2998" s="31">
        <v>814.33</v>
      </c>
      <c r="F2998" s="15">
        <f>IFERROR(PRD[[#This Row],[VALOR]]/PRD[[#This Row],[KGS]],"")</f>
        <v>2.875560577704015</v>
      </c>
    </row>
    <row r="2999" spans="1:6" x14ac:dyDescent="0.25">
      <c r="A2999" s="21" t="s">
        <v>864</v>
      </c>
      <c r="B2999" s="1">
        <v>45292</v>
      </c>
      <c r="C2999" t="s">
        <v>697</v>
      </c>
      <c r="D2999" s="18">
        <v>1</v>
      </c>
      <c r="E2999" s="31">
        <v>10</v>
      </c>
      <c r="F2999" s="15">
        <f>IFERROR(PRD[[#This Row],[VALOR]]/PRD[[#This Row],[KGS]],"")</f>
        <v>10</v>
      </c>
    </row>
    <row r="3000" spans="1:6" x14ac:dyDescent="0.25">
      <c r="A3000" s="21" t="s">
        <v>556</v>
      </c>
      <c r="B3000" s="1">
        <v>45292</v>
      </c>
      <c r="C3000" t="s">
        <v>557</v>
      </c>
      <c r="D3000" s="18">
        <v>2</v>
      </c>
      <c r="E3000" s="31">
        <v>11</v>
      </c>
      <c r="F3000" s="15">
        <f>IFERROR(PRD[[#This Row],[VALOR]]/PRD[[#This Row],[KGS]],"")</f>
        <v>5.5</v>
      </c>
    </row>
    <row r="3001" spans="1:6" x14ac:dyDescent="0.25">
      <c r="A3001" s="21" t="s">
        <v>558</v>
      </c>
      <c r="B3001" s="1">
        <v>45292</v>
      </c>
      <c r="C3001" t="s">
        <v>318</v>
      </c>
      <c r="D3001" s="18">
        <v>0.73</v>
      </c>
      <c r="E3001" s="31">
        <v>13</v>
      </c>
      <c r="F3001" s="15">
        <f>IFERROR(PRD[[#This Row],[VALOR]]/PRD[[#This Row],[KGS]],"")</f>
        <v>17.808219178082194</v>
      </c>
    </row>
    <row r="3002" spans="1:6" x14ac:dyDescent="0.25">
      <c r="A3002" s="21">
        <v>8040011</v>
      </c>
      <c r="B3002" s="1">
        <v>45292</v>
      </c>
      <c r="C3002" t="s">
        <v>560</v>
      </c>
      <c r="D3002" s="18">
        <v>0</v>
      </c>
      <c r="E3002" s="31">
        <v>0</v>
      </c>
      <c r="F3002" s="15" t="str">
        <f>IFERROR(PRD[[#This Row],[VALOR]]/PRD[[#This Row],[KGS]],"")</f>
        <v/>
      </c>
    </row>
    <row r="3003" spans="1:6" x14ac:dyDescent="0.25">
      <c r="A3003" s="21" t="s">
        <v>465</v>
      </c>
      <c r="B3003" s="1">
        <v>45292</v>
      </c>
      <c r="C3003" t="s">
        <v>561</v>
      </c>
      <c r="D3003" s="18">
        <v>80</v>
      </c>
      <c r="E3003" s="31">
        <v>191.2</v>
      </c>
      <c r="F3003" s="15">
        <f>IFERROR(PRD[[#This Row],[VALOR]]/PRD[[#This Row],[KGS]],"")</f>
        <v>2.3899999999999997</v>
      </c>
    </row>
    <row r="3004" spans="1:6" x14ac:dyDescent="0.25">
      <c r="A3004" s="21">
        <v>8040037</v>
      </c>
      <c r="B3004" s="1">
        <v>45292</v>
      </c>
      <c r="C3004" t="s">
        <v>794</v>
      </c>
      <c r="D3004" s="18">
        <v>0</v>
      </c>
      <c r="E3004" s="31">
        <v>0</v>
      </c>
      <c r="F3004" s="15" t="str">
        <f>IFERROR(PRD[[#This Row],[VALOR]]/PRD[[#This Row],[KGS]],"")</f>
        <v/>
      </c>
    </row>
    <row r="3005" spans="1:6" x14ac:dyDescent="0.25">
      <c r="A3005" s="21" t="s">
        <v>865</v>
      </c>
      <c r="B3005" s="1">
        <v>45292</v>
      </c>
      <c r="C3005" t="s">
        <v>699</v>
      </c>
      <c r="D3005" s="18">
        <v>761</v>
      </c>
      <c r="E3005" s="31">
        <v>1912.51</v>
      </c>
      <c r="F3005" s="15">
        <f>IFERROR(PRD[[#This Row],[VALOR]]/PRD[[#This Row],[KGS]],"")</f>
        <v>2.5131537450722732</v>
      </c>
    </row>
    <row r="3006" spans="1:6" x14ac:dyDescent="0.25">
      <c r="A3006" s="21" t="s">
        <v>866</v>
      </c>
      <c r="B3006" s="1">
        <v>45292</v>
      </c>
      <c r="C3006" t="s">
        <v>746</v>
      </c>
      <c r="D3006" s="18">
        <v>518.4</v>
      </c>
      <c r="E3006" s="31">
        <v>6350.4</v>
      </c>
      <c r="F3006" s="15">
        <f>IFERROR(PRD[[#This Row],[VALOR]]/PRD[[#This Row],[KGS]],"")</f>
        <v>12.25</v>
      </c>
    </row>
    <row r="3007" spans="1:6" x14ac:dyDescent="0.25">
      <c r="A3007" s="21">
        <v>8040053</v>
      </c>
      <c r="B3007" s="1">
        <v>45292</v>
      </c>
      <c r="C3007" t="s">
        <v>747</v>
      </c>
      <c r="D3007" s="18">
        <v>0</v>
      </c>
      <c r="E3007" s="31">
        <v>0</v>
      </c>
      <c r="F3007" s="15" t="str">
        <f>IFERROR(PRD[[#This Row],[VALOR]]/PRD[[#This Row],[KGS]],"")</f>
        <v/>
      </c>
    </row>
    <row r="3008" spans="1:6" x14ac:dyDescent="0.25">
      <c r="A3008" s="21" t="s">
        <v>867</v>
      </c>
      <c r="B3008" s="1">
        <v>45292</v>
      </c>
      <c r="C3008" t="s">
        <v>769</v>
      </c>
      <c r="D3008" s="18">
        <v>56</v>
      </c>
      <c r="E3008" s="31">
        <v>725.2</v>
      </c>
      <c r="F3008" s="15">
        <f>IFERROR(PRD[[#This Row],[VALOR]]/PRD[[#This Row],[KGS]],"")</f>
        <v>12.950000000000001</v>
      </c>
    </row>
    <row r="3009" spans="1:6" x14ac:dyDescent="0.25">
      <c r="A3009" s="21">
        <v>8070009</v>
      </c>
      <c r="B3009" s="1">
        <v>45292</v>
      </c>
      <c r="C3009" t="s">
        <v>581</v>
      </c>
      <c r="D3009" s="18">
        <v>0</v>
      </c>
      <c r="E3009" s="31">
        <v>0</v>
      </c>
      <c r="F3009" s="15" t="str">
        <f>IFERROR(PRD[[#This Row],[VALOR]]/PRD[[#This Row],[KGS]],"")</f>
        <v/>
      </c>
    </row>
    <row r="3010" spans="1:6" x14ac:dyDescent="0.25">
      <c r="A3010" s="21" t="s">
        <v>868</v>
      </c>
      <c r="B3010" s="1">
        <v>45292</v>
      </c>
      <c r="C3010" t="s">
        <v>372</v>
      </c>
      <c r="D3010" s="18">
        <v>153.19999999999999</v>
      </c>
      <c r="E3010" s="31">
        <v>593.84</v>
      </c>
      <c r="F3010" s="15">
        <f>IFERROR(PRD[[#This Row],[VALOR]]/PRD[[#This Row],[KGS]],"")</f>
        <v>3.8762402088772849</v>
      </c>
    </row>
    <row r="3011" spans="1:6" x14ac:dyDescent="0.25">
      <c r="A3011" s="21" t="s">
        <v>869</v>
      </c>
      <c r="B3011" s="1">
        <v>45292</v>
      </c>
      <c r="C3011" t="s">
        <v>373</v>
      </c>
      <c r="D3011" s="18">
        <v>1.94</v>
      </c>
      <c r="E3011" s="31">
        <v>3.86</v>
      </c>
      <c r="F3011" s="15">
        <f>IFERROR(PRD[[#This Row],[VALOR]]/PRD[[#This Row],[KGS]],"")</f>
        <v>1.9896907216494846</v>
      </c>
    </row>
    <row r="3012" spans="1:6" x14ac:dyDescent="0.25">
      <c r="A3012" s="21" t="s">
        <v>870</v>
      </c>
      <c r="B3012" s="1">
        <v>45292</v>
      </c>
      <c r="C3012" t="s">
        <v>397</v>
      </c>
      <c r="D3012" s="18">
        <v>8.6999999999999993</v>
      </c>
      <c r="E3012" s="31">
        <v>28.95</v>
      </c>
      <c r="F3012" s="15">
        <f>IFERROR(PRD[[#This Row],[VALOR]]/PRD[[#This Row],[KGS]],"")</f>
        <v>3.327586206896552</v>
      </c>
    </row>
    <row r="3013" spans="1:6" x14ac:dyDescent="0.25">
      <c r="A3013" s="21">
        <v>8070026</v>
      </c>
      <c r="B3013" s="1">
        <v>45292</v>
      </c>
      <c r="C3013" t="s">
        <v>584</v>
      </c>
      <c r="D3013" s="18">
        <v>0</v>
      </c>
      <c r="E3013" s="31">
        <v>0</v>
      </c>
      <c r="F3013" s="15" t="str">
        <f>IFERROR(PRD[[#This Row],[VALOR]]/PRD[[#This Row],[KGS]],"")</f>
        <v/>
      </c>
    </row>
    <row r="3014" spans="1:6" x14ac:dyDescent="0.25">
      <c r="A3014" s="21">
        <v>8070027</v>
      </c>
      <c r="B3014" s="1">
        <v>45292</v>
      </c>
      <c r="C3014" t="s">
        <v>772</v>
      </c>
      <c r="D3014" s="18">
        <v>0</v>
      </c>
      <c r="E3014" s="31">
        <v>0</v>
      </c>
      <c r="F3014" s="15" t="str">
        <f>IFERROR(PRD[[#This Row],[VALOR]]/PRD[[#This Row],[KGS]],"")</f>
        <v/>
      </c>
    </row>
    <row r="3015" spans="1:6" x14ac:dyDescent="0.25">
      <c r="A3015" s="21">
        <v>8070028</v>
      </c>
      <c r="B3015" s="1">
        <v>45292</v>
      </c>
      <c r="C3015" t="s">
        <v>748</v>
      </c>
      <c r="D3015" s="18">
        <v>0</v>
      </c>
      <c r="E3015" s="31">
        <v>0</v>
      </c>
      <c r="F3015" s="15" t="str">
        <f>IFERROR(PRD[[#This Row],[VALOR]]/PRD[[#This Row],[KGS]],"")</f>
        <v/>
      </c>
    </row>
    <row r="3016" spans="1:6" x14ac:dyDescent="0.25">
      <c r="A3016" s="21" t="s">
        <v>490</v>
      </c>
      <c r="B3016" s="1">
        <v>45292</v>
      </c>
      <c r="C3016" t="s">
        <v>491</v>
      </c>
      <c r="D3016" s="18">
        <v>2.4</v>
      </c>
      <c r="E3016" s="31">
        <v>9.2899999999999991</v>
      </c>
      <c r="F3016" s="15">
        <f>IFERROR(PRD[[#This Row],[VALOR]]/PRD[[#This Row],[KGS]],"")</f>
        <v>3.8708333333333331</v>
      </c>
    </row>
    <row r="3017" spans="1:6" x14ac:dyDescent="0.25">
      <c r="A3017" s="21">
        <v>8070051</v>
      </c>
      <c r="B3017" s="1">
        <v>45292</v>
      </c>
      <c r="C3017" t="s">
        <v>750</v>
      </c>
      <c r="D3017" s="18">
        <v>0</v>
      </c>
      <c r="E3017" s="31">
        <v>0</v>
      </c>
      <c r="F3017" s="15" t="str">
        <f>IFERROR(PRD[[#This Row],[VALOR]]/PRD[[#This Row],[KGS]],"")</f>
        <v/>
      </c>
    </row>
    <row r="3018" spans="1:6" x14ac:dyDescent="0.25">
      <c r="A3018" s="21" t="s">
        <v>871</v>
      </c>
      <c r="B3018" s="1">
        <v>45292</v>
      </c>
      <c r="C3018" t="s">
        <v>751</v>
      </c>
      <c r="D3018" s="18">
        <v>0</v>
      </c>
      <c r="E3018" s="31">
        <v>-108.8</v>
      </c>
      <c r="F3018" s="15" t="str">
        <f>IFERROR(PRD[[#This Row],[VALOR]]/PRD[[#This Row],[KGS]],"")</f>
        <v/>
      </c>
    </row>
    <row r="3019" spans="1:6" x14ac:dyDescent="0.25">
      <c r="A3019" s="21" t="s">
        <v>872</v>
      </c>
      <c r="B3019" s="1">
        <v>45292</v>
      </c>
      <c r="C3019" t="s">
        <v>773</v>
      </c>
      <c r="D3019" s="18">
        <v>3.2</v>
      </c>
      <c r="E3019" s="31">
        <v>24.04</v>
      </c>
      <c r="F3019" s="15">
        <f>IFERROR(PRD[[#This Row],[VALOR]]/PRD[[#This Row],[KGS]],"")</f>
        <v>7.5124999999999993</v>
      </c>
    </row>
    <row r="3020" spans="1:6" x14ac:dyDescent="0.25">
      <c r="A3020" s="21" t="s">
        <v>873</v>
      </c>
      <c r="B3020" s="1">
        <v>45292</v>
      </c>
      <c r="C3020" t="s">
        <v>874</v>
      </c>
      <c r="D3020" s="18">
        <v>1258</v>
      </c>
      <c r="E3020" s="31">
        <v>2790.04</v>
      </c>
      <c r="F3020" s="15">
        <f>IFERROR(PRD[[#This Row],[VALOR]]/PRD[[#This Row],[KGS]],"")</f>
        <v>2.2178378378378376</v>
      </c>
    </row>
    <row r="3021" spans="1:6" x14ac:dyDescent="0.25">
      <c r="A3021" s="21" t="s">
        <v>875</v>
      </c>
      <c r="B3021" s="1">
        <v>45292</v>
      </c>
      <c r="C3021" t="s">
        <v>876</v>
      </c>
      <c r="D3021" s="18">
        <v>8</v>
      </c>
      <c r="E3021" s="31">
        <v>17.600000000000001</v>
      </c>
      <c r="F3021" s="15">
        <f>IFERROR(PRD[[#This Row],[VALOR]]/PRD[[#This Row],[KGS]],"")</f>
        <v>2.2000000000000002</v>
      </c>
    </row>
    <row r="3022" spans="1:6" x14ac:dyDescent="0.25">
      <c r="A3022" s="21" t="s">
        <v>877</v>
      </c>
      <c r="B3022" s="1">
        <v>45292</v>
      </c>
      <c r="C3022" t="s">
        <v>774</v>
      </c>
      <c r="D3022" s="18">
        <v>1008</v>
      </c>
      <c r="E3022" s="31">
        <v>1209.5999999999999</v>
      </c>
      <c r="F3022" s="15">
        <f>IFERROR(PRD[[#This Row],[VALOR]]/PRD[[#This Row],[KGS]],"")</f>
        <v>1.2</v>
      </c>
    </row>
    <row r="3023" spans="1:6" x14ac:dyDescent="0.25">
      <c r="A3023" s="21" t="s">
        <v>591</v>
      </c>
      <c r="B3023" s="1">
        <v>45292</v>
      </c>
      <c r="C3023" t="s">
        <v>376</v>
      </c>
      <c r="D3023" s="18">
        <v>49</v>
      </c>
      <c r="E3023" s="31">
        <v>148.26</v>
      </c>
      <c r="F3023" s="15">
        <f>IFERROR(PRD[[#This Row],[VALOR]]/PRD[[#This Row],[KGS]],"")</f>
        <v>3.0257142857142854</v>
      </c>
    </row>
    <row r="3024" spans="1:6" x14ac:dyDescent="0.25">
      <c r="A3024" s="21" t="s">
        <v>878</v>
      </c>
      <c r="B3024" s="1">
        <v>45292</v>
      </c>
      <c r="C3024" t="s">
        <v>879</v>
      </c>
      <c r="D3024" s="18">
        <v>1</v>
      </c>
      <c r="E3024" s="31">
        <v>6.13</v>
      </c>
      <c r="F3024" s="15">
        <f>IFERROR(PRD[[#This Row],[VALOR]]/PRD[[#This Row],[KGS]],"")</f>
        <v>6.13</v>
      </c>
    </row>
    <row r="3025" spans="1:6" x14ac:dyDescent="0.25">
      <c r="A3025" s="21" t="s">
        <v>503</v>
      </c>
      <c r="B3025" s="1">
        <v>45292</v>
      </c>
      <c r="C3025" t="s">
        <v>880</v>
      </c>
      <c r="D3025" s="18">
        <v>3.32</v>
      </c>
      <c r="E3025" s="31">
        <v>31.64</v>
      </c>
      <c r="F3025" s="15">
        <f>IFERROR(PRD[[#This Row],[VALOR]]/PRD[[#This Row],[KGS]],"")</f>
        <v>9.5301204819277121</v>
      </c>
    </row>
    <row r="3026" spans="1:6" x14ac:dyDescent="0.25">
      <c r="A3026" s="21" t="s">
        <v>504</v>
      </c>
      <c r="B3026" s="1">
        <v>45292</v>
      </c>
      <c r="C3026" t="s">
        <v>409</v>
      </c>
      <c r="D3026" s="18">
        <v>10.39</v>
      </c>
      <c r="E3026" s="31">
        <v>117.91</v>
      </c>
      <c r="F3026" s="15">
        <f>IFERROR(PRD[[#This Row],[VALOR]]/PRD[[#This Row],[KGS]],"")</f>
        <v>11.348411934552454</v>
      </c>
    </row>
    <row r="3027" spans="1:6" x14ac:dyDescent="0.25">
      <c r="A3027" s="21" t="s">
        <v>881</v>
      </c>
      <c r="B3027" s="1">
        <v>45292</v>
      </c>
      <c r="C3027" t="s">
        <v>756</v>
      </c>
      <c r="D3027" s="18">
        <v>20</v>
      </c>
      <c r="E3027" s="31">
        <v>84</v>
      </c>
      <c r="F3027" s="15">
        <f>IFERROR(PRD[[#This Row],[VALOR]]/PRD[[#This Row],[KGS]],"")</f>
        <v>4.2</v>
      </c>
    </row>
    <row r="3028" spans="1:6" x14ac:dyDescent="0.25">
      <c r="A3028" s="21" t="s">
        <v>882</v>
      </c>
      <c r="B3028" s="1">
        <v>45292</v>
      </c>
      <c r="C3028" t="s">
        <v>783</v>
      </c>
      <c r="D3028" s="18">
        <v>48.2</v>
      </c>
      <c r="E3028" s="31">
        <v>166.06</v>
      </c>
      <c r="F3028" s="15">
        <f>IFERROR(PRD[[#This Row],[VALOR]]/PRD[[#This Row],[KGS]],"")</f>
        <v>3.4452282157676346</v>
      </c>
    </row>
    <row r="3029" spans="1:6" x14ac:dyDescent="0.25">
      <c r="A3029" s="21">
        <v>8130001</v>
      </c>
      <c r="B3029" s="1">
        <v>45292</v>
      </c>
      <c r="C3029" t="s">
        <v>380</v>
      </c>
      <c r="D3029" s="18">
        <v>0</v>
      </c>
      <c r="E3029" s="31">
        <v>0</v>
      </c>
      <c r="F3029" s="15" t="str">
        <f>IFERROR(PRD[[#This Row],[VALOR]]/PRD[[#This Row],[KGS]],"")</f>
        <v/>
      </c>
    </row>
    <row r="3030" spans="1:6" x14ac:dyDescent="0.25">
      <c r="A3030" s="21" t="s">
        <v>883</v>
      </c>
      <c r="B3030" s="1">
        <v>45292</v>
      </c>
      <c r="C3030" t="s">
        <v>737</v>
      </c>
      <c r="D3030" s="18">
        <v>496</v>
      </c>
      <c r="E3030" s="31">
        <v>788.16</v>
      </c>
      <c r="F3030" s="15">
        <f>IFERROR(PRD[[#This Row],[VALOR]]/PRD[[#This Row],[KGS]],"")</f>
        <v>1.589032258064516</v>
      </c>
    </row>
    <row r="3031" spans="1:6" x14ac:dyDescent="0.25">
      <c r="A3031" s="21">
        <v>8130009</v>
      </c>
      <c r="B3031" s="1">
        <v>45292</v>
      </c>
      <c r="C3031" t="s">
        <v>738</v>
      </c>
      <c r="D3031" s="18">
        <v>0</v>
      </c>
      <c r="E3031" s="31">
        <v>0</v>
      </c>
      <c r="F3031" s="15" t="str">
        <f>IFERROR(PRD[[#This Row],[VALOR]]/PRD[[#This Row],[KGS]],"")</f>
        <v/>
      </c>
    </row>
    <row r="3032" spans="1:6" x14ac:dyDescent="0.25">
      <c r="A3032" s="21" t="s">
        <v>618</v>
      </c>
      <c r="B3032" s="1">
        <v>45292</v>
      </c>
      <c r="C3032" t="s">
        <v>619</v>
      </c>
      <c r="D3032" s="18">
        <v>30</v>
      </c>
      <c r="E3032" s="31">
        <v>44</v>
      </c>
      <c r="F3032" s="15">
        <f>IFERROR(PRD[[#This Row],[VALOR]]/PRD[[#This Row],[KGS]],"")</f>
        <v>1.4666666666666666</v>
      </c>
    </row>
    <row r="3033" spans="1:6" x14ac:dyDescent="0.25">
      <c r="A3033" s="21">
        <v>8130013</v>
      </c>
      <c r="B3033" s="1">
        <v>45292</v>
      </c>
      <c r="C3033" t="s">
        <v>416</v>
      </c>
      <c r="D3033" s="18">
        <v>0</v>
      </c>
      <c r="E3033" s="31">
        <v>0</v>
      </c>
      <c r="F3033" s="15" t="str">
        <f>IFERROR(PRD[[#This Row],[VALOR]]/PRD[[#This Row],[KGS]],"")</f>
        <v/>
      </c>
    </row>
    <row r="3034" spans="1:6" x14ac:dyDescent="0.25">
      <c r="A3034" s="21" t="s">
        <v>521</v>
      </c>
      <c r="B3034" s="1">
        <v>45292</v>
      </c>
      <c r="C3034" t="s">
        <v>884</v>
      </c>
      <c r="D3034" s="18">
        <v>80</v>
      </c>
      <c r="E3034" s="31">
        <v>304.8</v>
      </c>
      <c r="F3034" s="15">
        <f>IFERROR(PRD[[#This Row],[VALOR]]/PRD[[#This Row],[KGS]],"")</f>
        <v>3.81</v>
      </c>
    </row>
    <row r="3035" spans="1:6" x14ac:dyDescent="0.25">
      <c r="A3035" s="21" t="s">
        <v>621</v>
      </c>
      <c r="B3035" s="1">
        <v>45292</v>
      </c>
      <c r="C3035" t="s">
        <v>622</v>
      </c>
      <c r="D3035" s="18">
        <v>48.6</v>
      </c>
      <c r="E3035" s="31">
        <v>172.81</v>
      </c>
      <c r="F3035" s="15">
        <f>IFERROR(PRD[[#This Row],[VALOR]]/PRD[[#This Row],[KGS]],"")</f>
        <v>3.5557613168724278</v>
      </c>
    </row>
    <row r="3036" spans="1:6" x14ac:dyDescent="0.25">
      <c r="A3036" s="21">
        <v>8130016</v>
      </c>
      <c r="B3036" s="1">
        <v>45292</v>
      </c>
      <c r="C3036" t="s">
        <v>776</v>
      </c>
      <c r="D3036" s="18">
        <v>0</v>
      </c>
      <c r="E3036" s="31">
        <v>0</v>
      </c>
      <c r="F3036" s="15" t="str">
        <f>IFERROR(PRD[[#This Row],[VALOR]]/PRD[[#This Row],[KGS]],"")</f>
        <v/>
      </c>
    </row>
    <row r="3037" spans="1:6" x14ac:dyDescent="0.25">
      <c r="A3037" s="21">
        <v>8130017</v>
      </c>
      <c r="B3037" s="1">
        <v>45292</v>
      </c>
      <c r="C3037" t="s">
        <v>795</v>
      </c>
      <c r="D3037" s="18">
        <v>0</v>
      </c>
      <c r="E3037" s="31">
        <v>0</v>
      </c>
      <c r="F3037" s="15" t="str">
        <f>IFERROR(PRD[[#This Row],[VALOR]]/PRD[[#This Row],[KGS]],"")</f>
        <v/>
      </c>
    </row>
    <row r="3038" spans="1:6" x14ac:dyDescent="0.25">
      <c r="A3038" s="21" t="s">
        <v>523</v>
      </c>
      <c r="B3038" s="1">
        <v>45292</v>
      </c>
      <c r="C3038" t="s">
        <v>885</v>
      </c>
      <c r="D3038" s="18">
        <v>7.14</v>
      </c>
      <c r="E3038" s="31">
        <v>16.559999999999999</v>
      </c>
      <c r="F3038" s="15">
        <f>IFERROR(PRD[[#This Row],[VALOR]]/PRD[[#This Row],[KGS]],"")</f>
        <v>2.3193277310924367</v>
      </c>
    </row>
    <row r="3039" spans="1:6" x14ac:dyDescent="0.25">
      <c r="A3039" s="21" t="s">
        <v>886</v>
      </c>
      <c r="B3039" s="1">
        <v>45292</v>
      </c>
      <c r="C3039" t="s">
        <v>887</v>
      </c>
      <c r="D3039" s="18">
        <v>820</v>
      </c>
      <c r="E3039" s="31">
        <v>447.8</v>
      </c>
      <c r="F3039" s="15">
        <f>IFERROR(PRD[[#This Row],[VALOR]]/PRD[[#This Row],[KGS]],"")</f>
        <v>0.5460975609756098</v>
      </c>
    </row>
    <row r="3040" spans="1:6" x14ac:dyDescent="0.25">
      <c r="A3040" s="21" t="s">
        <v>888</v>
      </c>
      <c r="B3040" s="1">
        <v>45292</v>
      </c>
      <c r="C3040" t="s">
        <v>889</v>
      </c>
      <c r="D3040" s="18">
        <v>120</v>
      </c>
      <c r="E3040" s="31">
        <v>120</v>
      </c>
      <c r="F3040" s="15">
        <f>IFERROR(PRD[[#This Row],[VALOR]]/PRD[[#This Row],[KGS]],"")</f>
        <v>1</v>
      </c>
    </row>
    <row r="3041" spans="1:6" x14ac:dyDescent="0.25">
      <c r="A3041" s="21">
        <v>8140015</v>
      </c>
      <c r="B3041" s="1">
        <v>45292</v>
      </c>
      <c r="C3041" t="s">
        <v>676</v>
      </c>
      <c r="D3041" s="18">
        <v>0</v>
      </c>
      <c r="E3041" s="31">
        <v>0</v>
      </c>
      <c r="F3041" s="15" t="str">
        <f>IFERROR(PRD[[#This Row],[VALOR]]/PRD[[#This Row],[KGS]],"")</f>
        <v/>
      </c>
    </row>
    <row r="3042" spans="1:6" x14ac:dyDescent="0.25">
      <c r="A3042" s="21" t="s">
        <v>890</v>
      </c>
      <c r="B3042" s="1">
        <v>45292</v>
      </c>
      <c r="C3042" t="s">
        <v>891</v>
      </c>
      <c r="D3042" s="18">
        <v>5</v>
      </c>
      <c r="E3042" s="31">
        <v>20.3</v>
      </c>
      <c r="F3042" s="15">
        <f>IFERROR(PRD[[#This Row],[VALOR]]/PRD[[#This Row],[KGS]],"")</f>
        <v>4.0600000000000005</v>
      </c>
    </row>
    <row r="3043" spans="1:6" x14ac:dyDescent="0.25">
      <c r="A3043" s="21">
        <v>8150001</v>
      </c>
      <c r="B3043" s="1">
        <v>45292</v>
      </c>
      <c r="C3043" t="s">
        <v>382</v>
      </c>
      <c r="D3043" s="18">
        <v>0</v>
      </c>
      <c r="E3043" s="31">
        <v>0</v>
      </c>
      <c r="F3043" s="15" t="str">
        <f>IFERROR(PRD[[#This Row],[VALOR]]/PRD[[#This Row],[KGS]],"")</f>
        <v/>
      </c>
    </row>
    <row r="3044" spans="1:6" x14ac:dyDescent="0.25">
      <c r="A3044" s="21" t="s">
        <v>524</v>
      </c>
      <c r="B3044" s="1">
        <v>45292</v>
      </c>
      <c r="C3044" t="s">
        <v>383</v>
      </c>
      <c r="D3044" s="18">
        <v>1</v>
      </c>
      <c r="E3044" s="31">
        <v>8.1999999999999993</v>
      </c>
      <c r="F3044" s="15">
        <f>IFERROR(PRD[[#This Row],[VALOR]]/PRD[[#This Row],[KGS]],"")</f>
        <v>8.1999999999999993</v>
      </c>
    </row>
    <row r="3045" spans="1:6" x14ac:dyDescent="0.25">
      <c r="A3045" s="21" t="s">
        <v>526</v>
      </c>
      <c r="B3045" s="1">
        <v>45292</v>
      </c>
      <c r="C3045" t="s">
        <v>384</v>
      </c>
      <c r="D3045" s="18">
        <v>600</v>
      </c>
      <c r="E3045" s="31">
        <v>4550</v>
      </c>
      <c r="F3045" s="15">
        <f>IFERROR(PRD[[#This Row],[VALOR]]/PRD[[#This Row],[KGS]],"")</f>
        <v>7.583333333333333</v>
      </c>
    </row>
    <row r="3046" spans="1:6" x14ac:dyDescent="0.25">
      <c r="A3046" s="21">
        <v>8150004</v>
      </c>
      <c r="B3046" s="1">
        <v>45292</v>
      </c>
      <c r="C3046" t="s">
        <v>625</v>
      </c>
      <c r="D3046" s="18">
        <v>0</v>
      </c>
      <c r="E3046" s="31">
        <v>0</v>
      </c>
      <c r="F3046" s="15" t="str">
        <f>IFERROR(PRD[[#This Row],[VALOR]]/PRD[[#This Row],[KGS]],"")</f>
        <v/>
      </c>
    </row>
    <row r="3047" spans="1:6" x14ac:dyDescent="0.25">
      <c r="A3047" s="21" t="s">
        <v>529</v>
      </c>
      <c r="B3047" s="1">
        <v>45292</v>
      </c>
      <c r="C3047" t="s">
        <v>386</v>
      </c>
      <c r="D3047" s="18">
        <v>50</v>
      </c>
      <c r="E3047" s="31">
        <v>325</v>
      </c>
      <c r="F3047" s="15">
        <f>IFERROR(PRD[[#This Row],[VALOR]]/PRD[[#This Row],[KGS]],"")</f>
        <v>6.5</v>
      </c>
    </row>
    <row r="3048" spans="1:6" x14ac:dyDescent="0.25">
      <c r="A3048" s="21">
        <v>8150006</v>
      </c>
      <c r="B3048" s="1">
        <v>45292</v>
      </c>
      <c r="C3048" t="s">
        <v>387</v>
      </c>
      <c r="D3048" s="18">
        <v>0</v>
      </c>
      <c r="E3048" s="31">
        <v>0</v>
      </c>
      <c r="F3048" s="15" t="str">
        <f>IFERROR(PRD[[#This Row],[VALOR]]/PRD[[#This Row],[KGS]],"")</f>
        <v/>
      </c>
    </row>
    <row r="3049" spans="1:6" x14ac:dyDescent="0.25">
      <c r="A3049" s="21">
        <v>8150009</v>
      </c>
      <c r="B3049" s="1">
        <v>45292</v>
      </c>
      <c r="C3049" t="s">
        <v>678</v>
      </c>
      <c r="D3049" s="18">
        <v>0</v>
      </c>
      <c r="E3049" s="31">
        <v>0</v>
      </c>
      <c r="F3049" s="15" t="str">
        <f>IFERROR(PRD[[#This Row],[VALOR]]/PRD[[#This Row],[KGS]],"")</f>
        <v/>
      </c>
    </row>
    <row r="3050" spans="1:6" x14ac:dyDescent="0.25">
      <c r="A3050" s="21" t="s">
        <v>531</v>
      </c>
      <c r="B3050" s="1">
        <v>45292</v>
      </c>
      <c r="C3050" t="s">
        <v>532</v>
      </c>
      <c r="D3050" s="18">
        <v>0.65</v>
      </c>
      <c r="E3050" s="31">
        <v>3.57</v>
      </c>
      <c r="F3050" s="15">
        <f>IFERROR(PRD[[#This Row],[VALOR]]/PRD[[#This Row],[KGS]],"")</f>
        <v>5.4923076923076914</v>
      </c>
    </row>
    <row r="3051" spans="1:6" x14ac:dyDescent="0.25">
      <c r="A3051" s="21" t="s">
        <v>537</v>
      </c>
      <c r="B3051" s="1">
        <v>45292</v>
      </c>
      <c r="C3051" t="s">
        <v>538</v>
      </c>
      <c r="D3051" s="18">
        <v>2</v>
      </c>
      <c r="E3051" s="31">
        <v>8.1</v>
      </c>
      <c r="F3051" s="15">
        <f>IFERROR(PRD[[#This Row],[VALOR]]/PRD[[#This Row],[KGS]],"")</f>
        <v>4.05</v>
      </c>
    </row>
    <row r="3052" spans="1:6" x14ac:dyDescent="0.25">
      <c r="A3052" s="21" t="s">
        <v>892</v>
      </c>
      <c r="B3052" s="1">
        <v>45292</v>
      </c>
      <c r="C3052" t="s">
        <v>893</v>
      </c>
      <c r="D3052" s="18">
        <v>12</v>
      </c>
      <c r="E3052" s="31">
        <v>71.099999999999994</v>
      </c>
      <c r="F3052" s="15">
        <f>IFERROR(PRD[[#This Row],[VALOR]]/PRD[[#This Row],[KGS]],"")</f>
        <v>5.9249999999999998</v>
      </c>
    </row>
    <row r="3053" spans="1:6" x14ac:dyDescent="0.25">
      <c r="A3053" s="21" t="s">
        <v>894</v>
      </c>
      <c r="B3053" s="1">
        <v>45292</v>
      </c>
      <c r="C3053" t="s">
        <v>706</v>
      </c>
      <c r="D3053" s="18">
        <v>0</v>
      </c>
      <c r="E3053" s="31">
        <v>0</v>
      </c>
      <c r="F3053" s="15" t="str">
        <f>IFERROR(PRD[[#This Row],[VALOR]]/PRD[[#This Row],[KGS]],"")</f>
        <v/>
      </c>
    </row>
    <row r="3054" spans="1:6" x14ac:dyDescent="0.25">
      <c r="A3054" s="21">
        <v>1010200</v>
      </c>
      <c r="B3054" s="1">
        <v>45323</v>
      </c>
      <c r="C3054" t="s">
        <v>331</v>
      </c>
      <c r="D3054" s="18">
        <v>834.1</v>
      </c>
      <c r="E3054" s="32">
        <v>250.23</v>
      </c>
      <c r="F3054" s="15">
        <f>IFERROR(PRD[[#This Row],[VALOR]]/PRD[[#This Row],[KGS]],"")</f>
        <v>0.3</v>
      </c>
    </row>
    <row r="3055" spans="1:6" x14ac:dyDescent="0.25">
      <c r="A3055" s="21">
        <v>1010300</v>
      </c>
      <c r="B3055" s="1">
        <v>45323</v>
      </c>
      <c r="C3055" t="s">
        <v>333</v>
      </c>
      <c r="D3055" s="18">
        <v>108.1</v>
      </c>
      <c r="E3055" s="32">
        <v>32.43</v>
      </c>
      <c r="F3055" s="15">
        <f>IFERROR(PRD[[#This Row],[VALOR]]/PRD[[#This Row],[KGS]],"")</f>
        <v>0.3</v>
      </c>
    </row>
    <row r="3056" spans="1:6" x14ac:dyDescent="0.25">
      <c r="A3056" s="21">
        <v>1010400</v>
      </c>
      <c r="B3056" s="1">
        <v>45323</v>
      </c>
      <c r="C3056" t="s">
        <v>540</v>
      </c>
      <c r="D3056" s="18">
        <v>0.8</v>
      </c>
      <c r="E3056" s="32">
        <v>1.6</v>
      </c>
      <c r="F3056" s="15">
        <f>IFERROR(PRD[[#This Row],[VALOR]]/PRD[[#This Row],[KGS]],"")</f>
        <v>2</v>
      </c>
    </row>
    <row r="3057" spans="1:6" x14ac:dyDescent="0.25">
      <c r="A3057" s="21">
        <v>1010500</v>
      </c>
      <c r="B3057" s="1">
        <v>45323</v>
      </c>
      <c r="C3057" t="s">
        <v>6</v>
      </c>
      <c r="D3057" s="18">
        <v>1580.9</v>
      </c>
      <c r="E3057" s="32">
        <v>1263.99</v>
      </c>
      <c r="F3057" s="15">
        <f>IFERROR(PRD[[#This Row],[VALOR]]/PRD[[#This Row],[KGS]],"")</f>
        <v>0.79953823771269528</v>
      </c>
    </row>
    <row r="3058" spans="1:6" x14ac:dyDescent="0.25">
      <c r="A3058" s="21">
        <v>1010501</v>
      </c>
      <c r="B3058" s="1">
        <v>45323</v>
      </c>
      <c r="C3058" t="s">
        <v>899</v>
      </c>
      <c r="D3058" s="18">
        <v>104</v>
      </c>
      <c r="E3058" s="32">
        <v>52</v>
      </c>
      <c r="F3058" s="15">
        <f>IFERROR(PRD[[#This Row],[VALOR]]/PRD[[#This Row],[KGS]],"")</f>
        <v>0.5</v>
      </c>
    </row>
    <row r="3059" spans="1:6" x14ac:dyDescent="0.25">
      <c r="A3059" s="21">
        <v>1010600</v>
      </c>
      <c r="B3059" s="1">
        <v>45323</v>
      </c>
      <c r="C3059" t="s">
        <v>334</v>
      </c>
      <c r="D3059" s="18">
        <v>3769</v>
      </c>
      <c r="E3059" s="32">
        <v>3645.98</v>
      </c>
      <c r="F3059" s="15">
        <f>IFERROR(PRD[[#This Row],[VALOR]]/PRD[[#This Row],[KGS]],"")</f>
        <v>0.96736004245157869</v>
      </c>
    </row>
    <row r="3060" spans="1:6" x14ac:dyDescent="0.25">
      <c r="A3060" s="21">
        <v>1010700</v>
      </c>
      <c r="B3060" s="1">
        <v>45323</v>
      </c>
      <c r="C3060" t="s">
        <v>335</v>
      </c>
      <c r="D3060" s="18">
        <v>2795.5</v>
      </c>
      <c r="E3060" s="32">
        <v>5956.55</v>
      </c>
      <c r="F3060" s="15">
        <f>IFERROR(PRD[[#This Row],[VALOR]]/PRD[[#This Row],[KGS]],"")</f>
        <v>2.1307637274190663</v>
      </c>
    </row>
    <row r="3061" spans="1:6" x14ac:dyDescent="0.25">
      <c r="A3061" s="21">
        <v>1010701</v>
      </c>
      <c r="B3061" s="1">
        <v>45323</v>
      </c>
      <c r="C3061" t="s">
        <v>12</v>
      </c>
      <c r="D3061" s="18">
        <v>179.65</v>
      </c>
      <c r="E3061" s="32">
        <v>1424.6</v>
      </c>
      <c r="F3061" s="15">
        <f>IFERROR(PRD[[#This Row],[VALOR]]/PRD[[#This Row],[KGS]],"")</f>
        <v>7.929863623712774</v>
      </c>
    </row>
    <row r="3062" spans="1:6" x14ac:dyDescent="0.25">
      <c r="A3062" s="21">
        <v>1010732</v>
      </c>
      <c r="B3062" s="1">
        <v>45323</v>
      </c>
      <c r="C3062" t="s">
        <v>14</v>
      </c>
      <c r="D3062" s="18">
        <v>25.28</v>
      </c>
      <c r="E3062" s="32">
        <v>211.33</v>
      </c>
      <c r="F3062" s="15">
        <f>IFERROR(PRD[[#This Row],[VALOR]]/PRD[[#This Row],[KGS]],"")</f>
        <v>8.3595727848101262</v>
      </c>
    </row>
    <row r="3063" spans="1:6" x14ac:dyDescent="0.25">
      <c r="A3063" s="21">
        <v>1010900</v>
      </c>
      <c r="B3063" s="1">
        <v>45323</v>
      </c>
      <c r="C3063" t="s">
        <v>336</v>
      </c>
      <c r="D3063" s="18">
        <v>36.6</v>
      </c>
      <c r="E3063" s="32">
        <v>51.94</v>
      </c>
      <c r="F3063" s="15">
        <f>IFERROR(PRD[[#This Row],[VALOR]]/PRD[[#This Row],[KGS]],"")</f>
        <v>1.4191256830601091</v>
      </c>
    </row>
    <row r="3064" spans="1:6" x14ac:dyDescent="0.25">
      <c r="A3064" s="21">
        <v>1010901</v>
      </c>
      <c r="B3064" s="1">
        <v>45323</v>
      </c>
      <c r="C3064" t="s">
        <v>337</v>
      </c>
      <c r="D3064" s="18">
        <v>6.3</v>
      </c>
      <c r="E3064" s="32">
        <v>6.93</v>
      </c>
      <c r="F3064" s="15">
        <f>IFERROR(PRD[[#This Row],[VALOR]]/PRD[[#This Row],[KGS]],"")</f>
        <v>1.1000000000000001</v>
      </c>
    </row>
    <row r="3065" spans="1:6" x14ac:dyDescent="0.25">
      <c r="A3065" s="21">
        <v>1010902</v>
      </c>
      <c r="B3065" s="1">
        <v>45323</v>
      </c>
      <c r="C3065" t="s">
        <v>431</v>
      </c>
      <c r="D3065" s="18">
        <v>1057.8</v>
      </c>
      <c r="E3065" s="32">
        <v>1400.59</v>
      </c>
      <c r="F3065" s="15">
        <f>IFERROR(PRD[[#This Row],[VALOR]]/PRD[[#This Row],[KGS]],"")</f>
        <v>1.3240593685006616</v>
      </c>
    </row>
    <row r="3066" spans="1:6" x14ac:dyDescent="0.25">
      <c r="A3066" s="21">
        <v>1010903</v>
      </c>
      <c r="B3066" s="1">
        <v>45323</v>
      </c>
      <c r="C3066" t="s">
        <v>629</v>
      </c>
      <c r="D3066" s="18">
        <v>663.1</v>
      </c>
      <c r="E3066" s="32">
        <v>646.51</v>
      </c>
      <c r="F3066" s="15">
        <f>IFERROR(PRD[[#This Row],[VALOR]]/PRD[[#This Row],[KGS]],"")</f>
        <v>0.97498114914794143</v>
      </c>
    </row>
    <row r="3067" spans="1:6" x14ac:dyDescent="0.25">
      <c r="A3067" s="21">
        <v>1011000</v>
      </c>
      <c r="B3067" s="1">
        <v>45323</v>
      </c>
      <c r="C3067" t="s">
        <v>20</v>
      </c>
      <c r="D3067" s="18">
        <v>1302.72</v>
      </c>
      <c r="E3067" s="32">
        <v>920.41</v>
      </c>
      <c r="F3067" s="15">
        <f>IFERROR(PRD[[#This Row],[VALOR]]/PRD[[#This Row],[KGS]],"")</f>
        <v>0.70652941537705716</v>
      </c>
    </row>
    <row r="3068" spans="1:6" x14ac:dyDescent="0.25">
      <c r="A3068" s="21">
        <v>1011100</v>
      </c>
      <c r="B3068" s="1">
        <v>45323</v>
      </c>
      <c r="C3068" t="s">
        <v>293</v>
      </c>
      <c r="D3068" s="18">
        <v>64.099999999999994</v>
      </c>
      <c r="E3068" s="32">
        <v>33.270000000000003</v>
      </c>
      <c r="F3068" s="15">
        <f>IFERROR(PRD[[#This Row],[VALOR]]/PRD[[#This Row],[KGS]],"")</f>
        <v>0.51903276131045251</v>
      </c>
    </row>
    <row r="3069" spans="1:6" x14ac:dyDescent="0.25">
      <c r="A3069" s="21">
        <v>1011200</v>
      </c>
      <c r="B3069" s="1">
        <v>45323</v>
      </c>
      <c r="C3069" t="s">
        <v>24</v>
      </c>
      <c r="D3069" s="18">
        <v>101.1</v>
      </c>
      <c r="E3069" s="32">
        <v>142.12</v>
      </c>
      <c r="F3069" s="15">
        <f>IFERROR(PRD[[#This Row],[VALOR]]/PRD[[#This Row],[KGS]],"")</f>
        <v>1.4057368941641939</v>
      </c>
    </row>
    <row r="3070" spans="1:6" x14ac:dyDescent="0.25">
      <c r="A3070" s="21">
        <v>1011201</v>
      </c>
      <c r="B3070" s="1">
        <v>45323</v>
      </c>
      <c r="C3070" t="s">
        <v>338</v>
      </c>
      <c r="D3070" s="18">
        <v>106</v>
      </c>
      <c r="E3070" s="32">
        <v>286.2</v>
      </c>
      <c r="F3070" s="15">
        <f>IFERROR(PRD[[#This Row],[VALOR]]/PRD[[#This Row],[KGS]],"")</f>
        <v>2.6999999999999997</v>
      </c>
    </row>
    <row r="3071" spans="1:6" x14ac:dyDescent="0.25">
      <c r="A3071" s="21">
        <v>1011202</v>
      </c>
      <c r="B3071" s="1">
        <v>45323</v>
      </c>
      <c r="C3071" t="s">
        <v>340</v>
      </c>
      <c r="D3071" s="18">
        <v>395</v>
      </c>
      <c r="E3071" s="32">
        <v>79</v>
      </c>
      <c r="F3071" s="15">
        <f>IFERROR(PRD[[#This Row],[VALOR]]/PRD[[#This Row],[KGS]],"")</f>
        <v>0.2</v>
      </c>
    </row>
    <row r="3072" spans="1:6" x14ac:dyDescent="0.25">
      <c r="A3072" s="21">
        <v>1011203</v>
      </c>
      <c r="B3072" s="1">
        <v>45323</v>
      </c>
      <c r="C3072" t="s">
        <v>342</v>
      </c>
      <c r="D3072" s="18">
        <v>94.2</v>
      </c>
      <c r="E3072" s="32">
        <v>56.52</v>
      </c>
      <c r="F3072" s="15">
        <f>IFERROR(PRD[[#This Row],[VALOR]]/PRD[[#This Row],[KGS]],"")</f>
        <v>0.6</v>
      </c>
    </row>
    <row r="3073" spans="1:6" x14ac:dyDescent="0.25">
      <c r="A3073" s="21">
        <v>1011204</v>
      </c>
      <c r="B3073" s="1">
        <v>45323</v>
      </c>
      <c r="C3073" t="s">
        <v>344</v>
      </c>
      <c r="D3073" s="18">
        <v>142.9</v>
      </c>
      <c r="E3073" s="32">
        <v>242.93</v>
      </c>
      <c r="F3073" s="15">
        <f>IFERROR(PRD[[#This Row],[VALOR]]/PRD[[#This Row],[KGS]],"")</f>
        <v>1.7</v>
      </c>
    </row>
    <row r="3074" spans="1:6" x14ac:dyDescent="0.25">
      <c r="A3074" s="21">
        <v>1011211</v>
      </c>
      <c r="B3074" s="1">
        <v>45323</v>
      </c>
      <c r="C3074" t="s">
        <v>685</v>
      </c>
      <c r="D3074" s="18">
        <v>169.7</v>
      </c>
      <c r="E3074" s="32">
        <v>59.4</v>
      </c>
      <c r="F3074" s="15">
        <f>IFERROR(PRD[[#This Row],[VALOR]]/PRD[[#This Row],[KGS]],"")</f>
        <v>0.35002946375957572</v>
      </c>
    </row>
    <row r="3075" spans="1:6" x14ac:dyDescent="0.25">
      <c r="A3075" s="21">
        <v>1011300</v>
      </c>
      <c r="B3075" s="1">
        <v>45323</v>
      </c>
      <c r="C3075" t="s">
        <v>295</v>
      </c>
      <c r="D3075" s="18">
        <v>8884.7000000000007</v>
      </c>
      <c r="E3075" s="32">
        <v>2504.7199999999998</v>
      </c>
      <c r="F3075" s="15">
        <f>IFERROR(PRD[[#This Row],[VALOR]]/PRD[[#This Row],[KGS]],"")</f>
        <v>0.28191385190270912</v>
      </c>
    </row>
    <row r="3076" spans="1:6" x14ac:dyDescent="0.25">
      <c r="A3076" s="21">
        <v>1011400</v>
      </c>
      <c r="B3076" s="1">
        <v>45323</v>
      </c>
      <c r="C3076" t="s">
        <v>25</v>
      </c>
      <c r="D3076" s="18">
        <v>1</v>
      </c>
      <c r="E3076" s="32">
        <v>2.5</v>
      </c>
      <c r="F3076" s="15">
        <f>IFERROR(PRD[[#This Row],[VALOR]]/PRD[[#This Row],[KGS]],"")</f>
        <v>2.5</v>
      </c>
    </row>
    <row r="3077" spans="1:6" x14ac:dyDescent="0.25">
      <c r="A3077" s="21">
        <v>1011500</v>
      </c>
      <c r="B3077" s="1">
        <v>45323</v>
      </c>
      <c r="C3077" t="s">
        <v>27</v>
      </c>
      <c r="D3077" s="18">
        <v>1455.01</v>
      </c>
      <c r="E3077" s="32">
        <v>1116.6300000000001</v>
      </c>
      <c r="F3077" s="15">
        <f>IFERROR(PRD[[#This Row],[VALOR]]/PRD[[#This Row],[KGS]],"")</f>
        <v>0.76743802448093146</v>
      </c>
    </row>
    <row r="3078" spans="1:6" x14ac:dyDescent="0.25">
      <c r="A3078" s="21">
        <v>1011604</v>
      </c>
      <c r="B3078" s="1">
        <v>45323</v>
      </c>
      <c r="C3078" t="s">
        <v>29</v>
      </c>
      <c r="D3078" s="18">
        <v>24448</v>
      </c>
      <c r="E3078" s="32">
        <v>1955.84</v>
      </c>
      <c r="F3078" s="15">
        <f>IFERROR(PRD[[#This Row],[VALOR]]/PRD[[#This Row],[KGS]],"")</f>
        <v>0.08</v>
      </c>
    </row>
    <row r="3079" spans="1:6" x14ac:dyDescent="0.25">
      <c r="A3079" s="21">
        <v>1011700</v>
      </c>
      <c r="B3079" s="1">
        <v>45323</v>
      </c>
      <c r="C3079" t="s">
        <v>31</v>
      </c>
      <c r="D3079" s="18">
        <v>196.8</v>
      </c>
      <c r="E3079" s="32">
        <v>330.74</v>
      </c>
      <c r="F3079" s="15">
        <f>IFERROR(PRD[[#This Row],[VALOR]]/PRD[[#This Row],[KGS]],"")</f>
        <v>1.6805894308943088</v>
      </c>
    </row>
    <row r="3080" spans="1:6" x14ac:dyDescent="0.25">
      <c r="A3080" s="21">
        <v>1011800</v>
      </c>
      <c r="B3080" s="1">
        <v>45323</v>
      </c>
      <c r="C3080" t="s">
        <v>33</v>
      </c>
      <c r="D3080" s="18">
        <v>5135.6099999999997</v>
      </c>
      <c r="E3080" s="32">
        <v>8808.9500000000007</v>
      </c>
      <c r="F3080" s="15">
        <f>IFERROR(PRD[[#This Row],[VALOR]]/PRD[[#This Row],[KGS]],"")</f>
        <v>1.7152684880666564</v>
      </c>
    </row>
    <row r="3081" spans="1:6" x14ac:dyDescent="0.25">
      <c r="A3081" s="21">
        <v>1011801</v>
      </c>
      <c r="B3081" s="1">
        <v>45323</v>
      </c>
      <c r="C3081" t="s">
        <v>35</v>
      </c>
      <c r="D3081" s="18">
        <v>142.38</v>
      </c>
      <c r="E3081" s="32">
        <v>234.94</v>
      </c>
      <c r="F3081" s="15">
        <f>IFERROR(PRD[[#This Row],[VALOR]]/PRD[[#This Row],[KGS]],"")</f>
        <v>1.6500913049585617</v>
      </c>
    </row>
    <row r="3082" spans="1:6" x14ac:dyDescent="0.25">
      <c r="A3082" s="21">
        <v>1011901</v>
      </c>
      <c r="B3082" s="1">
        <v>45323</v>
      </c>
      <c r="C3082" t="s">
        <v>37</v>
      </c>
      <c r="D3082" s="18">
        <v>282.60000000000002</v>
      </c>
      <c r="E3082" s="32">
        <v>230.5</v>
      </c>
      <c r="F3082" s="15">
        <f>IFERROR(PRD[[#This Row],[VALOR]]/PRD[[#This Row],[KGS]],"")</f>
        <v>0.81564048124557675</v>
      </c>
    </row>
    <row r="3083" spans="1:6" x14ac:dyDescent="0.25">
      <c r="A3083" s="21">
        <v>1012000</v>
      </c>
      <c r="B3083" s="1">
        <v>45323</v>
      </c>
      <c r="C3083" t="s">
        <v>761</v>
      </c>
      <c r="D3083" s="18">
        <v>2.4</v>
      </c>
      <c r="E3083" s="32">
        <v>4.2</v>
      </c>
      <c r="F3083" s="15">
        <f>IFERROR(PRD[[#This Row],[VALOR]]/PRD[[#This Row],[KGS]],"")</f>
        <v>1.7500000000000002</v>
      </c>
    </row>
    <row r="3084" spans="1:6" x14ac:dyDescent="0.25">
      <c r="A3084" s="21">
        <v>1012100</v>
      </c>
      <c r="B3084" s="1">
        <v>45323</v>
      </c>
      <c r="C3084" t="s">
        <v>302</v>
      </c>
      <c r="D3084" s="18">
        <v>497.7</v>
      </c>
      <c r="E3084" s="32">
        <v>1393.56</v>
      </c>
      <c r="F3084" s="15">
        <f>IFERROR(PRD[[#This Row],[VALOR]]/PRD[[#This Row],[KGS]],"")</f>
        <v>2.8</v>
      </c>
    </row>
    <row r="3085" spans="1:6" x14ac:dyDescent="0.25">
      <c r="A3085" s="21">
        <v>1012200</v>
      </c>
      <c r="B3085" s="1">
        <v>45323</v>
      </c>
      <c r="C3085" t="s">
        <v>39</v>
      </c>
      <c r="D3085" s="18">
        <v>2191.91</v>
      </c>
      <c r="E3085" s="32">
        <v>3641.21</v>
      </c>
      <c r="F3085" s="15">
        <f>IFERROR(PRD[[#This Row],[VALOR]]/PRD[[#This Row],[KGS]],"")</f>
        <v>1.6612041552800982</v>
      </c>
    </row>
    <row r="3086" spans="1:6" x14ac:dyDescent="0.25">
      <c r="A3086" s="21">
        <v>1012201</v>
      </c>
      <c r="B3086" s="1">
        <v>45323</v>
      </c>
      <c r="C3086" t="s">
        <v>41</v>
      </c>
      <c r="D3086" s="18">
        <v>345</v>
      </c>
      <c r="E3086" s="32">
        <v>727.22</v>
      </c>
      <c r="F3086" s="15">
        <f>IFERROR(PRD[[#This Row],[VALOR]]/PRD[[#This Row],[KGS]],"")</f>
        <v>2.1078840579710145</v>
      </c>
    </row>
    <row r="3087" spans="1:6" x14ac:dyDescent="0.25">
      <c r="A3087" s="21">
        <v>1012203</v>
      </c>
      <c r="B3087" s="1">
        <v>45323</v>
      </c>
      <c r="C3087" t="s">
        <v>43</v>
      </c>
      <c r="D3087" s="18">
        <v>1372.9</v>
      </c>
      <c r="E3087" s="32">
        <v>2489.2199999999998</v>
      </c>
      <c r="F3087" s="15">
        <f>IFERROR(PRD[[#This Row],[VALOR]]/PRD[[#This Row],[KGS]],"")</f>
        <v>1.8131109330614026</v>
      </c>
    </row>
    <row r="3088" spans="1:6" x14ac:dyDescent="0.25">
      <c r="A3088" s="21">
        <v>1012205</v>
      </c>
      <c r="B3088" s="1">
        <v>45323</v>
      </c>
      <c r="C3088" t="s">
        <v>741</v>
      </c>
      <c r="D3088" s="18">
        <v>167.7</v>
      </c>
      <c r="E3088" s="32">
        <v>256.52</v>
      </c>
      <c r="F3088" s="15">
        <f>IFERROR(PRD[[#This Row],[VALOR]]/PRD[[#This Row],[KGS]],"")</f>
        <v>1.5296362552176506</v>
      </c>
    </row>
    <row r="3089" spans="1:6" x14ac:dyDescent="0.25">
      <c r="A3089" s="21">
        <v>1012207</v>
      </c>
      <c r="B3089" s="1">
        <v>45323</v>
      </c>
      <c r="C3089" t="s">
        <v>810</v>
      </c>
      <c r="D3089" s="18">
        <v>100</v>
      </c>
      <c r="E3089" s="32">
        <v>182</v>
      </c>
      <c r="F3089" s="15">
        <f>IFERROR(PRD[[#This Row],[VALOR]]/PRD[[#This Row],[KGS]],"")</f>
        <v>1.82</v>
      </c>
    </row>
    <row r="3090" spans="1:6" x14ac:dyDescent="0.25">
      <c r="A3090" s="21">
        <v>1012300</v>
      </c>
      <c r="B3090" s="1">
        <v>45323</v>
      </c>
      <c r="C3090" t="s">
        <v>45</v>
      </c>
      <c r="D3090" s="18">
        <v>451.84</v>
      </c>
      <c r="E3090" s="32">
        <v>650.41</v>
      </c>
      <c r="F3090" s="15">
        <f>IFERROR(PRD[[#This Row],[VALOR]]/PRD[[#This Row],[KGS]],"")</f>
        <v>1.4394697237960341</v>
      </c>
    </row>
    <row r="3091" spans="1:6" x14ac:dyDescent="0.25">
      <c r="A3091" s="21">
        <v>1012301</v>
      </c>
      <c r="B3091" s="1">
        <v>45323</v>
      </c>
      <c r="C3091" t="s">
        <v>47</v>
      </c>
      <c r="D3091" s="18">
        <v>139.37</v>
      </c>
      <c r="E3091" s="32">
        <v>174.22</v>
      </c>
      <c r="F3091" s="15">
        <f>IFERROR(PRD[[#This Row],[VALOR]]/PRD[[#This Row],[KGS]],"")</f>
        <v>1.2500538135897252</v>
      </c>
    </row>
    <row r="3092" spans="1:6" x14ac:dyDescent="0.25">
      <c r="A3092" s="21">
        <v>1012400</v>
      </c>
      <c r="B3092" s="1">
        <v>45323</v>
      </c>
      <c r="C3092" t="s">
        <v>49</v>
      </c>
      <c r="D3092" s="18">
        <v>1140.42</v>
      </c>
      <c r="E3092" s="32">
        <v>1961.46</v>
      </c>
      <c r="F3092" s="15">
        <f>IFERROR(PRD[[#This Row],[VALOR]]/PRD[[#This Row],[KGS]],"")</f>
        <v>1.7199452833166726</v>
      </c>
    </row>
    <row r="3093" spans="1:6" x14ac:dyDescent="0.25">
      <c r="A3093" s="21">
        <v>1012401</v>
      </c>
      <c r="B3093" s="1">
        <v>45323</v>
      </c>
      <c r="C3093" t="s">
        <v>51</v>
      </c>
      <c r="D3093" s="18">
        <v>40.840000000000003</v>
      </c>
      <c r="E3093" s="32">
        <v>61.9</v>
      </c>
      <c r="F3093" s="15">
        <f>IFERROR(PRD[[#This Row],[VALOR]]/PRD[[#This Row],[KGS]],"")</f>
        <v>1.5156709108716944</v>
      </c>
    </row>
    <row r="3094" spans="1:6" x14ac:dyDescent="0.25">
      <c r="A3094" s="21">
        <v>1012500</v>
      </c>
      <c r="B3094" s="1">
        <v>45323</v>
      </c>
      <c r="C3094" t="s">
        <v>53</v>
      </c>
      <c r="D3094" s="18">
        <v>1297.0999999999999</v>
      </c>
      <c r="E3094" s="32">
        <v>327.7</v>
      </c>
      <c r="F3094" s="15">
        <f>IFERROR(PRD[[#This Row],[VALOR]]/PRD[[#This Row],[KGS]],"")</f>
        <v>0.25264050574358182</v>
      </c>
    </row>
    <row r="3095" spans="1:6" x14ac:dyDescent="0.25">
      <c r="A3095" s="21">
        <v>1012601</v>
      </c>
      <c r="B3095" s="1">
        <v>45323</v>
      </c>
      <c r="C3095" t="s">
        <v>55</v>
      </c>
      <c r="D3095" s="18">
        <v>172</v>
      </c>
      <c r="E3095" s="32">
        <v>172</v>
      </c>
      <c r="F3095" s="15">
        <f>IFERROR(PRD[[#This Row],[VALOR]]/PRD[[#This Row],[KGS]],"")</f>
        <v>1</v>
      </c>
    </row>
    <row r="3096" spans="1:6" x14ac:dyDescent="0.25">
      <c r="A3096" s="21">
        <v>1012800</v>
      </c>
      <c r="B3096" s="1">
        <v>45323</v>
      </c>
      <c r="C3096" t="s">
        <v>900</v>
      </c>
      <c r="D3096" s="18">
        <v>15.7</v>
      </c>
      <c r="E3096" s="32">
        <v>23.55</v>
      </c>
      <c r="F3096" s="15">
        <f>IFERROR(PRD[[#This Row],[VALOR]]/PRD[[#This Row],[KGS]],"")</f>
        <v>1.5000000000000002</v>
      </c>
    </row>
    <row r="3097" spans="1:6" x14ac:dyDescent="0.25">
      <c r="A3097" s="21">
        <v>1013100</v>
      </c>
      <c r="B3097" s="1">
        <v>45323</v>
      </c>
      <c r="C3097" t="s">
        <v>57</v>
      </c>
      <c r="D3097" s="18">
        <v>132.6</v>
      </c>
      <c r="E3097" s="32">
        <v>143.24</v>
      </c>
      <c r="F3097" s="15">
        <f>IFERROR(PRD[[#This Row],[VALOR]]/PRD[[#This Row],[KGS]],"")</f>
        <v>1.080241327300151</v>
      </c>
    </row>
    <row r="3098" spans="1:6" x14ac:dyDescent="0.25">
      <c r="A3098" s="21">
        <v>1013101</v>
      </c>
      <c r="B3098" s="1">
        <v>45323</v>
      </c>
      <c r="C3098" t="s">
        <v>346</v>
      </c>
      <c r="D3098" s="18">
        <v>4113</v>
      </c>
      <c r="E3098" s="32">
        <v>2467.8000000000002</v>
      </c>
      <c r="F3098" s="15">
        <f>IFERROR(PRD[[#This Row],[VALOR]]/PRD[[#This Row],[KGS]],"")</f>
        <v>0.60000000000000009</v>
      </c>
    </row>
    <row r="3099" spans="1:6" x14ac:dyDescent="0.25">
      <c r="A3099" s="21">
        <v>1013200</v>
      </c>
      <c r="B3099" s="1">
        <v>45323</v>
      </c>
      <c r="C3099" t="s">
        <v>59</v>
      </c>
      <c r="D3099" s="18">
        <v>1443.1</v>
      </c>
      <c r="E3099" s="32">
        <v>1554.16</v>
      </c>
      <c r="F3099" s="15">
        <f>IFERROR(PRD[[#This Row],[VALOR]]/PRD[[#This Row],[KGS]],"")</f>
        <v>1.0769593236781929</v>
      </c>
    </row>
    <row r="3100" spans="1:6" x14ac:dyDescent="0.25">
      <c r="A3100" s="21">
        <v>1013201</v>
      </c>
      <c r="B3100" s="1">
        <v>45323</v>
      </c>
      <c r="C3100" t="s">
        <v>347</v>
      </c>
      <c r="D3100" s="18">
        <v>112</v>
      </c>
      <c r="E3100" s="32">
        <v>134.4</v>
      </c>
      <c r="F3100" s="15">
        <f>IFERROR(PRD[[#This Row],[VALOR]]/PRD[[#This Row],[KGS]],"")</f>
        <v>1.2</v>
      </c>
    </row>
    <row r="3101" spans="1:6" x14ac:dyDescent="0.25">
      <c r="A3101" s="21">
        <v>1013300</v>
      </c>
      <c r="B3101" s="1">
        <v>45323</v>
      </c>
      <c r="C3101" t="s">
        <v>348</v>
      </c>
      <c r="D3101" s="18">
        <v>933.4</v>
      </c>
      <c r="E3101" s="32">
        <v>280.02</v>
      </c>
      <c r="F3101" s="15">
        <f>IFERROR(PRD[[#This Row],[VALOR]]/PRD[[#This Row],[KGS]],"")</f>
        <v>0.3</v>
      </c>
    </row>
    <row r="3102" spans="1:6" x14ac:dyDescent="0.25">
      <c r="A3102" s="21">
        <v>1013500</v>
      </c>
      <c r="B3102" s="1">
        <v>45323</v>
      </c>
      <c r="C3102" t="s">
        <v>61</v>
      </c>
      <c r="D3102" s="18">
        <v>9</v>
      </c>
      <c r="E3102" s="32">
        <v>4.5</v>
      </c>
      <c r="F3102" s="15">
        <f>IFERROR(PRD[[#This Row],[VALOR]]/PRD[[#This Row],[KGS]],"")</f>
        <v>0.5</v>
      </c>
    </row>
    <row r="3103" spans="1:6" x14ac:dyDescent="0.25">
      <c r="A3103" s="21">
        <v>1100100</v>
      </c>
      <c r="B3103" s="1">
        <v>45323</v>
      </c>
      <c r="C3103" t="s">
        <v>63</v>
      </c>
      <c r="D3103" s="18">
        <v>78255.320000000007</v>
      </c>
      <c r="E3103" s="32">
        <v>197170.58</v>
      </c>
      <c r="F3103" s="15">
        <f>IFERROR(PRD[[#This Row],[VALOR]]/PRD[[#This Row],[KGS]],"")</f>
        <v>2.5195805218098908</v>
      </c>
    </row>
    <row r="3104" spans="1:6" x14ac:dyDescent="0.25">
      <c r="A3104" s="21">
        <v>1100101</v>
      </c>
      <c r="B3104" s="1">
        <v>45323</v>
      </c>
      <c r="C3104" t="s">
        <v>65</v>
      </c>
      <c r="D3104" s="18">
        <v>276.39999999999998</v>
      </c>
      <c r="E3104" s="32">
        <v>708.91</v>
      </c>
      <c r="F3104" s="15">
        <f>IFERROR(PRD[[#This Row],[VALOR]]/PRD[[#This Row],[KGS]],"")</f>
        <v>2.5647973950795948</v>
      </c>
    </row>
    <row r="3105" spans="1:6" x14ac:dyDescent="0.25">
      <c r="A3105" s="21">
        <v>1100200</v>
      </c>
      <c r="B3105" s="1">
        <v>45323</v>
      </c>
      <c r="C3105" t="s">
        <v>67</v>
      </c>
      <c r="D3105" s="18">
        <v>3077.8</v>
      </c>
      <c r="E3105" s="32">
        <v>9530.0400000000009</v>
      </c>
      <c r="F3105" s="15">
        <f>IFERROR(PRD[[#This Row],[VALOR]]/PRD[[#This Row],[KGS]],"")</f>
        <v>3.0963805315485087</v>
      </c>
    </row>
    <row r="3106" spans="1:6" x14ac:dyDescent="0.25">
      <c r="A3106" s="21">
        <v>1100300</v>
      </c>
      <c r="B3106" s="1">
        <v>45323</v>
      </c>
      <c r="C3106" t="s">
        <v>69</v>
      </c>
      <c r="D3106" s="18">
        <v>617.4</v>
      </c>
      <c r="E3106" s="32">
        <v>1654.26</v>
      </c>
      <c r="F3106" s="15">
        <f>IFERROR(PRD[[#This Row],[VALOR]]/PRD[[#This Row],[KGS]],"")</f>
        <v>2.6793974732750243</v>
      </c>
    </row>
    <row r="3107" spans="1:6" x14ac:dyDescent="0.25">
      <c r="A3107" s="21">
        <v>1100400</v>
      </c>
      <c r="B3107" s="1">
        <v>45323</v>
      </c>
      <c r="C3107" t="s">
        <v>73</v>
      </c>
      <c r="D3107" s="18">
        <v>15512.66</v>
      </c>
      <c r="E3107" s="32">
        <v>38223.769999999997</v>
      </c>
      <c r="F3107" s="15">
        <f>IFERROR(PRD[[#This Row],[VALOR]]/PRD[[#This Row],[KGS]],"")</f>
        <v>2.4640371154914757</v>
      </c>
    </row>
    <row r="3108" spans="1:6" x14ac:dyDescent="0.25">
      <c r="A3108" s="21">
        <v>1100500</v>
      </c>
      <c r="B3108" s="1">
        <v>45323</v>
      </c>
      <c r="C3108" t="s">
        <v>75</v>
      </c>
      <c r="D3108" s="18">
        <v>550.20000000000005</v>
      </c>
      <c r="E3108" s="32">
        <v>1451.3</v>
      </c>
      <c r="F3108" s="15">
        <f>IFERROR(PRD[[#This Row],[VALOR]]/PRD[[#This Row],[KGS]],"")</f>
        <v>2.6377680843329694</v>
      </c>
    </row>
    <row r="3109" spans="1:6" x14ac:dyDescent="0.25">
      <c r="A3109" s="21">
        <v>1100600</v>
      </c>
      <c r="B3109" s="1">
        <v>45323</v>
      </c>
      <c r="C3109" t="s">
        <v>77</v>
      </c>
      <c r="D3109" s="18">
        <v>13056.73</v>
      </c>
      <c r="E3109" s="32">
        <v>41619.9</v>
      </c>
      <c r="F3109" s="15">
        <f>IFERROR(PRD[[#This Row],[VALOR]]/PRD[[#This Row],[KGS]],"")</f>
        <v>3.1876204838424322</v>
      </c>
    </row>
    <row r="3110" spans="1:6" x14ac:dyDescent="0.25">
      <c r="A3110" s="21">
        <v>1100602</v>
      </c>
      <c r="B3110" s="1">
        <v>45323</v>
      </c>
      <c r="C3110" t="s">
        <v>79</v>
      </c>
      <c r="D3110" s="18">
        <v>443.06</v>
      </c>
      <c r="E3110" s="32">
        <v>2344.12</v>
      </c>
      <c r="F3110" s="15">
        <f>IFERROR(PRD[[#This Row],[VALOR]]/PRD[[#This Row],[KGS]],"")</f>
        <v>5.2907506883943478</v>
      </c>
    </row>
    <row r="3111" spans="1:6" x14ac:dyDescent="0.25">
      <c r="A3111" s="21">
        <v>1100603</v>
      </c>
      <c r="B3111" s="1">
        <v>45323</v>
      </c>
      <c r="C3111" t="s">
        <v>304</v>
      </c>
      <c r="D3111" s="18">
        <v>50</v>
      </c>
      <c r="E3111" s="32">
        <v>253</v>
      </c>
      <c r="F3111" s="15">
        <f>IFERROR(PRD[[#This Row],[VALOR]]/PRD[[#This Row],[KGS]],"")</f>
        <v>5.0599999999999996</v>
      </c>
    </row>
    <row r="3112" spans="1:6" x14ac:dyDescent="0.25">
      <c r="A3112" s="21">
        <v>1100605</v>
      </c>
      <c r="B3112" s="1">
        <v>45323</v>
      </c>
      <c r="C3112" t="s">
        <v>631</v>
      </c>
      <c r="D3112" s="18">
        <v>4980.51</v>
      </c>
      <c r="E3112" s="32">
        <v>15631.2</v>
      </c>
      <c r="F3112" s="15">
        <f>IFERROR(PRD[[#This Row],[VALOR]]/PRD[[#This Row],[KGS]],"")</f>
        <v>3.1384737707584165</v>
      </c>
    </row>
    <row r="3113" spans="1:6" x14ac:dyDescent="0.25">
      <c r="A3113" s="21">
        <v>1100608</v>
      </c>
      <c r="B3113" s="1">
        <v>45323</v>
      </c>
      <c r="C3113" t="s">
        <v>349</v>
      </c>
      <c r="D3113" s="18">
        <v>5494.42</v>
      </c>
      <c r="E3113" s="32">
        <v>16960.14</v>
      </c>
      <c r="F3113" s="15">
        <f>IFERROR(PRD[[#This Row],[VALOR]]/PRD[[#This Row],[KGS]],"")</f>
        <v>3.0867935105070234</v>
      </c>
    </row>
    <row r="3114" spans="1:6" x14ac:dyDescent="0.25">
      <c r="A3114" s="21">
        <v>1100700</v>
      </c>
      <c r="B3114" s="1">
        <v>45323</v>
      </c>
      <c r="C3114" t="s">
        <v>83</v>
      </c>
      <c r="D3114" s="18">
        <v>10969.5</v>
      </c>
      <c r="E3114" s="32">
        <v>35575.89</v>
      </c>
      <c r="F3114" s="15">
        <f>IFERROR(PRD[[#This Row],[VALOR]]/PRD[[#This Row],[KGS]],"")</f>
        <v>3.2431642280869686</v>
      </c>
    </row>
    <row r="3115" spans="1:6" x14ac:dyDescent="0.25">
      <c r="A3115" s="21">
        <v>1100701</v>
      </c>
      <c r="B3115" s="1">
        <v>45323</v>
      </c>
      <c r="C3115" t="s">
        <v>84</v>
      </c>
      <c r="D3115" s="18">
        <v>234.2</v>
      </c>
      <c r="E3115" s="32">
        <v>880.34</v>
      </c>
      <c r="F3115" s="15">
        <f>IFERROR(PRD[[#This Row],[VALOR]]/PRD[[#This Row],[KGS]],"")</f>
        <v>3.7589239965841164</v>
      </c>
    </row>
    <row r="3116" spans="1:6" x14ac:dyDescent="0.25">
      <c r="A3116" s="21">
        <v>1100703</v>
      </c>
      <c r="B3116" s="1">
        <v>45323</v>
      </c>
      <c r="C3116" t="s">
        <v>86</v>
      </c>
      <c r="D3116" s="18">
        <v>1398.2</v>
      </c>
      <c r="E3116" s="32">
        <v>5045.54</v>
      </c>
      <c r="F3116" s="15">
        <f>IFERROR(PRD[[#This Row],[VALOR]]/PRD[[#This Row],[KGS]],"")</f>
        <v>3.608596767272207</v>
      </c>
    </row>
    <row r="3117" spans="1:6" x14ac:dyDescent="0.25">
      <c r="A3117" s="21">
        <v>1100704</v>
      </c>
      <c r="B3117" s="1">
        <v>45323</v>
      </c>
      <c r="C3117" t="s">
        <v>901</v>
      </c>
      <c r="D3117" s="18">
        <v>6.87</v>
      </c>
      <c r="E3117" s="32">
        <v>36.71</v>
      </c>
      <c r="F3117" s="15">
        <f>IFERROR(PRD[[#This Row],[VALOR]]/PRD[[#This Row],[KGS]],"")</f>
        <v>5.343522561863173</v>
      </c>
    </row>
    <row r="3118" spans="1:6" x14ac:dyDescent="0.25">
      <c r="A3118" s="21">
        <v>1100705</v>
      </c>
      <c r="B3118" s="1">
        <v>45323</v>
      </c>
      <c r="C3118" t="s">
        <v>88</v>
      </c>
      <c r="D3118" s="18">
        <v>326.3</v>
      </c>
      <c r="E3118" s="32">
        <v>575.55999999999995</v>
      </c>
      <c r="F3118" s="15">
        <f>IFERROR(PRD[[#This Row],[VALOR]]/PRD[[#This Row],[KGS]],"")</f>
        <v>1.7638982531412808</v>
      </c>
    </row>
    <row r="3119" spans="1:6" x14ac:dyDescent="0.25">
      <c r="A3119" s="21">
        <v>1100706</v>
      </c>
      <c r="B3119" s="1">
        <v>45323</v>
      </c>
      <c r="C3119" t="s">
        <v>305</v>
      </c>
      <c r="D3119" s="18">
        <v>46.05</v>
      </c>
      <c r="E3119" s="32">
        <v>76.91</v>
      </c>
      <c r="F3119" s="15">
        <f>IFERROR(PRD[[#This Row],[VALOR]]/PRD[[#This Row],[KGS]],"")</f>
        <v>1.6701411509229098</v>
      </c>
    </row>
    <row r="3120" spans="1:6" x14ac:dyDescent="0.25">
      <c r="A3120" s="21">
        <v>1100707</v>
      </c>
      <c r="B3120" s="1">
        <v>45323</v>
      </c>
      <c r="C3120" t="s">
        <v>902</v>
      </c>
      <c r="D3120" s="18">
        <v>1974.02</v>
      </c>
      <c r="E3120" s="32">
        <v>7501.27</v>
      </c>
      <c r="F3120" s="15">
        <f>IFERROR(PRD[[#This Row],[VALOR]]/PRD[[#This Row],[KGS]],"")</f>
        <v>3.7999969605171176</v>
      </c>
    </row>
    <row r="3121" spans="1:6" x14ac:dyDescent="0.25">
      <c r="A3121" s="21">
        <v>1100709</v>
      </c>
      <c r="B3121" s="1">
        <v>45323</v>
      </c>
      <c r="C3121" t="s">
        <v>903</v>
      </c>
      <c r="D3121" s="18">
        <v>2286.35</v>
      </c>
      <c r="E3121" s="32">
        <v>8802.44</v>
      </c>
      <c r="F3121" s="15">
        <f>IFERROR(PRD[[#This Row],[VALOR]]/PRD[[#This Row],[KGS]],"")</f>
        <v>3.8499967196623444</v>
      </c>
    </row>
    <row r="3122" spans="1:6" x14ac:dyDescent="0.25">
      <c r="A3122" s="21">
        <v>1100710</v>
      </c>
      <c r="B3122" s="1">
        <v>45323</v>
      </c>
      <c r="C3122" t="s">
        <v>904</v>
      </c>
      <c r="D3122" s="18">
        <v>1957</v>
      </c>
      <c r="E3122" s="32">
        <v>7436.6</v>
      </c>
      <c r="F3122" s="15">
        <f>IFERROR(PRD[[#This Row],[VALOR]]/PRD[[#This Row],[KGS]],"")</f>
        <v>3.8000000000000003</v>
      </c>
    </row>
    <row r="3123" spans="1:6" x14ac:dyDescent="0.25">
      <c r="A3123" s="21">
        <v>1100800</v>
      </c>
      <c r="B3123" s="1">
        <v>45323</v>
      </c>
      <c r="C3123" t="s">
        <v>90</v>
      </c>
      <c r="D3123" s="18">
        <v>12900.35</v>
      </c>
      <c r="E3123" s="32">
        <v>38159.199999999997</v>
      </c>
      <c r="F3123" s="15">
        <f>IFERROR(PRD[[#This Row],[VALOR]]/PRD[[#This Row],[KGS]],"")</f>
        <v>2.9579972636401335</v>
      </c>
    </row>
    <row r="3124" spans="1:6" x14ac:dyDescent="0.25">
      <c r="A3124" s="21">
        <v>1100801</v>
      </c>
      <c r="B3124" s="1">
        <v>45323</v>
      </c>
      <c r="C3124" t="s">
        <v>905</v>
      </c>
      <c r="D3124" s="18">
        <v>4639.5</v>
      </c>
      <c r="E3124" s="32">
        <v>13055.02</v>
      </c>
      <c r="F3124" s="15">
        <f>IFERROR(PRD[[#This Row],[VALOR]]/PRD[[#This Row],[KGS]],"")</f>
        <v>2.8138851169307038</v>
      </c>
    </row>
    <row r="3125" spans="1:6" x14ac:dyDescent="0.25">
      <c r="A3125" s="21">
        <v>1100802</v>
      </c>
      <c r="B3125" s="1">
        <v>45323</v>
      </c>
      <c r="C3125" t="s">
        <v>306</v>
      </c>
      <c r="D3125" s="18">
        <v>85.2</v>
      </c>
      <c r="E3125" s="32">
        <v>250.77</v>
      </c>
      <c r="F3125" s="15">
        <f>IFERROR(PRD[[#This Row],[VALOR]]/PRD[[#This Row],[KGS]],"")</f>
        <v>2.9433098591549296</v>
      </c>
    </row>
    <row r="3126" spans="1:6" x14ac:dyDescent="0.25">
      <c r="A3126" s="21">
        <v>1100900</v>
      </c>
      <c r="B3126" s="1">
        <v>45323</v>
      </c>
      <c r="C3126" t="s">
        <v>94</v>
      </c>
      <c r="D3126" s="18">
        <v>1736.08</v>
      </c>
      <c r="E3126" s="32">
        <v>8617.2900000000009</v>
      </c>
      <c r="F3126" s="15">
        <f>IFERROR(PRD[[#This Row],[VALOR]]/PRD[[#This Row],[KGS]],"")</f>
        <v>4.9636479885719558</v>
      </c>
    </row>
    <row r="3127" spans="1:6" x14ac:dyDescent="0.25">
      <c r="A3127" s="21">
        <v>1100901</v>
      </c>
      <c r="B3127" s="1">
        <v>45323</v>
      </c>
      <c r="C3127" t="s">
        <v>791</v>
      </c>
      <c r="D3127" s="18">
        <v>10.199999999999999</v>
      </c>
      <c r="E3127" s="32">
        <v>40.29</v>
      </c>
      <c r="F3127" s="15">
        <f>IFERROR(PRD[[#This Row],[VALOR]]/PRD[[#This Row],[KGS]],"")</f>
        <v>3.95</v>
      </c>
    </row>
    <row r="3128" spans="1:6" x14ac:dyDescent="0.25">
      <c r="A3128" s="21">
        <v>1101000</v>
      </c>
      <c r="B3128" s="1">
        <v>45323</v>
      </c>
      <c r="C3128" t="s">
        <v>96</v>
      </c>
      <c r="D3128" s="18">
        <v>16206.83</v>
      </c>
      <c r="E3128" s="32">
        <v>54560.04</v>
      </c>
      <c r="F3128" s="15">
        <f>IFERROR(PRD[[#This Row],[VALOR]]/PRD[[#This Row],[KGS]],"")</f>
        <v>3.3664843772656345</v>
      </c>
    </row>
    <row r="3129" spans="1:6" x14ac:dyDescent="0.25">
      <c r="A3129" s="21">
        <v>1101001</v>
      </c>
      <c r="B3129" s="1">
        <v>45323</v>
      </c>
      <c r="C3129" t="s">
        <v>98</v>
      </c>
      <c r="D3129" s="18">
        <v>373.9</v>
      </c>
      <c r="E3129" s="32">
        <v>1525.28</v>
      </c>
      <c r="F3129" s="15">
        <f>IFERROR(PRD[[#This Row],[VALOR]]/PRD[[#This Row],[KGS]],"")</f>
        <v>4.079379513238834</v>
      </c>
    </row>
    <row r="3130" spans="1:6" x14ac:dyDescent="0.25">
      <c r="A3130" s="21">
        <v>1101002</v>
      </c>
      <c r="B3130" s="1">
        <v>45323</v>
      </c>
      <c r="C3130" t="s">
        <v>687</v>
      </c>
      <c r="D3130" s="18">
        <v>1346.53</v>
      </c>
      <c r="E3130" s="32">
        <v>5527.32</v>
      </c>
      <c r="F3130" s="15">
        <f>IFERROR(PRD[[#This Row],[VALOR]]/PRD[[#This Row],[KGS]],"")</f>
        <v>4.1048621270970571</v>
      </c>
    </row>
    <row r="3131" spans="1:6" x14ac:dyDescent="0.25">
      <c r="A3131" s="21">
        <v>1101100</v>
      </c>
      <c r="B3131" s="1">
        <v>45323</v>
      </c>
      <c r="C3131" t="s">
        <v>100</v>
      </c>
      <c r="D3131" s="18">
        <v>32262.15</v>
      </c>
      <c r="E3131" s="32">
        <v>104024.68</v>
      </c>
      <c r="F3131" s="15">
        <f>IFERROR(PRD[[#This Row],[VALOR]]/PRD[[#This Row],[KGS]],"")</f>
        <v>3.2243567152220169</v>
      </c>
    </row>
    <row r="3132" spans="1:6" x14ac:dyDescent="0.25">
      <c r="A3132" s="21">
        <v>1101102</v>
      </c>
      <c r="B3132" s="1">
        <v>45323</v>
      </c>
      <c r="C3132" t="s">
        <v>742</v>
      </c>
      <c r="D3132" s="18">
        <v>1581.4</v>
      </c>
      <c r="E3132" s="32">
        <v>5755.04</v>
      </c>
      <c r="F3132" s="15">
        <f>IFERROR(PRD[[#This Row],[VALOR]]/PRD[[#This Row],[KGS]],"")</f>
        <v>3.6392057670418616</v>
      </c>
    </row>
    <row r="3133" spans="1:6" x14ac:dyDescent="0.25">
      <c r="A3133" s="21">
        <v>1101103</v>
      </c>
      <c r="B3133" s="1">
        <v>45323</v>
      </c>
      <c r="C3133" t="s">
        <v>350</v>
      </c>
      <c r="D3133" s="18">
        <v>845.55</v>
      </c>
      <c r="E3133" s="32">
        <v>2850.46</v>
      </c>
      <c r="F3133" s="15">
        <f>IFERROR(PRD[[#This Row],[VALOR]]/PRD[[#This Row],[KGS]],"")</f>
        <v>3.3711312163680449</v>
      </c>
    </row>
    <row r="3134" spans="1:6" x14ac:dyDescent="0.25">
      <c r="A3134" s="21">
        <v>1101108</v>
      </c>
      <c r="B3134" s="1">
        <v>45323</v>
      </c>
      <c r="C3134" t="s">
        <v>743</v>
      </c>
      <c r="D3134" s="18">
        <v>183.7</v>
      </c>
      <c r="E3134" s="32">
        <v>661.32</v>
      </c>
      <c r="F3134" s="15">
        <f>IFERROR(PRD[[#This Row],[VALOR]]/PRD[[#This Row],[KGS]],"")</f>
        <v>3.6000000000000005</v>
      </c>
    </row>
    <row r="3135" spans="1:6" x14ac:dyDescent="0.25">
      <c r="A3135" s="21">
        <v>1101300</v>
      </c>
      <c r="B3135" s="1">
        <v>45323</v>
      </c>
      <c r="C3135" t="s">
        <v>102</v>
      </c>
      <c r="D3135" s="18">
        <v>417.4</v>
      </c>
      <c r="E3135" s="32">
        <v>1457.32</v>
      </c>
      <c r="F3135" s="15">
        <f>IFERROR(PRD[[#This Row],[VALOR]]/PRD[[#This Row],[KGS]],"")</f>
        <v>3.4914230953521801</v>
      </c>
    </row>
    <row r="3136" spans="1:6" x14ac:dyDescent="0.25">
      <c r="A3136" s="21">
        <v>1101400</v>
      </c>
      <c r="B3136" s="1">
        <v>45323</v>
      </c>
      <c r="C3136" t="s">
        <v>104</v>
      </c>
      <c r="D3136" s="18">
        <v>16861.8</v>
      </c>
      <c r="E3136" s="32">
        <v>43859.97</v>
      </c>
      <c r="F3136" s="15">
        <f>IFERROR(PRD[[#This Row],[VALOR]]/PRD[[#This Row],[KGS]],"")</f>
        <v>2.6011440059780098</v>
      </c>
    </row>
    <row r="3137" spans="1:6" x14ac:dyDescent="0.25">
      <c r="A3137" s="21">
        <v>1101500</v>
      </c>
      <c r="B3137" s="1">
        <v>45323</v>
      </c>
      <c r="C3137" t="s">
        <v>106</v>
      </c>
      <c r="D3137" s="18">
        <v>838</v>
      </c>
      <c r="E3137" s="32">
        <v>2308.42</v>
      </c>
      <c r="F3137" s="15">
        <f>IFERROR(PRD[[#This Row],[VALOR]]/PRD[[#This Row],[KGS]],"")</f>
        <v>2.7546778042959428</v>
      </c>
    </row>
    <row r="3138" spans="1:6" x14ac:dyDescent="0.25">
      <c r="A3138" s="21">
        <v>1101600</v>
      </c>
      <c r="B3138" s="1">
        <v>45323</v>
      </c>
      <c r="C3138" t="s">
        <v>108</v>
      </c>
      <c r="D3138" s="18">
        <v>175.9</v>
      </c>
      <c r="E3138" s="32">
        <v>462.36</v>
      </c>
      <c r="F3138" s="15">
        <f>IFERROR(PRD[[#This Row],[VALOR]]/PRD[[#This Row],[KGS]],"")</f>
        <v>2.6285389425810117</v>
      </c>
    </row>
    <row r="3139" spans="1:6" x14ac:dyDescent="0.25">
      <c r="A3139" s="21">
        <v>1101700</v>
      </c>
      <c r="B3139" s="1">
        <v>45323</v>
      </c>
      <c r="C3139" t="s">
        <v>110</v>
      </c>
      <c r="D3139" s="18">
        <v>649.4</v>
      </c>
      <c r="E3139" s="32">
        <v>1667.2</v>
      </c>
      <c r="F3139" s="15">
        <f>IFERROR(PRD[[#This Row],[VALOR]]/PRD[[#This Row],[KGS]],"")</f>
        <v>2.567292885740684</v>
      </c>
    </row>
    <row r="3140" spans="1:6" x14ac:dyDescent="0.25">
      <c r="A3140" s="21">
        <v>1101801</v>
      </c>
      <c r="B3140" s="1">
        <v>45323</v>
      </c>
      <c r="C3140" t="s">
        <v>112</v>
      </c>
      <c r="D3140" s="18">
        <v>336.3</v>
      </c>
      <c r="E3140" s="32">
        <v>872.58</v>
      </c>
      <c r="F3140" s="15">
        <f>IFERROR(PRD[[#This Row],[VALOR]]/PRD[[#This Row],[KGS]],"")</f>
        <v>2.5946476360392507</v>
      </c>
    </row>
    <row r="3141" spans="1:6" x14ac:dyDescent="0.25">
      <c r="A3141" s="21">
        <v>1101900</v>
      </c>
      <c r="B3141" s="1">
        <v>45323</v>
      </c>
      <c r="C3141" t="s">
        <v>114</v>
      </c>
      <c r="D3141" s="18">
        <v>3354.5</v>
      </c>
      <c r="E3141" s="32">
        <v>11045.93</v>
      </c>
      <c r="F3141" s="15">
        <f>IFERROR(PRD[[#This Row],[VALOR]]/PRD[[#This Row],[KGS]],"")</f>
        <v>3.2928692800715456</v>
      </c>
    </row>
    <row r="3142" spans="1:6" x14ac:dyDescent="0.25">
      <c r="A3142" s="21">
        <v>1101902</v>
      </c>
      <c r="B3142" s="1">
        <v>45323</v>
      </c>
      <c r="C3142" t="s">
        <v>351</v>
      </c>
      <c r="D3142" s="18">
        <v>1026.24</v>
      </c>
      <c r="E3142" s="32">
        <v>4099.66</v>
      </c>
      <c r="F3142" s="15">
        <f>IFERROR(PRD[[#This Row],[VALOR]]/PRD[[#This Row],[KGS]],"")</f>
        <v>3.9948355160586217</v>
      </c>
    </row>
    <row r="3143" spans="1:6" x14ac:dyDescent="0.25">
      <c r="A3143" s="21">
        <v>1101904</v>
      </c>
      <c r="B3143" s="1">
        <v>45323</v>
      </c>
      <c r="C3143" t="s">
        <v>765</v>
      </c>
      <c r="D3143" s="18">
        <v>-726.63</v>
      </c>
      <c r="E3143" s="32">
        <v>-3051.87</v>
      </c>
      <c r="F3143" s="15">
        <f>IFERROR(PRD[[#This Row],[VALOR]]/PRD[[#This Row],[KGS]],"")</f>
        <v>4.2000330291895462</v>
      </c>
    </row>
    <row r="3144" spans="1:6" x14ac:dyDescent="0.25">
      <c r="A3144" s="21">
        <v>1102000</v>
      </c>
      <c r="B3144" s="1">
        <v>45323</v>
      </c>
      <c r="C3144" t="s">
        <v>115</v>
      </c>
      <c r="D3144" s="18">
        <v>255.7</v>
      </c>
      <c r="E3144" s="32">
        <v>1083.43</v>
      </c>
      <c r="F3144" s="15">
        <f>IFERROR(PRD[[#This Row],[VALOR]]/PRD[[#This Row],[KGS]],"")</f>
        <v>4.2371138052405168</v>
      </c>
    </row>
    <row r="3145" spans="1:6" x14ac:dyDescent="0.25">
      <c r="A3145" s="21">
        <v>1102200</v>
      </c>
      <c r="B3145" s="1">
        <v>45323</v>
      </c>
      <c r="C3145" t="s">
        <v>117</v>
      </c>
      <c r="D3145" s="18">
        <v>25.3</v>
      </c>
      <c r="E3145" s="32">
        <v>86.78</v>
      </c>
      <c r="F3145" s="15">
        <f>IFERROR(PRD[[#This Row],[VALOR]]/PRD[[#This Row],[KGS]],"")</f>
        <v>3.4300395256916993</v>
      </c>
    </row>
    <row r="3146" spans="1:6" x14ac:dyDescent="0.25">
      <c r="A3146" s="21">
        <v>1102300</v>
      </c>
      <c r="B3146" s="1">
        <v>45323</v>
      </c>
      <c r="C3146" t="s">
        <v>119</v>
      </c>
      <c r="D3146" s="18">
        <v>4075.6</v>
      </c>
      <c r="E3146" s="32">
        <v>11338.27</v>
      </c>
      <c r="F3146" s="15">
        <f>IFERROR(PRD[[#This Row],[VALOR]]/PRD[[#This Row],[KGS]],"")</f>
        <v>2.7819879281578173</v>
      </c>
    </row>
    <row r="3147" spans="1:6" x14ac:dyDescent="0.25">
      <c r="A3147" s="21">
        <v>1103000</v>
      </c>
      <c r="B3147" s="1">
        <v>45323</v>
      </c>
      <c r="C3147" t="s">
        <v>121</v>
      </c>
      <c r="D3147" s="18">
        <v>554.41</v>
      </c>
      <c r="E3147" s="32">
        <v>1193.54</v>
      </c>
      <c r="F3147" s="15">
        <f>IFERROR(PRD[[#This Row],[VALOR]]/PRD[[#This Row],[KGS]],"")</f>
        <v>2.1528110964809439</v>
      </c>
    </row>
    <row r="3148" spans="1:6" x14ac:dyDescent="0.25">
      <c r="A3148" s="21">
        <v>1103001</v>
      </c>
      <c r="B3148" s="1">
        <v>45323</v>
      </c>
      <c r="C3148" t="s">
        <v>906</v>
      </c>
      <c r="D3148" s="18">
        <v>700.73</v>
      </c>
      <c r="E3148" s="32">
        <v>1440.18</v>
      </c>
      <c r="F3148" s="15">
        <f>IFERROR(PRD[[#This Row],[VALOR]]/PRD[[#This Row],[KGS]],"")</f>
        <v>2.0552566609107643</v>
      </c>
    </row>
    <row r="3149" spans="1:6" x14ac:dyDescent="0.25">
      <c r="A3149" s="21">
        <v>2010902</v>
      </c>
      <c r="B3149" s="1">
        <v>45323</v>
      </c>
      <c r="C3149" t="s">
        <v>907</v>
      </c>
      <c r="D3149" s="18">
        <v>50</v>
      </c>
      <c r="E3149" s="32">
        <v>45</v>
      </c>
      <c r="F3149" s="15">
        <f>IFERROR(PRD[[#This Row],[VALOR]]/PRD[[#This Row],[KGS]],"")</f>
        <v>0.9</v>
      </c>
    </row>
    <row r="3150" spans="1:6" x14ac:dyDescent="0.25">
      <c r="A3150" s="21">
        <v>2010904</v>
      </c>
      <c r="B3150" s="1">
        <v>45323</v>
      </c>
      <c r="C3150" t="s">
        <v>633</v>
      </c>
      <c r="D3150" s="18">
        <v>200</v>
      </c>
      <c r="E3150" s="32">
        <v>230</v>
      </c>
      <c r="F3150" s="15">
        <f>IFERROR(PRD[[#This Row],[VALOR]]/PRD[[#This Row],[KGS]],"")</f>
        <v>1.1499999999999999</v>
      </c>
    </row>
    <row r="3151" spans="1:6" x14ac:dyDescent="0.25">
      <c r="A3151" s="21">
        <v>2010905</v>
      </c>
      <c r="B3151" s="1">
        <v>45323</v>
      </c>
      <c r="C3151" t="s">
        <v>544</v>
      </c>
      <c r="D3151" s="18">
        <v>928.93</v>
      </c>
      <c r="E3151" s="32">
        <v>831.48</v>
      </c>
      <c r="F3151" s="15">
        <f>IFERROR(PRD[[#This Row],[VALOR]]/PRD[[#This Row],[KGS]],"")</f>
        <v>0.89509435587180952</v>
      </c>
    </row>
    <row r="3152" spans="1:6" x14ac:dyDescent="0.25">
      <c r="A3152" s="21">
        <v>2011700</v>
      </c>
      <c r="B3152" s="1">
        <v>45323</v>
      </c>
      <c r="C3152" t="s">
        <v>129</v>
      </c>
      <c r="D3152" s="18">
        <v>521.79999999999995</v>
      </c>
      <c r="E3152" s="32">
        <v>1218.24</v>
      </c>
      <c r="F3152" s="15">
        <f>IFERROR(PRD[[#This Row],[VALOR]]/PRD[[#This Row],[KGS]],"")</f>
        <v>2.3346876197776929</v>
      </c>
    </row>
    <row r="3153" spans="1:6" x14ac:dyDescent="0.25">
      <c r="A3153" s="21">
        <v>2090001</v>
      </c>
      <c r="B3153" s="1">
        <v>45323</v>
      </c>
      <c r="C3153" t="s">
        <v>908</v>
      </c>
      <c r="D3153" s="18">
        <v>7.21</v>
      </c>
      <c r="E3153" s="32">
        <v>37.49</v>
      </c>
      <c r="F3153" s="15">
        <f>IFERROR(PRD[[#This Row],[VALOR]]/PRD[[#This Row],[KGS]],"")</f>
        <v>5.1997226074895977</v>
      </c>
    </row>
    <row r="3154" spans="1:6" x14ac:dyDescent="0.25">
      <c r="A3154" s="21">
        <v>2090002</v>
      </c>
      <c r="B3154" s="1">
        <v>45323</v>
      </c>
      <c r="C3154" t="s">
        <v>451</v>
      </c>
      <c r="D3154" s="18">
        <v>231.32</v>
      </c>
      <c r="E3154" s="32">
        <v>1199.69</v>
      </c>
      <c r="F3154" s="15">
        <f>IFERROR(PRD[[#This Row],[VALOR]]/PRD[[#This Row],[KGS]],"")</f>
        <v>5.1862787480546437</v>
      </c>
    </row>
    <row r="3155" spans="1:6" x14ac:dyDescent="0.25">
      <c r="A3155" s="21">
        <v>2101100</v>
      </c>
      <c r="B3155" s="1">
        <v>45323</v>
      </c>
      <c r="C3155" t="s">
        <v>909</v>
      </c>
      <c r="D3155" s="18">
        <v>1048</v>
      </c>
      <c r="E3155" s="32">
        <v>3877.6</v>
      </c>
      <c r="F3155" s="15">
        <f>IFERROR(PRD[[#This Row],[VALOR]]/PRD[[#This Row],[KGS]],"")</f>
        <v>3.6999999999999997</v>
      </c>
    </row>
    <row r="3156" spans="1:6" x14ac:dyDescent="0.25">
      <c r="A3156" s="21">
        <v>3020103</v>
      </c>
      <c r="B3156" s="1">
        <v>45323</v>
      </c>
      <c r="C3156" t="s">
        <v>131</v>
      </c>
      <c r="D3156" s="18">
        <v>4636.3</v>
      </c>
      <c r="E3156" s="32">
        <v>15439.01</v>
      </c>
      <c r="F3156" s="15">
        <f>IFERROR(PRD[[#This Row],[VALOR]]/PRD[[#This Row],[KGS]],"")</f>
        <v>3.3300282552897782</v>
      </c>
    </row>
    <row r="3157" spans="1:6" x14ac:dyDescent="0.25">
      <c r="A3157" s="21">
        <v>3020212</v>
      </c>
      <c r="B3157" s="1">
        <v>45323</v>
      </c>
      <c r="C3157" t="s">
        <v>133</v>
      </c>
      <c r="D3157" s="18">
        <v>1356.83</v>
      </c>
      <c r="E3157" s="32">
        <v>5083.71</v>
      </c>
      <c r="F3157" s="15">
        <f>IFERROR(PRD[[#This Row],[VALOR]]/PRD[[#This Row],[KGS]],"")</f>
        <v>3.746755304643913</v>
      </c>
    </row>
    <row r="3158" spans="1:6" x14ac:dyDescent="0.25">
      <c r="A3158" s="21">
        <v>3020214</v>
      </c>
      <c r="B3158" s="1">
        <v>45323</v>
      </c>
      <c r="C3158" t="s">
        <v>910</v>
      </c>
      <c r="D3158" s="18">
        <v>570.66999999999996</v>
      </c>
      <c r="E3158" s="32">
        <v>2041.23</v>
      </c>
      <c r="F3158" s="15">
        <f>IFERROR(PRD[[#This Row],[VALOR]]/PRD[[#This Row],[KGS]],"")</f>
        <v>3.5769008358596039</v>
      </c>
    </row>
    <row r="3159" spans="1:6" x14ac:dyDescent="0.25">
      <c r="A3159" s="21">
        <v>3020315</v>
      </c>
      <c r="B3159" s="1">
        <v>45323</v>
      </c>
      <c r="C3159" t="s">
        <v>911</v>
      </c>
      <c r="D3159" s="18">
        <v>2246.2199999999998</v>
      </c>
      <c r="E3159" s="32">
        <v>8003.25</v>
      </c>
      <c r="F3159" s="15">
        <f>IFERROR(PRD[[#This Row],[VALOR]]/PRD[[#This Row],[KGS]],"")</f>
        <v>3.5629858161711678</v>
      </c>
    </row>
    <row r="3160" spans="1:6" x14ac:dyDescent="0.25">
      <c r="A3160" s="21">
        <v>3020316</v>
      </c>
      <c r="B3160" s="1">
        <v>45323</v>
      </c>
      <c r="C3160" t="s">
        <v>139</v>
      </c>
      <c r="D3160" s="18">
        <v>178.07</v>
      </c>
      <c r="E3160" s="32">
        <v>568.23</v>
      </c>
      <c r="F3160" s="15">
        <f>IFERROR(PRD[[#This Row],[VALOR]]/PRD[[#This Row],[KGS]],"")</f>
        <v>3.191048464087157</v>
      </c>
    </row>
    <row r="3161" spans="1:6" x14ac:dyDescent="0.25">
      <c r="A3161" s="21">
        <v>3020317</v>
      </c>
      <c r="B3161" s="1">
        <v>45323</v>
      </c>
      <c r="C3161" t="s">
        <v>912</v>
      </c>
      <c r="D3161" s="18">
        <v>177.86</v>
      </c>
      <c r="E3161" s="32">
        <v>622.51</v>
      </c>
      <c r="F3161" s="15">
        <f>IFERROR(PRD[[#This Row],[VALOR]]/PRD[[#This Row],[KGS]],"")</f>
        <v>3.4999999999999996</v>
      </c>
    </row>
    <row r="3162" spans="1:6" x14ac:dyDescent="0.25">
      <c r="A3162" s="21">
        <v>3020318</v>
      </c>
      <c r="B3162" s="1">
        <v>45323</v>
      </c>
      <c r="C3162" t="s">
        <v>913</v>
      </c>
      <c r="D3162" s="18">
        <v>156.86000000000001</v>
      </c>
      <c r="E3162" s="32">
        <v>549.01</v>
      </c>
      <c r="F3162" s="15">
        <f>IFERROR(PRD[[#This Row],[VALOR]]/PRD[[#This Row],[KGS]],"")</f>
        <v>3.4999999999999996</v>
      </c>
    </row>
    <row r="3163" spans="1:6" x14ac:dyDescent="0.25">
      <c r="A3163" s="21">
        <v>3020319</v>
      </c>
      <c r="B3163" s="1">
        <v>45323</v>
      </c>
      <c r="C3163" t="s">
        <v>914</v>
      </c>
      <c r="D3163" s="18">
        <v>91.41</v>
      </c>
      <c r="E3163" s="32">
        <v>319.94</v>
      </c>
      <c r="F3163" s="15">
        <f>IFERROR(PRD[[#This Row],[VALOR]]/PRD[[#This Row],[KGS]],"")</f>
        <v>3.5000546986106555</v>
      </c>
    </row>
    <row r="3164" spans="1:6" x14ac:dyDescent="0.25">
      <c r="A3164" s="21">
        <v>3020402</v>
      </c>
      <c r="B3164" s="1">
        <v>45323</v>
      </c>
      <c r="C3164" t="s">
        <v>141</v>
      </c>
      <c r="D3164" s="18">
        <v>2285.5100000000002</v>
      </c>
      <c r="E3164" s="32">
        <v>7909.67</v>
      </c>
      <c r="F3164" s="15">
        <f>IFERROR(PRD[[#This Row],[VALOR]]/PRD[[#This Row],[KGS]],"")</f>
        <v>3.4607899331002705</v>
      </c>
    </row>
    <row r="3165" spans="1:6" x14ac:dyDescent="0.25">
      <c r="A3165" s="21">
        <v>3020504</v>
      </c>
      <c r="B3165" s="1">
        <v>45323</v>
      </c>
      <c r="C3165" t="s">
        <v>915</v>
      </c>
      <c r="D3165" s="18">
        <v>330.39</v>
      </c>
      <c r="E3165" s="32">
        <v>1243.96</v>
      </c>
      <c r="F3165" s="15">
        <f>IFERROR(PRD[[#This Row],[VALOR]]/PRD[[#This Row],[KGS]],"")</f>
        <v>3.7651260631375045</v>
      </c>
    </row>
    <row r="3166" spans="1:6" x14ac:dyDescent="0.25">
      <c r="A3166" s="21">
        <v>3020622</v>
      </c>
      <c r="B3166" s="1">
        <v>45323</v>
      </c>
      <c r="C3166" t="s">
        <v>145</v>
      </c>
      <c r="D3166" s="18">
        <v>6754.86</v>
      </c>
      <c r="E3166" s="32">
        <v>24975.279999999999</v>
      </c>
      <c r="F3166" s="15">
        <f>IFERROR(PRD[[#This Row],[VALOR]]/PRD[[#This Row],[KGS]],"")</f>
        <v>3.6973793683362794</v>
      </c>
    </row>
    <row r="3167" spans="1:6" x14ac:dyDescent="0.25">
      <c r="A3167" s="21">
        <v>3020623</v>
      </c>
      <c r="B3167" s="1">
        <v>45323</v>
      </c>
      <c r="C3167" t="s">
        <v>916</v>
      </c>
      <c r="D3167" s="18">
        <v>777.44</v>
      </c>
      <c r="E3167" s="32">
        <v>2990.37</v>
      </c>
      <c r="F3167" s="15">
        <f>IFERROR(PRD[[#This Row],[VALOR]]/PRD[[#This Row],[KGS]],"")</f>
        <v>3.8464318789874454</v>
      </c>
    </row>
    <row r="3168" spans="1:6" x14ac:dyDescent="0.25">
      <c r="A3168" s="21">
        <v>3020725</v>
      </c>
      <c r="B3168" s="1">
        <v>45323</v>
      </c>
      <c r="C3168" t="s">
        <v>917</v>
      </c>
      <c r="D3168" s="18">
        <v>280.70999999999998</v>
      </c>
      <c r="E3168" s="32">
        <v>1063.08</v>
      </c>
      <c r="F3168" s="15">
        <f>IFERROR(PRD[[#This Row],[VALOR]]/PRD[[#This Row],[KGS]],"")</f>
        <v>3.7871112536069251</v>
      </c>
    </row>
    <row r="3169" spans="1:6" x14ac:dyDescent="0.25">
      <c r="A3169" s="21">
        <v>3020823</v>
      </c>
      <c r="B3169" s="1">
        <v>45323</v>
      </c>
      <c r="C3169" t="s">
        <v>151</v>
      </c>
      <c r="D3169" s="18">
        <v>1866.1</v>
      </c>
      <c r="E3169" s="32">
        <v>7045.22</v>
      </c>
      <c r="F3169" s="15">
        <f>IFERROR(PRD[[#This Row],[VALOR]]/PRD[[#This Row],[KGS]],"")</f>
        <v>3.7753710947966348</v>
      </c>
    </row>
    <row r="3170" spans="1:6" x14ac:dyDescent="0.25">
      <c r="A3170" s="21">
        <v>3020824</v>
      </c>
      <c r="B3170" s="1">
        <v>45323</v>
      </c>
      <c r="C3170" t="s">
        <v>153</v>
      </c>
      <c r="D3170" s="18">
        <v>1764.76</v>
      </c>
      <c r="E3170" s="32">
        <v>6475.54</v>
      </c>
      <c r="F3170" s="15">
        <f>IFERROR(PRD[[#This Row],[VALOR]]/PRD[[#This Row],[KGS]],"")</f>
        <v>3.6693601396223849</v>
      </c>
    </row>
    <row r="3171" spans="1:6" x14ac:dyDescent="0.25">
      <c r="A3171" s="21">
        <v>3020825</v>
      </c>
      <c r="B3171" s="1">
        <v>45323</v>
      </c>
      <c r="C3171" t="s">
        <v>848</v>
      </c>
      <c r="D3171" s="18">
        <v>750.47</v>
      </c>
      <c r="E3171" s="32">
        <v>3076.91</v>
      </c>
      <c r="F3171" s="15">
        <f>IFERROR(PRD[[#This Row],[VALOR]]/PRD[[#This Row],[KGS]],"")</f>
        <v>4.0999773475288812</v>
      </c>
    </row>
    <row r="3172" spans="1:6" x14ac:dyDescent="0.25">
      <c r="A3172" s="21">
        <v>3020924</v>
      </c>
      <c r="B3172" s="1">
        <v>45323</v>
      </c>
      <c r="C3172" t="s">
        <v>155</v>
      </c>
      <c r="D3172" s="18">
        <v>1028.06</v>
      </c>
      <c r="E3172" s="32">
        <v>3864.14</v>
      </c>
      <c r="F3172" s="15">
        <f>IFERROR(PRD[[#This Row],[VALOR]]/PRD[[#This Row],[KGS]],"")</f>
        <v>3.7586716728595606</v>
      </c>
    </row>
    <row r="3173" spans="1:6" x14ac:dyDescent="0.25">
      <c r="A3173" s="21">
        <v>3020925</v>
      </c>
      <c r="B3173" s="1">
        <v>45323</v>
      </c>
      <c r="C3173" t="s">
        <v>157</v>
      </c>
      <c r="D3173" s="18">
        <v>1320.84</v>
      </c>
      <c r="E3173" s="32">
        <v>4940.12</v>
      </c>
      <c r="F3173" s="15">
        <f>IFERROR(PRD[[#This Row],[VALOR]]/PRD[[#This Row],[KGS]],"")</f>
        <v>3.7401350655643379</v>
      </c>
    </row>
    <row r="3174" spans="1:6" x14ac:dyDescent="0.25">
      <c r="A3174" s="21">
        <v>3021436</v>
      </c>
      <c r="B3174" s="1">
        <v>45323</v>
      </c>
      <c r="C3174" t="s">
        <v>546</v>
      </c>
      <c r="D3174" s="18">
        <v>326.8</v>
      </c>
      <c r="E3174" s="32">
        <v>1058.3900000000001</v>
      </c>
      <c r="F3174" s="15">
        <f>IFERROR(PRD[[#This Row],[VALOR]]/PRD[[#This Row],[KGS]],"")</f>
        <v>3.2386474908200737</v>
      </c>
    </row>
    <row r="3175" spans="1:6" x14ac:dyDescent="0.25">
      <c r="A3175" s="21">
        <v>3021538</v>
      </c>
      <c r="B3175" s="1">
        <v>45323</v>
      </c>
      <c r="C3175" t="s">
        <v>918</v>
      </c>
      <c r="D3175" s="18">
        <v>182.55</v>
      </c>
      <c r="E3175" s="32">
        <v>535.19000000000005</v>
      </c>
      <c r="F3175" s="15">
        <f>IFERROR(PRD[[#This Row],[VALOR]]/PRD[[#This Row],[KGS]],"")</f>
        <v>2.9317447274719255</v>
      </c>
    </row>
    <row r="3176" spans="1:6" x14ac:dyDescent="0.25">
      <c r="A3176" s="21">
        <v>3021639</v>
      </c>
      <c r="B3176" s="1">
        <v>45323</v>
      </c>
      <c r="C3176" t="s">
        <v>919</v>
      </c>
      <c r="D3176" s="18">
        <v>16.600000000000001</v>
      </c>
      <c r="E3176" s="32">
        <v>51.46</v>
      </c>
      <c r="F3176" s="15">
        <f>IFERROR(PRD[[#This Row],[VALOR]]/PRD[[#This Row],[KGS]],"")</f>
        <v>3.0999999999999996</v>
      </c>
    </row>
    <row r="3177" spans="1:6" x14ac:dyDescent="0.25">
      <c r="A3177" s="21">
        <v>3021740</v>
      </c>
      <c r="B3177" s="1">
        <v>45323</v>
      </c>
      <c r="C3177" t="s">
        <v>920</v>
      </c>
      <c r="D3177" s="18">
        <v>74.62</v>
      </c>
      <c r="E3177" s="32">
        <v>223.59</v>
      </c>
      <c r="F3177" s="15">
        <f>IFERROR(PRD[[#This Row],[VALOR]]/PRD[[#This Row],[KGS]],"")</f>
        <v>2.9963816671133743</v>
      </c>
    </row>
    <row r="3178" spans="1:6" x14ac:dyDescent="0.25">
      <c r="A3178" s="21">
        <v>3021760</v>
      </c>
      <c r="B3178" s="1">
        <v>45323</v>
      </c>
      <c r="C3178" t="s">
        <v>167</v>
      </c>
      <c r="D3178" s="18">
        <v>9576.6299999999992</v>
      </c>
      <c r="E3178" s="32">
        <v>18794.61</v>
      </c>
      <c r="F3178" s="15">
        <f>IFERROR(PRD[[#This Row],[VALOR]]/PRD[[#This Row],[KGS]],"")</f>
        <v>1.9625494563327603</v>
      </c>
    </row>
    <row r="3179" spans="1:6" x14ac:dyDescent="0.25">
      <c r="A3179" s="21">
        <v>3021811</v>
      </c>
      <c r="B3179" s="1">
        <v>45323</v>
      </c>
      <c r="C3179" t="s">
        <v>169</v>
      </c>
      <c r="D3179" s="18">
        <v>389.2</v>
      </c>
      <c r="E3179" s="32">
        <v>861.04</v>
      </c>
      <c r="F3179" s="15">
        <f>IFERROR(PRD[[#This Row],[VALOR]]/PRD[[#This Row],[KGS]],"")</f>
        <v>2.2123329907502569</v>
      </c>
    </row>
    <row r="3180" spans="1:6" x14ac:dyDescent="0.25">
      <c r="A3180" s="21">
        <v>3021812</v>
      </c>
      <c r="B3180" s="1">
        <v>45323</v>
      </c>
      <c r="C3180" t="s">
        <v>921</v>
      </c>
      <c r="D3180" s="18">
        <v>2757.59</v>
      </c>
      <c r="E3180" s="32">
        <v>5250.41</v>
      </c>
      <c r="F3180" s="15">
        <f>IFERROR(PRD[[#This Row],[VALOR]]/PRD[[#This Row],[KGS]],"")</f>
        <v>1.9039850013961466</v>
      </c>
    </row>
    <row r="3181" spans="1:6" x14ac:dyDescent="0.25">
      <c r="A3181" s="21">
        <v>3022100</v>
      </c>
      <c r="B3181" s="1">
        <v>45323</v>
      </c>
      <c r="C3181" t="s">
        <v>922</v>
      </c>
      <c r="D3181" s="18">
        <v>48.93</v>
      </c>
      <c r="E3181" s="32">
        <v>191.85</v>
      </c>
      <c r="F3181" s="15">
        <f>IFERROR(PRD[[#This Row],[VALOR]]/PRD[[#This Row],[KGS]],"")</f>
        <v>3.9209074187614958</v>
      </c>
    </row>
    <row r="3182" spans="1:6" x14ac:dyDescent="0.25">
      <c r="A3182" s="21">
        <v>3022208</v>
      </c>
      <c r="B3182" s="1">
        <v>45323</v>
      </c>
      <c r="C3182" t="s">
        <v>307</v>
      </c>
      <c r="D3182" s="18">
        <v>52.45</v>
      </c>
      <c r="E3182" s="32">
        <v>202.48</v>
      </c>
      <c r="F3182" s="15">
        <f>IFERROR(PRD[[#This Row],[VALOR]]/PRD[[#This Row],[KGS]],"")</f>
        <v>3.8604385128693992</v>
      </c>
    </row>
    <row r="3183" spans="1:6" x14ac:dyDescent="0.25">
      <c r="A3183" s="21">
        <v>3022311</v>
      </c>
      <c r="B3183" s="1">
        <v>45323</v>
      </c>
      <c r="C3183" t="s">
        <v>176</v>
      </c>
      <c r="D3183" s="18">
        <v>1812.38</v>
      </c>
      <c r="E3183" s="32">
        <v>4370.3999999999996</v>
      </c>
      <c r="F3183" s="15">
        <f>IFERROR(PRD[[#This Row],[VALOR]]/PRD[[#This Row],[KGS]],"")</f>
        <v>2.4114148247056355</v>
      </c>
    </row>
    <row r="3184" spans="1:6" x14ac:dyDescent="0.25">
      <c r="A3184" s="21">
        <v>3022411</v>
      </c>
      <c r="B3184" s="1">
        <v>45323</v>
      </c>
      <c r="C3184" t="s">
        <v>178</v>
      </c>
      <c r="D3184" s="18">
        <v>84.88</v>
      </c>
      <c r="E3184" s="32">
        <v>234.06</v>
      </c>
      <c r="F3184" s="15">
        <f>IFERROR(PRD[[#This Row],[VALOR]]/PRD[[#This Row],[KGS]],"")</f>
        <v>2.7575400565504244</v>
      </c>
    </row>
    <row r="3185" spans="1:6" x14ac:dyDescent="0.25">
      <c r="A3185" s="21">
        <v>3022511</v>
      </c>
      <c r="B3185" s="1">
        <v>45323</v>
      </c>
      <c r="C3185" t="s">
        <v>180</v>
      </c>
      <c r="D3185" s="18">
        <v>5.19</v>
      </c>
      <c r="E3185" s="32">
        <v>13.61</v>
      </c>
      <c r="F3185" s="15">
        <f>IFERROR(PRD[[#This Row],[VALOR]]/PRD[[#This Row],[KGS]],"")</f>
        <v>2.6223506743737954</v>
      </c>
    </row>
    <row r="3186" spans="1:6" x14ac:dyDescent="0.25">
      <c r="A3186" s="21">
        <v>3022601</v>
      </c>
      <c r="B3186" s="1">
        <v>45323</v>
      </c>
      <c r="C3186" t="s">
        <v>182</v>
      </c>
      <c r="D3186" s="18">
        <v>317.5</v>
      </c>
      <c r="E3186" s="32">
        <v>1221.6300000000001</v>
      </c>
      <c r="F3186" s="15">
        <f>IFERROR(PRD[[#This Row],[VALOR]]/PRD[[#This Row],[KGS]],"")</f>
        <v>3.8476535433070871</v>
      </c>
    </row>
    <row r="3187" spans="1:6" x14ac:dyDescent="0.25">
      <c r="A3187" s="21">
        <v>3022703</v>
      </c>
      <c r="B3187" s="1">
        <v>45323</v>
      </c>
      <c r="C3187" t="s">
        <v>309</v>
      </c>
      <c r="D3187" s="18">
        <v>606</v>
      </c>
      <c r="E3187" s="32">
        <v>1675.25</v>
      </c>
      <c r="F3187" s="15">
        <f>IFERROR(PRD[[#This Row],[VALOR]]/PRD[[#This Row],[KGS]],"")</f>
        <v>2.7644389438943895</v>
      </c>
    </row>
    <row r="3188" spans="1:6" x14ac:dyDescent="0.25">
      <c r="A3188" s="21">
        <v>3022805</v>
      </c>
      <c r="B3188" s="1">
        <v>45323</v>
      </c>
      <c r="C3188" t="s">
        <v>186</v>
      </c>
      <c r="D3188" s="18">
        <v>1890</v>
      </c>
      <c r="E3188" s="32">
        <v>3979.15</v>
      </c>
      <c r="F3188" s="15">
        <f>IFERROR(PRD[[#This Row],[VALOR]]/PRD[[#This Row],[KGS]],"")</f>
        <v>2.1053703703703706</v>
      </c>
    </row>
    <row r="3189" spans="1:6" x14ac:dyDescent="0.25">
      <c r="A3189" s="21">
        <v>3022906</v>
      </c>
      <c r="B3189" s="1">
        <v>45323</v>
      </c>
      <c r="C3189" t="s">
        <v>188</v>
      </c>
      <c r="D3189" s="18">
        <v>2720</v>
      </c>
      <c r="E3189" s="32">
        <v>5526.33</v>
      </c>
      <c r="F3189" s="15">
        <f>IFERROR(PRD[[#This Row],[VALOR]]/PRD[[#This Row],[KGS]],"")</f>
        <v>2.0317389705882354</v>
      </c>
    </row>
    <row r="3190" spans="1:6" x14ac:dyDescent="0.25">
      <c r="A3190" s="21">
        <v>3023007</v>
      </c>
      <c r="B3190" s="1">
        <v>45323</v>
      </c>
      <c r="C3190" t="s">
        <v>190</v>
      </c>
      <c r="D3190" s="18">
        <v>1280</v>
      </c>
      <c r="E3190" s="32">
        <v>2622.1</v>
      </c>
      <c r="F3190" s="15">
        <f>IFERROR(PRD[[#This Row],[VALOR]]/PRD[[#This Row],[KGS]],"")</f>
        <v>2.0485156249999998</v>
      </c>
    </row>
    <row r="3191" spans="1:6" x14ac:dyDescent="0.25">
      <c r="A3191" s="21">
        <v>3024001</v>
      </c>
      <c r="B3191" s="1">
        <v>45323</v>
      </c>
      <c r="C3191" t="s">
        <v>192</v>
      </c>
      <c r="D3191" s="18">
        <v>1433.5</v>
      </c>
      <c r="E3191" s="32">
        <v>5450.79</v>
      </c>
      <c r="F3191" s="15">
        <f>IFERROR(PRD[[#This Row],[VALOR]]/PRD[[#This Row],[KGS]],"")</f>
        <v>3.802434600627834</v>
      </c>
    </row>
    <row r="3192" spans="1:6" x14ac:dyDescent="0.25">
      <c r="A3192" s="21">
        <v>3024003</v>
      </c>
      <c r="B3192" s="1">
        <v>45323</v>
      </c>
      <c r="C3192" t="s">
        <v>196</v>
      </c>
      <c r="D3192" s="18">
        <v>335.34</v>
      </c>
      <c r="E3192" s="32">
        <v>947.85</v>
      </c>
      <c r="F3192" s="15">
        <f>IFERROR(PRD[[#This Row],[VALOR]]/PRD[[#This Row],[KGS]],"")</f>
        <v>2.8265342637323316</v>
      </c>
    </row>
    <row r="3193" spans="1:6" x14ac:dyDescent="0.25">
      <c r="A3193" s="21">
        <v>3024004</v>
      </c>
      <c r="B3193" s="1">
        <v>45323</v>
      </c>
      <c r="C3193" t="s">
        <v>198</v>
      </c>
      <c r="D3193" s="18">
        <v>1547.6</v>
      </c>
      <c r="E3193" s="32">
        <v>1585.6</v>
      </c>
      <c r="F3193" s="15">
        <f>IFERROR(PRD[[#This Row],[VALOR]]/PRD[[#This Row],[KGS]],"")</f>
        <v>1.024554148358749</v>
      </c>
    </row>
    <row r="3194" spans="1:6" x14ac:dyDescent="0.25">
      <c r="A3194" s="21">
        <v>4030100</v>
      </c>
      <c r="B3194" s="1">
        <v>45323</v>
      </c>
      <c r="C3194" t="s">
        <v>200</v>
      </c>
      <c r="D3194" s="18">
        <v>384.86</v>
      </c>
      <c r="E3194" s="32">
        <v>2395.41</v>
      </c>
      <c r="F3194" s="15">
        <f>IFERROR(PRD[[#This Row],[VALOR]]/PRD[[#This Row],[KGS]],"")</f>
        <v>6.2241074676505734</v>
      </c>
    </row>
    <row r="3195" spans="1:6" x14ac:dyDescent="0.25">
      <c r="A3195" s="21">
        <v>4030211</v>
      </c>
      <c r="B3195" s="1">
        <v>45323</v>
      </c>
      <c r="C3195" t="s">
        <v>202</v>
      </c>
      <c r="D3195" s="18">
        <v>636.88</v>
      </c>
      <c r="E3195" s="32">
        <v>3755.03</v>
      </c>
      <c r="F3195" s="15">
        <f>IFERROR(PRD[[#This Row],[VALOR]]/PRD[[#This Row],[KGS]],"")</f>
        <v>5.8959772641627941</v>
      </c>
    </row>
    <row r="3196" spans="1:6" x14ac:dyDescent="0.25">
      <c r="A3196" s="21">
        <v>4030311</v>
      </c>
      <c r="B3196" s="1">
        <v>45323</v>
      </c>
      <c r="C3196" t="s">
        <v>311</v>
      </c>
      <c r="D3196" s="18">
        <v>516.42999999999995</v>
      </c>
      <c r="E3196" s="32">
        <v>3375.67</v>
      </c>
      <c r="F3196" s="15">
        <f>IFERROR(PRD[[#This Row],[VALOR]]/PRD[[#This Row],[KGS]],"")</f>
        <v>6.536548999864455</v>
      </c>
    </row>
    <row r="3197" spans="1:6" x14ac:dyDescent="0.25">
      <c r="A3197" s="21">
        <v>4030401</v>
      </c>
      <c r="B3197" s="1">
        <v>45323</v>
      </c>
      <c r="C3197" t="s">
        <v>923</v>
      </c>
      <c r="D3197" s="18">
        <v>305.93</v>
      </c>
      <c r="E3197" s="32">
        <v>1511.84</v>
      </c>
      <c r="F3197" s="15">
        <f>IFERROR(PRD[[#This Row],[VALOR]]/PRD[[#This Row],[KGS]],"")</f>
        <v>4.9417840682509064</v>
      </c>
    </row>
    <row r="3198" spans="1:6" x14ac:dyDescent="0.25">
      <c r="A3198" s="21">
        <v>4030532</v>
      </c>
      <c r="B3198" s="1">
        <v>45323</v>
      </c>
      <c r="C3198" t="s">
        <v>924</v>
      </c>
      <c r="D3198" s="18">
        <v>302.33999999999997</v>
      </c>
      <c r="E3198" s="32">
        <v>1503.52</v>
      </c>
      <c r="F3198" s="15">
        <f>IFERROR(PRD[[#This Row],[VALOR]]/PRD[[#This Row],[KGS]],"")</f>
        <v>4.9729443672686386</v>
      </c>
    </row>
    <row r="3199" spans="1:6" x14ac:dyDescent="0.25">
      <c r="A3199" s="21">
        <v>4030600</v>
      </c>
      <c r="B3199" s="1">
        <v>45323</v>
      </c>
      <c r="C3199" t="s">
        <v>212</v>
      </c>
      <c r="D3199" s="18">
        <v>1187.83</v>
      </c>
      <c r="E3199" s="32">
        <v>3803.63</v>
      </c>
      <c r="F3199" s="15">
        <f>IFERROR(PRD[[#This Row],[VALOR]]/PRD[[#This Row],[KGS]],"")</f>
        <v>3.2021669767559335</v>
      </c>
    </row>
    <row r="3200" spans="1:6" x14ac:dyDescent="0.25">
      <c r="A3200" s="21">
        <v>4030711</v>
      </c>
      <c r="B3200" s="1">
        <v>45323</v>
      </c>
      <c r="C3200" t="s">
        <v>214</v>
      </c>
      <c r="D3200" s="18">
        <v>3651.24</v>
      </c>
      <c r="E3200" s="32">
        <v>11702.5</v>
      </c>
      <c r="F3200" s="15">
        <f>IFERROR(PRD[[#This Row],[VALOR]]/PRD[[#This Row],[KGS]],"")</f>
        <v>3.2050755359822967</v>
      </c>
    </row>
    <row r="3201" spans="1:6" x14ac:dyDescent="0.25">
      <c r="A3201" s="21">
        <v>4030811</v>
      </c>
      <c r="B3201" s="1">
        <v>45323</v>
      </c>
      <c r="C3201" t="s">
        <v>216</v>
      </c>
      <c r="D3201" s="18">
        <v>1326.12</v>
      </c>
      <c r="E3201" s="32">
        <v>4206.6899999999996</v>
      </c>
      <c r="F3201" s="15">
        <f>IFERROR(PRD[[#This Row],[VALOR]]/PRD[[#This Row],[KGS]],"")</f>
        <v>3.1721789883268481</v>
      </c>
    </row>
    <row r="3202" spans="1:6" x14ac:dyDescent="0.25">
      <c r="A3202" s="21">
        <v>4030813</v>
      </c>
      <c r="B3202" s="1">
        <v>45323</v>
      </c>
      <c r="C3202" t="s">
        <v>218</v>
      </c>
      <c r="D3202" s="18">
        <v>424.67</v>
      </c>
      <c r="E3202" s="32">
        <v>1180.5899999999999</v>
      </c>
      <c r="F3202" s="15">
        <f>IFERROR(PRD[[#This Row],[VALOR]]/PRD[[#This Row],[KGS]],"")</f>
        <v>2.7800174252949348</v>
      </c>
    </row>
    <row r="3203" spans="1:6" x14ac:dyDescent="0.25">
      <c r="A3203" s="21">
        <v>4030900</v>
      </c>
      <c r="B3203" s="1">
        <v>45323</v>
      </c>
      <c r="C3203" t="s">
        <v>220</v>
      </c>
      <c r="D3203" s="18">
        <v>5616.32</v>
      </c>
      <c r="E3203" s="32">
        <v>16883.16</v>
      </c>
      <c r="F3203" s="15">
        <f>IFERROR(PRD[[#This Row],[VALOR]]/PRD[[#This Row],[KGS]],"")</f>
        <v>3.0060893966155775</v>
      </c>
    </row>
    <row r="3204" spans="1:6" x14ac:dyDescent="0.25">
      <c r="A3204" s="21">
        <v>4030910</v>
      </c>
      <c r="B3204" s="1">
        <v>45323</v>
      </c>
      <c r="C3204" t="s">
        <v>222</v>
      </c>
      <c r="D3204" s="18">
        <v>86.93</v>
      </c>
      <c r="E3204" s="32">
        <v>277.17</v>
      </c>
      <c r="F3204" s="15">
        <f>IFERROR(PRD[[#This Row],[VALOR]]/PRD[[#This Row],[KGS]],"")</f>
        <v>3.1884274703784654</v>
      </c>
    </row>
    <row r="3205" spans="1:6" x14ac:dyDescent="0.25">
      <c r="A3205" s="21">
        <v>4031012</v>
      </c>
      <c r="B3205" s="1">
        <v>45323</v>
      </c>
      <c r="C3205" t="s">
        <v>925</v>
      </c>
      <c r="D3205" s="18">
        <v>1291.57</v>
      </c>
      <c r="E3205" s="32">
        <v>4032.58</v>
      </c>
      <c r="F3205" s="15">
        <f>IFERROR(PRD[[#This Row],[VALOR]]/PRD[[#This Row],[KGS]],"")</f>
        <v>3.122231083100413</v>
      </c>
    </row>
    <row r="3206" spans="1:6" x14ac:dyDescent="0.25">
      <c r="A3206" s="21">
        <v>4031017</v>
      </c>
      <c r="B3206" s="1">
        <v>45323</v>
      </c>
      <c r="C3206" t="s">
        <v>926</v>
      </c>
      <c r="D3206" s="18">
        <v>344</v>
      </c>
      <c r="E3206" s="32">
        <v>237.72</v>
      </c>
      <c r="F3206" s="15">
        <f>IFERROR(PRD[[#This Row],[VALOR]]/PRD[[#This Row],[KGS]],"")</f>
        <v>0.69104651162790698</v>
      </c>
    </row>
    <row r="3207" spans="1:6" x14ac:dyDescent="0.25">
      <c r="A3207" s="21">
        <v>4031019</v>
      </c>
      <c r="B3207" s="1">
        <v>45323</v>
      </c>
      <c r="C3207" t="s">
        <v>226</v>
      </c>
      <c r="D3207" s="18">
        <v>1889</v>
      </c>
      <c r="E3207" s="32">
        <v>1208.96</v>
      </c>
      <c r="F3207" s="15">
        <f>IFERROR(PRD[[#This Row],[VALOR]]/PRD[[#This Row],[KGS]],"")</f>
        <v>0.64</v>
      </c>
    </row>
    <row r="3208" spans="1:6" x14ac:dyDescent="0.25">
      <c r="A3208" s="21">
        <v>4031102</v>
      </c>
      <c r="B3208" s="1">
        <v>45323</v>
      </c>
      <c r="C3208" t="s">
        <v>228</v>
      </c>
      <c r="D3208" s="18">
        <v>10703.7</v>
      </c>
      <c r="E3208" s="32">
        <v>31570.959999999999</v>
      </c>
      <c r="F3208" s="15">
        <f>IFERROR(PRD[[#This Row],[VALOR]]/PRD[[#This Row],[KGS]],"")</f>
        <v>2.9495370759643857</v>
      </c>
    </row>
    <row r="3209" spans="1:6" x14ac:dyDescent="0.25">
      <c r="A3209" s="21">
        <v>4031200</v>
      </c>
      <c r="B3209" s="1">
        <v>45323</v>
      </c>
      <c r="C3209" t="s">
        <v>927</v>
      </c>
      <c r="D3209" s="18">
        <v>1153.4000000000001</v>
      </c>
      <c r="E3209" s="32">
        <v>3474.74</v>
      </c>
      <c r="F3209" s="15">
        <f>IFERROR(PRD[[#This Row],[VALOR]]/PRD[[#This Row],[KGS]],"")</f>
        <v>3.0126062077336564</v>
      </c>
    </row>
    <row r="3210" spans="1:6" x14ac:dyDescent="0.25">
      <c r="A3210" s="21">
        <v>4031304</v>
      </c>
      <c r="B3210" s="1">
        <v>45323</v>
      </c>
      <c r="C3210" t="s">
        <v>928</v>
      </c>
      <c r="D3210" s="18">
        <v>1143.05</v>
      </c>
      <c r="E3210" s="32">
        <v>3373.52</v>
      </c>
      <c r="F3210" s="15">
        <f>IFERROR(PRD[[#This Row],[VALOR]]/PRD[[#This Row],[KGS]],"")</f>
        <v>2.9513319627312891</v>
      </c>
    </row>
    <row r="3211" spans="1:6" x14ac:dyDescent="0.25">
      <c r="A3211" s="21">
        <v>4031411</v>
      </c>
      <c r="B3211" s="1">
        <v>45323</v>
      </c>
      <c r="C3211" t="s">
        <v>234</v>
      </c>
      <c r="D3211" s="18">
        <v>55.41</v>
      </c>
      <c r="E3211" s="32">
        <v>169.66</v>
      </c>
      <c r="F3211" s="15">
        <f>IFERROR(PRD[[#This Row],[VALOR]]/PRD[[#This Row],[KGS]],"")</f>
        <v>3.06190218372135</v>
      </c>
    </row>
    <row r="3212" spans="1:6" x14ac:dyDescent="0.25">
      <c r="A3212" s="21">
        <v>4031500</v>
      </c>
      <c r="B3212" s="1">
        <v>45323</v>
      </c>
      <c r="C3212" t="s">
        <v>236</v>
      </c>
      <c r="D3212" s="18">
        <v>5660.28</v>
      </c>
      <c r="E3212" s="32">
        <v>16125.54</v>
      </c>
      <c r="F3212" s="15">
        <f>IFERROR(PRD[[#This Row],[VALOR]]/PRD[[#This Row],[KGS]],"")</f>
        <v>2.8488944009836974</v>
      </c>
    </row>
    <row r="3213" spans="1:6" x14ac:dyDescent="0.25">
      <c r="A3213" s="21">
        <v>4031604</v>
      </c>
      <c r="B3213" s="1">
        <v>45323</v>
      </c>
      <c r="C3213" t="s">
        <v>238</v>
      </c>
      <c r="D3213" s="18">
        <v>5581.18</v>
      </c>
      <c r="E3213" s="32">
        <v>15253.3</v>
      </c>
      <c r="F3213" s="15">
        <f>IFERROR(PRD[[#This Row],[VALOR]]/PRD[[#This Row],[KGS]],"")</f>
        <v>2.7329883644677286</v>
      </c>
    </row>
    <row r="3214" spans="1:6" x14ac:dyDescent="0.25">
      <c r="A3214" s="21">
        <v>4031605</v>
      </c>
      <c r="B3214" s="1">
        <v>45323</v>
      </c>
      <c r="C3214" t="s">
        <v>240</v>
      </c>
      <c r="D3214" s="18">
        <v>56.17</v>
      </c>
      <c r="E3214" s="32">
        <v>180.27</v>
      </c>
      <c r="F3214" s="15">
        <f>IFERROR(PRD[[#This Row],[VALOR]]/PRD[[#This Row],[KGS]],"")</f>
        <v>3.2093644294107175</v>
      </c>
    </row>
    <row r="3215" spans="1:6" x14ac:dyDescent="0.25">
      <c r="A3215" s="21">
        <v>4031700</v>
      </c>
      <c r="B3215" s="1">
        <v>45323</v>
      </c>
      <c r="C3215" t="s">
        <v>929</v>
      </c>
      <c r="D3215" s="18">
        <v>616.97</v>
      </c>
      <c r="E3215" s="32">
        <v>1842.29</v>
      </c>
      <c r="F3215" s="15">
        <f>IFERROR(PRD[[#This Row],[VALOR]]/PRD[[#This Row],[KGS]],"")</f>
        <v>2.9860284940920949</v>
      </c>
    </row>
    <row r="3216" spans="1:6" x14ac:dyDescent="0.25">
      <c r="A3216" s="21">
        <v>4031812</v>
      </c>
      <c r="B3216" s="1">
        <v>45323</v>
      </c>
      <c r="C3216" t="s">
        <v>930</v>
      </c>
      <c r="D3216" s="18">
        <v>458.12</v>
      </c>
      <c r="E3216" s="32">
        <v>1437.79</v>
      </c>
      <c r="F3216" s="15">
        <f>IFERROR(PRD[[#This Row],[VALOR]]/PRD[[#This Row],[KGS]],"")</f>
        <v>3.1384571727931547</v>
      </c>
    </row>
    <row r="3217" spans="1:6" x14ac:dyDescent="0.25">
      <c r="A3217" s="21">
        <v>4031813</v>
      </c>
      <c r="B3217" s="1">
        <v>45323</v>
      </c>
      <c r="C3217" t="s">
        <v>931</v>
      </c>
      <c r="D3217" s="18">
        <v>559</v>
      </c>
      <c r="E3217" s="32">
        <v>366.17</v>
      </c>
      <c r="F3217" s="15">
        <f>IFERROR(PRD[[#This Row],[VALOR]]/PRD[[#This Row],[KGS]],"")</f>
        <v>0.65504472271914138</v>
      </c>
    </row>
    <row r="3218" spans="1:6" x14ac:dyDescent="0.25">
      <c r="A3218" s="21">
        <v>4031904</v>
      </c>
      <c r="B3218" s="1">
        <v>45323</v>
      </c>
      <c r="C3218" t="s">
        <v>932</v>
      </c>
      <c r="D3218" s="18">
        <v>863.32</v>
      </c>
      <c r="E3218" s="32">
        <v>2549.25</v>
      </c>
      <c r="F3218" s="15">
        <f>IFERROR(PRD[[#This Row],[VALOR]]/PRD[[#This Row],[KGS]],"")</f>
        <v>2.9528448315804106</v>
      </c>
    </row>
    <row r="3219" spans="1:6" x14ac:dyDescent="0.25">
      <c r="A3219" s="21">
        <v>4032111</v>
      </c>
      <c r="B3219" s="1">
        <v>45323</v>
      </c>
      <c r="C3219" t="s">
        <v>314</v>
      </c>
      <c r="D3219" s="18">
        <v>2.74</v>
      </c>
      <c r="E3219" s="32">
        <v>14.66</v>
      </c>
      <c r="F3219" s="15">
        <f>IFERROR(PRD[[#This Row],[VALOR]]/PRD[[#This Row],[KGS]],"")</f>
        <v>5.3503649635036492</v>
      </c>
    </row>
    <row r="3220" spans="1:6" x14ac:dyDescent="0.25">
      <c r="A3220" s="21">
        <v>4032205</v>
      </c>
      <c r="B3220" s="1">
        <v>45323</v>
      </c>
      <c r="C3220" t="s">
        <v>553</v>
      </c>
      <c r="D3220" s="18">
        <v>188.41</v>
      </c>
      <c r="E3220" s="32">
        <v>980.02</v>
      </c>
      <c r="F3220" s="15">
        <f>IFERROR(PRD[[#This Row],[VALOR]]/PRD[[#This Row],[KGS]],"")</f>
        <v>5.2015285812854941</v>
      </c>
    </row>
    <row r="3221" spans="1:6" x14ac:dyDescent="0.25">
      <c r="A3221" s="21">
        <v>4032206</v>
      </c>
      <c r="B3221" s="1">
        <v>45323</v>
      </c>
      <c r="C3221" t="s">
        <v>555</v>
      </c>
      <c r="D3221" s="18">
        <v>72.209999999999994</v>
      </c>
      <c r="E3221" s="32">
        <v>359.96</v>
      </c>
      <c r="F3221" s="15">
        <f>IFERROR(PRD[[#This Row],[VALOR]]/PRD[[#This Row],[KGS]],"")</f>
        <v>4.9849051377925493</v>
      </c>
    </row>
    <row r="3222" spans="1:6" x14ac:dyDescent="0.25">
      <c r="A3222" s="21">
        <v>4032312</v>
      </c>
      <c r="B3222" s="1">
        <v>45323</v>
      </c>
      <c r="C3222" t="s">
        <v>252</v>
      </c>
      <c r="D3222" s="18">
        <v>477.57</v>
      </c>
      <c r="E3222" s="32">
        <v>1695.89</v>
      </c>
      <c r="F3222" s="15">
        <f>IFERROR(PRD[[#This Row],[VALOR]]/PRD[[#This Row],[KGS]],"")</f>
        <v>3.5510815168456982</v>
      </c>
    </row>
    <row r="3223" spans="1:6" x14ac:dyDescent="0.25">
      <c r="A3223" s="21">
        <v>4032404</v>
      </c>
      <c r="B3223" s="1">
        <v>45323</v>
      </c>
      <c r="C3223" t="s">
        <v>254</v>
      </c>
      <c r="D3223" s="18">
        <v>129.86000000000001</v>
      </c>
      <c r="E3223" s="32">
        <v>555.25</v>
      </c>
      <c r="F3223" s="15">
        <f>IFERROR(PRD[[#This Row],[VALOR]]/PRD[[#This Row],[KGS]],"")</f>
        <v>4.2757585091637145</v>
      </c>
    </row>
    <row r="3224" spans="1:6" x14ac:dyDescent="0.25">
      <c r="A3224" s="21">
        <v>4032500</v>
      </c>
      <c r="B3224" s="1">
        <v>45323</v>
      </c>
      <c r="C3224" t="s">
        <v>256</v>
      </c>
      <c r="D3224" s="18">
        <v>363.8</v>
      </c>
      <c r="E3224" s="32">
        <v>1048.71</v>
      </c>
      <c r="F3224" s="15">
        <f>IFERROR(PRD[[#This Row],[VALOR]]/PRD[[#This Row],[KGS]],"")</f>
        <v>2.8826553051126993</v>
      </c>
    </row>
    <row r="3225" spans="1:6" x14ac:dyDescent="0.25">
      <c r="A3225" s="21">
        <v>4032611</v>
      </c>
      <c r="B3225" s="1">
        <v>45323</v>
      </c>
      <c r="C3225" t="s">
        <v>258</v>
      </c>
      <c r="D3225" s="18">
        <v>81.36</v>
      </c>
      <c r="E3225" s="32">
        <v>253.26</v>
      </c>
      <c r="F3225" s="15">
        <f>IFERROR(PRD[[#This Row],[VALOR]]/PRD[[#This Row],[KGS]],"")</f>
        <v>3.1128318584070795</v>
      </c>
    </row>
    <row r="3226" spans="1:6" x14ac:dyDescent="0.25">
      <c r="A3226" s="21">
        <v>4032612</v>
      </c>
      <c r="B3226" s="1">
        <v>45323</v>
      </c>
      <c r="C3226" t="s">
        <v>933</v>
      </c>
      <c r="D3226" s="18">
        <v>127.54</v>
      </c>
      <c r="E3226" s="32">
        <v>68.87</v>
      </c>
      <c r="F3226" s="15">
        <f>IFERROR(PRD[[#This Row],[VALOR]]/PRD[[#This Row],[KGS]],"")</f>
        <v>0.53998745491610478</v>
      </c>
    </row>
    <row r="3227" spans="1:6" x14ac:dyDescent="0.25">
      <c r="A3227" s="21">
        <v>4032704</v>
      </c>
      <c r="B3227" s="1">
        <v>45323</v>
      </c>
      <c r="C3227" t="s">
        <v>260</v>
      </c>
      <c r="D3227" s="18">
        <v>490.21</v>
      </c>
      <c r="E3227" s="32">
        <v>1449.71</v>
      </c>
      <c r="F3227" s="15">
        <f>IFERROR(PRD[[#This Row],[VALOR]]/PRD[[#This Row],[KGS]],"")</f>
        <v>2.9573244119866997</v>
      </c>
    </row>
    <row r="3228" spans="1:6" x14ac:dyDescent="0.25">
      <c r="A3228" s="21">
        <v>4032800</v>
      </c>
      <c r="B3228" s="1">
        <v>45323</v>
      </c>
      <c r="C3228" t="s">
        <v>262</v>
      </c>
      <c r="D3228" s="18">
        <v>377.82</v>
      </c>
      <c r="E3228" s="32">
        <v>2019.46</v>
      </c>
      <c r="F3228" s="15">
        <f>IFERROR(PRD[[#This Row],[VALOR]]/PRD[[#This Row],[KGS]],"")</f>
        <v>5.3450320258324071</v>
      </c>
    </row>
    <row r="3229" spans="1:6" x14ac:dyDescent="0.25">
      <c r="A3229" s="21">
        <v>4032902</v>
      </c>
      <c r="B3229" s="1">
        <v>45323</v>
      </c>
      <c r="C3229" t="s">
        <v>264</v>
      </c>
      <c r="D3229" s="18">
        <v>687.8</v>
      </c>
      <c r="E3229" s="32">
        <v>3639.36</v>
      </c>
      <c r="F3229" s="15">
        <f>IFERROR(PRD[[#This Row],[VALOR]]/PRD[[#This Row],[KGS]],"")</f>
        <v>5.29130561209654</v>
      </c>
    </row>
    <row r="3230" spans="1:6" x14ac:dyDescent="0.25">
      <c r="A3230" s="21">
        <v>4033011</v>
      </c>
      <c r="B3230" s="1">
        <v>45323</v>
      </c>
      <c r="C3230" t="s">
        <v>266</v>
      </c>
      <c r="D3230" s="18">
        <v>314.92</v>
      </c>
      <c r="E3230" s="32">
        <v>1602.26</v>
      </c>
      <c r="F3230" s="15">
        <f>IFERROR(PRD[[#This Row],[VALOR]]/PRD[[#This Row],[KGS]],"")</f>
        <v>5.0878318303061096</v>
      </c>
    </row>
    <row r="3231" spans="1:6" x14ac:dyDescent="0.25">
      <c r="A3231" s="21">
        <v>4033111</v>
      </c>
      <c r="B3231" s="1">
        <v>45323</v>
      </c>
      <c r="C3231" t="s">
        <v>268</v>
      </c>
      <c r="D3231" s="18">
        <v>710.46</v>
      </c>
      <c r="E3231" s="32">
        <v>3076.54</v>
      </c>
      <c r="F3231" s="15">
        <f>IFERROR(PRD[[#This Row],[VALOR]]/PRD[[#This Row],[KGS]],"")</f>
        <v>4.3303493511246236</v>
      </c>
    </row>
    <row r="3232" spans="1:6" x14ac:dyDescent="0.25">
      <c r="A3232" s="21">
        <v>4033211</v>
      </c>
      <c r="B3232" s="1">
        <v>45323</v>
      </c>
      <c r="C3232" t="s">
        <v>270</v>
      </c>
      <c r="D3232" s="18">
        <v>96.87</v>
      </c>
      <c r="E3232" s="32">
        <v>415.31</v>
      </c>
      <c r="F3232" s="15">
        <f>IFERROR(PRD[[#This Row],[VALOR]]/PRD[[#This Row],[KGS]],"")</f>
        <v>4.2872922473417985</v>
      </c>
    </row>
    <row r="3233" spans="1:6" x14ac:dyDescent="0.25">
      <c r="A3233" s="21">
        <v>4033311</v>
      </c>
      <c r="B3233" s="1">
        <v>45323</v>
      </c>
      <c r="C3233" t="s">
        <v>272</v>
      </c>
      <c r="D3233" s="18">
        <v>17.02</v>
      </c>
      <c r="E3233" s="32">
        <v>105.08</v>
      </c>
      <c r="F3233" s="15">
        <f>IFERROR(PRD[[#This Row],[VALOR]]/PRD[[#This Row],[KGS]],"")</f>
        <v>6.1739130434782608</v>
      </c>
    </row>
    <row r="3234" spans="1:6" x14ac:dyDescent="0.25">
      <c r="A3234" s="21">
        <v>4033400</v>
      </c>
      <c r="B3234" s="1">
        <v>45323</v>
      </c>
      <c r="C3234" t="s">
        <v>274</v>
      </c>
      <c r="D3234" s="18">
        <v>1072.4000000000001</v>
      </c>
      <c r="E3234" s="32">
        <v>3326.6</v>
      </c>
      <c r="F3234" s="15">
        <f>IFERROR(PRD[[#This Row],[VALOR]]/PRD[[#This Row],[KGS]],"")</f>
        <v>3.1020141738157401</v>
      </c>
    </row>
    <row r="3235" spans="1:6" x14ac:dyDescent="0.25">
      <c r="A3235" s="21">
        <v>4033511</v>
      </c>
      <c r="B3235" s="1">
        <v>45323</v>
      </c>
      <c r="C3235" t="s">
        <v>276</v>
      </c>
      <c r="D3235" s="18">
        <v>4269.75</v>
      </c>
      <c r="E3235" s="32">
        <v>13375.65</v>
      </c>
      <c r="F3235" s="15">
        <f>IFERROR(PRD[[#This Row],[VALOR]]/PRD[[#This Row],[KGS]],"")</f>
        <v>3.1326541366590548</v>
      </c>
    </row>
    <row r="3236" spans="1:6" x14ac:dyDescent="0.25">
      <c r="A3236" s="21">
        <v>4033900</v>
      </c>
      <c r="B3236" s="1">
        <v>45323</v>
      </c>
      <c r="C3236" t="s">
        <v>278</v>
      </c>
      <c r="D3236" s="18">
        <v>44.16</v>
      </c>
      <c r="E3236" s="32">
        <v>224.3</v>
      </c>
      <c r="F3236" s="15">
        <f>IFERROR(PRD[[#This Row],[VALOR]]/PRD[[#This Row],[KGS]],"")</f>
        <v>5.0792572463768124</v>
      </c>
    </row>
    <row r="3237" spans="1:6" x14ac:dyDescent="0.25">
      <c r="A3237" s="21">
        <v>4034011</v>
      </c>
      <c r="B3237" s="1">
        <v>45323</v>
      </c>
      <c r="C3237" t="s">
        <v>280</v>
      </c>
      <c r="D3237" s="18">
        <v>774.11</v>
      </c>
      <c r="E3237" s="32">
        <v>4048.97</v>
      </c>
      <c r="F3237" s="15">
        <f>IFERROR(PRD[[#This Row],[VALOR]]/PRD[[#This Row],[KGS]],"")</f>
        <v>5.2304840397359547</v>
      </c>
    </row>
    <row r="3238" spans="1:6" x14ac:dyDescent="0.25">
      <c r="A3238" s="21">
        <v>4034012</v>
      </c>
      <c r="B3238" s="1">
        <v>45323</v>
      </c>
      <c r="C3238" t="s">
        <v>934</v>
      </c>
      <c r="D3238" s="18">
        <v>1408.5</v>
      </c>
      <c r="E3238" s="32">
        <v>1806.59</v>
      </c>
      <c r="F3238" s="15">
        <f>IFERROR(PRD[[#This Row],[VALOR]]/PRD[[#This Row],[KGS]],"")</f>
        <v>1.2826340078097267</v>
      </c>
    </row>
    <row r="3239" spans="1:6" x14ac:dyDescent="0.25">
      <c r="A3239" s="21">
        <v>4034211</v>
      </c>
      <c r="B3239" s="1">
        <v>45323</v>
      </c>
      <c r="C3239" t="s">
        <v>282</v>
      </c>
      <c r="D3239" s="18">
        <v>200.69</v>
      </c>
      <c r="E3239" s="32">
        <v>865.81</v>
      </c>
      <c r="F3239" s="15">
        <f>IFERROR(PRD[[#This Row],[VALOR]]/PRD[[#This Row],[KGS]],"")</f>
        <v>4.3141661268623244</v>
      </c>
    </row>
    <row r="3240" spans="1:6" x14ac:dyDescent="0.25">
      <c r="A3240" s="21">
        <v>4034400</v>
      </c>
      <c r="B3240" s="1">
        <v>45323</v>
      </c>
      <c r="C3240" t="s">
        <v>284</v>
      </c>
      <c r="D3240" s="18">
        <v>257.88</v>
      </c>
      <c r="E3240" s="32">
        <v>690.66</v>
      </c>
      <c r="F3240" s="15">
        <f>IFERROR(PRD[[#This Row],[VALOR]]/PRD[[#This Row],[KGS]],"")</f>
        <v>2.6782224290367611</v>
      </c>
    </row>
    <row r="3241" spans="1:6" x14ac:dyDescent="0.25">
      <c r="A3241" s="21">
        <v>4034502</v>
      </c>
      <c r="B3241" s="1">
        <v>45323</v>
      </c>
      <c r="C3241" t="s">
        <v>286</v>
      </c>
      <c r="D3241" s="18">
        <v>359.25</v>
      </c>
      <c r="E3241" s="32">
        <v>1014.78</v>
      </c>
      <c r="F3241" s="15">
        <f>IFERROR(PRD[[#This Row],[VALOR]]/PRD[[#This Row],[KGS]],"")</f>
        <v>2.8247181628392481</v>
      </c>
    </row>
    <row r="3242" spans="1:6" x14ac:dyDescent="0.25">
      <c r="A3242" s="21">
        <v>8030004</v>
      </c>
      <c r="B3242" s="1">
        <v>45323</v>
      </c>
      <c r="C3242" t="s">
        <v>697</v>
      </c>
      <c r="D3242" s="18">
        <v>5</v>
      </c>
      <c r="E3242" s="32">
        <v>50</v>
      </c>
      <c r="F3242" s="15">
        <f>IFERROR(PRD[[#This Row],[VALOR]]/PRD[[#This Row],[KGS]],"")</f>
        <v>10</v>
      </c>
    </row>
    <row r="3243" spans="1:6" x14ac:dyDescent="0.25">
      <c r="A3243" s="21">
        <v>8040008</v>
      </c>
      <c r="B3243" s="1">
        <v>45323</v>
      </c>
      <c r="C3243" t="s">
        <v>935</v>
      </c>
      <c r="D3243" s="18">
        <v>102.4</v>
      </c>
      <c r="E3243" s="32">
        <v>839.68</v>
      </c>
      <c r="F3243" s="15">
        <f>IFERROR(PRD[[#This Row],[VALOR]]/PRD[[#This Row],[KGS]],"")</f>
        <v>8.1999999999999993</v>
      </c>
    </row>
    <row r="3244" spans="1:6" x14ac:dyDescent="0.25">
      <c r="A3244" s="21">
        <v>8040011</v>
      </c>
      <c r="B3244" s="1">
        <v>45323</v>
      </c>
      <c r="C3244" t="s">
        <v>936</v>
      </c>
      <c r="D3244" s="18">
        <v>178</v>
      </c>
      <c r="E3244" s="32">
        <v>450.75</v>
      </c>
      <c r="F3244" s="15">
        <f>IFERROR(PRD[[#This Row],[VALOR]]/PRD[[#This Row],[KGS]],"")</f>
        <v>2.5323033707865168</v>
      </c>
    </row>
    <row r="3245" spans="1:6" x14ac:dyDescent="0.25">
      <c r="A3245" s="21">
        <v>8040012</v>
      </c>
      <c r="B3245" s="1">
        <v>45323</v>
      </c>
      <c r="C3245" t="s">
        <v>561</v>
      </c>
      <c r="D3245" s="18">
        <v>80</v>
      </c>
      <c r="E3245" s="32">
        <v>191.2</v>
      </c>
      <c r="F3245" s="15">
        <f>IFERROR(PRD[[#This Row],[VALOR]]/PRD[[#This Row],[KGS]],"")</f>
        <v>2.3899999999999997</v>
      </c>
    </row>
    <row r="3246" spans="1:6" x14ac:dyDescent="0.25">
      <c r="A3246" s="21">
        <v>8040037</v>
      </c>
      <c r="B3246" s="1">
        <v>45323</v>
      </c>
      <c r="C3246" t="s">
        <v>937</v>
      </c>
      <c r="D3246" s="18">
        <v>6.4</v>
      </c>
      <c r="E3246" s="32">
        <v>82.56</v>
      </c>
      <c r="F3246" s="15">
        <f>IFERROR(PRD[[#This Row],[VALOR]]/PRD[[#This Row],[KGS]],"")</f>
        <v>12.9</v>
      </c>
    </row>
    <row r="3247" spans="1:6" x14ac:dyDescent="0.25">
      <c r="A3247" s="21">
        <v>8040048</v>
      </c>
      <c r="B3247" s="1">
        <v>45323</v>
      </c>
      <c r="C3247" t="s">
        <v>699</v>
      </c>
      <c r="D3247" s="18">
        <v>1280</v>
      </c>
      <c r="E3247" s="32">
        <v>3136</v>
      </c>
      <c r="F3247" s="15">
        <f>IFERROR(PRD[[#This Row],[VALOR]]/PRD[[#This Row],[KGS]],"")</f>
        <v>2.4500000000000002</v>
      </c>
    </row>
    <row r="3248" spans="1:6" x14ac:dyDescent="0.25">
      <c r="A3248" s="21">
        <v>8040053</v>
      </c>
      <c r="B3248" s="1">
        <v>45323</v>
      </c>
      <c r="C3248" t="s">
        <v>938</v>
      </c>
      <c r="D3248" s="18">
        <v>37.799999999999997</v>
      </c>
      <c r="E3248" s="32">
        <v>413.91</v>
      </c>
      <c r="F3248" s="15">
        <f>IFERROR(PRD[[#This Row],[VALOR]]/PRD[[#This Row],[KGS]],"")</f>
        <v>10.950000000000001</v>
      </c>
    </row>
    <row r="3249" spans="1:6" x14ac:dyDescent="0.25">
      <c r="A3249" s="21">
        <v>8040063</v>
      </c>
      <c r="B3249" s="1">
        <v>45323</v>
      </c>
      <c r="C3249" t="s">
        <v>939</v>
      </c>
      <c r="D3249" s="18">
        <v>8</v>
      </c>
      <c r="E3249" s="32">
        <v>63.84</v>
      </c>
      <c r="F3249" s="15">
        <f>IFERROR(PRD[[#This Row],[VALOR]]/PRD[[#This Row],[KGS]],"")</f>
        <v>7.98</v>
      </c>
    </row>
    <row r="3250" spans="1:6" x14ac:dyDescent="0.25">
      <c r="A3250" s="21">
        <v>8050008</v>
      </c>
      <c r="B3250" s="1">
        <v>45323</v>
      </c>
      <c r="C3250" t="s">
        <v>940</v>
      </c>
      <c r="D3250" s="18">
        <v>2</v>
      </c>
      <c r="E3250" s="32">
        <v>12</v>
      </c>
      <c r="F3250" s="15">
        <f>IFERROR(PRD[[#This Row],[VALOR]]/PRD[[#This Row],[KGS]],"")</f>
        <v>6</v>
      </c>
    </row>
    <row r="3251" spans="1:6" x14ac:dyDescent="0.25">
      <c r="A3251" s="21">
        <v>8060001</v>
      </c>
      <c r="B3251" s="1">
        <v>45323</v>
      </c>
      <c r="C3251" t="s">
        <v>325</v>
      </c>
      <c r="D3251" s="18">
        <v>100</v>
      </c>
      <c r="E3251" s="32">
        <v>580</v>
      </c>
      <c r="F3251" s="15">
        <f>IFERROR(PRD[[#This Row],[VALOR]]/PRD[[#This Row],[KGS]],"")</f>
        <v>5.8</v>
      </c>
    </row>
    <row r="3252" spans="1:6" x14ac:dyDescent="0.25">
      <c r="A3252" s="21">
        <v>8070013</v>
      </c>
      <c r="B3252" s="1">
        <v>45323</v>
      </c>
      <c r="C3252" t="s">
        <v>941</v>
      </c>
      <c r="D3252" s="18">
        <v>1.9</v>
      </c>
      <c r="E3252" s="32">
        <v>11.97</v>
      </c>
      <c r="F3252" s="15">
        <f>IFERROR(PRD[[#This Row],[VALOR]]/PRD[[#This Row],[KGS]],"")</f>
        <v>6.3000000000000007</v>
      </c>
    </row>
    <row r="3253" spans="1:6" x14ac:dyDescent="0.25">
      <c r="A3253" s="21">
        <v>8070029</v>
      </c>
      <c r="B3253" s="1">
        <v>45323</v>
      </c>
      <c r="C3253" t="s">
        <v>942</v>
      </c>
      <c r="D3253" s="18">
        <v>1.3</v>
      </c>
      <c r="E3253" s="32">
        <v>5.03</v>
      </c>
      <c r="F3253" s="15">
        <f>IFERROR(PRD[[#This Row],[VALOR]]/PRD[[#This Row],[KGS]],"")</f>
        <v>3.8692307692307693</v>
      </c>
    </row>
    <row r="3254" spans="1:6" x14ac:dyDescent="0.25">
      <c r="A3254" s="21">
        <v>8070052</v>
      </c>
      <c r="B3254" s="1">
        <v>45323</v>
      </c>
      <c r="C3254" t="s">
        <v>751</v>
      </c>
      <c r="D3254" s="18">
        <v>1.46</v>
      </c>
      <c r="E3254" s="32">
        <v>4.6900000000000004</v>
      </c>
      <c r="F3254" s="15">
        <f>IFERROR(PRD[[#This Row],[VALOR]]/PRD[[#This Row],[KGS]],"")</f>
        <v>3.2123287671232879</v>
      </c>
    </row>
    <row r="3255" spans="1:6" x14ac:dyDescent="0.25">
      <c r="A3255" s="21">
        <v>8070054</v>
      </c>
      <c r="B3255" s="1">
        <v>45323</v>
      </c>
      <c r="C3255" t="s">
        <v>943</v>
      </c>
      <c r="D3255" s="18">
        <v>3.3</v>
      </c>
      <c r="E3255" s="32">
        <v>26.37</v>
      </c>
      <c r="F3255" s="15">
        <f>IFERROR(PRD[[#This Row],[VALOR]]/PRD[[#This Row],[KGS]],"")</f>
        <v>7.9909090909090921</v>
      </c>
    </row>
    <row r="3256" spans="1:6" x14ac:dyDescent="0.25">
      <c r="A3256" s="21">
        <v>8070060</v>
      </c>
      <c r="B3256" s="1">
        <v>45323</v>
      </c>
      <c r="C3256" t="s">
        <v>701</v>
      </c>
      <c r="D3256" s="18">
        <v>310</v>
      </c>
      <c r="E3256" s="32">
        <v>661.5</v>
      </c>
      <c r="F3256" s="15">
        <f>IFERROR(PRD[[#This Row],[VALOR]]/PRD[[#This Row],[KGS]],"")</f>
        <v>2.1338709677419354</v>
      </c>
    </row>
    <row r="3257" spans="1:6" x14ac:dyDescent="0.25">
      <c r="A3257" s="21">
        <v>8070069</v>
      </c>
      <c r="B3257" s="1">
        <v>45323</v>
      </c>
      <c r="C3257" t="s">
        <v>944</v>
      </c>
      <c r="D3257" s="18">
        <v>504</v>
      </c>
      <c r="E3257" s="32">
        <v>604.17999999999995</v>
      </c>
      <c r="F3257" s="15">
        <f>IFERROR(PRD[[#This Row],[VALOR]]/PRD[[#This Row],[KGS]],"")</f>
        <v>1.1987698412698411</v>
      </c>
    </row>
    <row r="3258" spans="1:6" x14ac:dyDescent="0.25">
      <c r="A3258" s="21">
        <v>8070071</v>
      </c>
      <c r="B3258" s="1">
        <v>45323</v>
      </c>
      <c r="C3258" t="s">
        <v>945</v>
      </c>
      <c r="D3258" s="18">
        <v>7700</v>
      </c>
      <c r="E3258" s="32">
        <v>10934</v>
      </c>
      <c r="F3258" s="15">
        <f>IFERROR(PRD[[#This Row],[VALOR]]/PRD[[#This Row],[KGS]],"")</f>
        <v>1.42</v>
      </c>
    </row>
    <row r="3259" spans="1:6" x14ac:dyDescent="0.25">
      <c r="A3259" s="21">
        <v>8080001</v>
      </c>
      <c r="B3259" s="1">
        <v>45323</v>
      </c>
      <c r="C3259" t="s">
        <v>946</v>
      </c>
      <c r="D3259" s="18">
        <v>1527.48</v>
      </c>
      <c r="E3259" s="32">
        <v>7637.4</v>
      </c>
      <c r="F3259" s="15">
        <f>IFERROR(PRD[[#This Row],[VALOR]]/PRD[[#This Row],[KGS]],"")</f>
        <v>5</v>
      </c>
    </row>
    <row r="3260" spans="1:6" x14ac:dyDescent="0.25">
      <c r="A3260" s="21">
        <v>8120003</v>
      </c>
      <c r="B3260" s="1">
        <v>45323</v>
      </c>
      <c r="C3260" t="s">
        <v>376</v>
      </c>
      <c r="D3260" s="18">
        <v>343.7</v>
      </c>
      <c r="E3260" s="32">
        <v>921.9</v>
      </c>
      <c r="F3260" s="15">
        <f>IFERROR(PRD[[#This Row],[VALOR]]/PRD[[#This Row],[KGS]],"")</f>
        <v>2.6822810590631363</v>
      </c>
    </row>
    <row r="3261" spans="1:6" x14ac:dyDescent="0.25">
      <c r="A3261" s="21">
        <v>8120004</v>
      </c>
      <c r="B3261" s="1">
        <v>45323</v>
      </c>
      <c r="C3261" t="s">
        <v>947</v>
      </c>
      <c r="D3261" s="18">
        <v>2</v>
      </c>
      <c r="E3261" s="32">
        <v>13</v>
      </c>
      <c r="F3261" s="15">
        <f>IFERROR(PRD[[#This Row],[VALOR]]/PRD[[#This Row],[KGS]],"")</f>
        <v>6.5</v>
      </c>
    </row>
    <row r="3262" spans="1:6" x14ac:dyDescent="0.25">
      <c r="A3262" s="21">
        <v>8120007</v>
      </c>
      <c r="B3262" s="1">
        <v>45323</v>
      </c>
      <c r="C3262" t="s">
        <v>377</v>
      </c>
      <c r="D3262" s="18">
        <v>3.14</v>
      </c>
      <c r="E3262" s="32">
        <v>29.92</v>
      </c>
      <c r="F3262" s="15">
        <f>IFERROR(PRD[[#This Row],[VALOR]]/PRD[[#This Row],[KGS]],"")</f>
        <v>9.5286624203821653</v>
      </c>
    </row>
    <row r="3263" spans="1:6" x14ac:dyDescent="0.25">
      <c r="A3263" s="21">
        <v>8120015</v>
      </c>
      <c r="B3263" s="1">
        <v>45323</v>
      </c>
      <c r="C3263" t="s">
        <v>1020</v>
      </c>
      <c r="D3263" s="18">
        <v>6480</v>
      </c>
      <c r="E3263" s="32">
        <v>17496</v>
      </c>
      <c r="F3263" s="15">
        <f>IFERROR(PRD[[#This Row],[VALOR]]/PRD[[#This Row],[KGS]],"")</f>
        <v>2.7</v>
      </c>
    </row>
    <row r="3264" spans="1:6" x14ac:dyDescent="0.25">
      <c r="A3264" s="21">
        <v>8120039</v>
      </c>
      <c r="B3264" s="1">
        <v>45323</v>
      </c>
      <c r="C3264" t="s">
        <v>948</v>
      </c>
      <c r="D3264" s="18">
        <v>2</v>
      </c>
      <c r="E3264" s="32">
        <v>13</v>
      </c>
      <c r="F3264" s="15">
        <f>IFERROR(PRD[[#This Row],[VALOR]]/PRD[[#This Row],[KGS]],"")</f>
        <v>6.5</v>
      </c>
    </row>
    <row r="3265" spans="1:6" x14ac:dyDescent="0.25">
      <c r="A3265" s="21">
        <v>8120052</v>
      </c>
      <c r="B3265" s="1">
        <v>45323</v>
      </c>
      <c r="C3265" t="s">
        <v>783</v>
      </c>
      <c r="D3265" s="18">
        <v>7.5</v>
      </c>
      <c r="E3265" s="32">
        <v>-3.51</v>
      </c>
      <c r="F3265" s="15">
        <f>IFERROR(PRD[[#This Row],[VALOR]]/PRD[[#This Row],[KGS]],"")</f>
        <v>-0.46799999999999997</v>
      </c>
    </row>
    <row r="3266" spans="1:6" x14ac:dyDescent="0.25">
      <c r="A3266" s="21">
        <v>8120054</v>
      </c>
      <c r="B3266" s="1">
        <v>45323</v>
      </c>
      <c r="C3266" t="s">
        <v>949</v>
      </c>
      <c r="D3266" s="18">
        <v>14.78</v>
      </c>
      <c r="E3266" s="32">
        <v>101.98</v>
      </c>
      <c r="F3266" s="15">
        <f>IFERROR(PRD[[#This Row],[VALOR]]/PRD[[#This Row],[KGS]],"")</f>
        <v>6.8998646820027068</v>
      </c>
    </row>
    <row r="3267" spans="1:6" x14ac:dyDescent="0.25">
      <c r="A3267" s="21">
        <v>8120055</v>
      </c>
      <c r="B3267" s="1">
        <v>45323</v>
      </c>
      <c r="C3267" t="s">
        <v>950</v>
      </c>
      <c r="D3267" s="18">
        <v>9</v>
      </c>
      <c r="E3267" s="32">
        <v>65.7</v>
      </c>
      <c r="F3267" s="15">
        <f>IFERROR(PRD[[#This Row],[VALOR]]/PRD[[#This Row],[KGS]],"")</f>
        <v>7.3000000000000007</v>
      </c>
    </row>
    <row r="3268" spans="1:6" x14ac:dyDescent="0.25">
      <c r="A3268" s="21">
        <v>8130001</v>
      </c>
      <c r="B3268" s="1">
        <v>45323</v>
      </c>
      <c r="C3268" t="s">
        <v>380</v>
      </c>
      <c r="D3268" s="18">
        <v>1</v>
      </c>
      <c r="E3268" s="32">
        <v>2.4</v>
      </c>
      <c r="F3268" s="15">
        <f>IFERROR(PRD[[#This Row],[VALOR]]/PRD[[#This Row],[KGS]],"")</f>
        <v>2.4</v>
      </c>
    </row>
    <row r="3269" spans="1:6" x14ac:dyDescent="0.25">
      <c r="A3269" s="21">
        <v>8130014</v>
      </c>
      <c r="B3269" s="1">
        <v>45323</v>
      </c>
      <c r="C3269" t="s">
        <v>951</v>
      </c>
      <c r="D3269" s="18">
        <v>24</v>
      </c>
      <c r="E3269" s="32">
        <v>75.28</v>
      </c>
      <c r="F3269" s="15">
        <f>IFERROR(PRD[[#This Row],[VALOR]]/PRD[[#This Row],[KGS]],"")</f>
        <v>3.1366666666666667</v>
      </c>
    </row>
    <row r="3270" spans="1:6" x14ac:dyDescent="0.25">
      <c r="A3270" s="21">
        <v>8130015</v>
      </c>
      <c r="B3270" s="1">
        <v>45323</v>
      </c>
      <c r="C3270" t="s">
        <v>952</v>
      </c>
      <c r="D3270" s="18">
        <v>70</v>
      </c>
      <c r="E3270" s="32">
        <v>251.74</v>
      </c>
      <c r="F3270" s="15">
        <f>IFERROR(PRD[[#This Row],[VALOR]]/PRD[[#This Row],[KGS]],"")</f>
        <v>3.5962857142857145</v>
      </c>
    </row>
    <row r="3271" spans="1:6" x14ac:dyDescent="0.25">
      <c r="A3271" s="21">
        <v>8140006</v>
      </c>
      <c r="B3271" s="1">
        <v>45323</v>
      </c>
      <c r="C3271" t="s">
        <v>423</v>
      </c>
      <c r="D3271" s="18">
        <v>8</v>
      </c>
      <c r="E3271" s="32">
        <v>22.8</v>
      </c>
      <c r="F3271" s="15">
        <f>IFERROR(PRD[[#This Row],[VALOR]]/PRD[[#This Row],[KGS]],"")</f>
        <v>2.85</v>
      </c>
    </row>
    <row r="3272" spans="1:6" x14ac:dyDescent="0.25">
      <c r="A3272" s="21">
        <v>8140013</v>
      </c>
      <c r="B3272" s="1">
        <v>45323</v>
      </c>
      <c r="C3272" t="s">
        <v>674</v>
      </c>
      <c r="D3272" s="18">
        <v>480</v>
      </c>
      <c r="E3272" s="32">
        <v>259.2</v>
      </c>
      <c r="F3272" s="15">
        <f>IFERROR(PRD[[#This Row],[VALOR]]/PRD[[#This Row],[KGS]],"")</f>
        <v>0.53999999999999992</v>
      </c>
    </row>
    <row r="3273" spans="1:6" x14ac:dyDescent="0.25">
      <c r="A3273" s="21">
        <v>8140015</v>
      </c>
      <c r="B3273" s="1">
        <v>45323</v>
      </c>
      <c r="C3273" t="s">
        <v>676</v>
      </c>
      <c r="D3273" s="18">
        <v>84</v>
      </c>
      <c r="E3273" s="32">
        <v>80.08</v>
      </c>
      <c r="F3273" s="15">
        <f>IFERROR(PRD[[#This Row],[VALOR]]/PRD[[#This Row],[KGS]],"")</f>
        <v>0.95333333333333337</v>
      </c>
    </row>
    <row r="3274" spans="1:6" x14ac:dyDescent="0.25">
      <c r="A3274" s="21">
        <v>8140016</v>
      </c>
      <c r="B3274" s="1">
        <v>45323</v>
      </c>
      <c r="C3274" t="s">
        <v>953</v>
      </c>
      <c r="D3274" s="18">
        <v>5</v>
      </c>
      <c r="E3274" s="32">
        <v>24.95</v>
      </c>
      <c r="F3274" s="15">
        <f>IFERROR(PRD[[#This Row],[VALOR]]/PRD[[#This Row],[KGS]],"")</f>
        <v>4.99</v>
      </c>
    </row>
    <row r="3275" spans="1:6" x14ac:dyDescent="0.25">
      <c r="A3275" s="21">
        <v>8140019</v>
      </c>
      <c r="B3275" s="1">
        <v>45323</v>
      </c>
      <c r="C3275" t="s">
        <v>954</v>
      </c>
      <c r="D3275" s="18">
        <v>1</v>
      </c>
      <c r="E3275" s="32">
        <v>5.5</v>
      </c>
      <c r="F3275" s="15">
        <f>IFERROR(PRD[[#This Row],[VALOR]]/PRD[[#This Row],[KGS]],"")</f>
        <v>5.5</v>
      </c>
    </row>
    <row r="3276" spans="1:6" x14ac:dyDescent="0.25">
      <c r="A3276" s="21">
        <v>8150001</v>
      </c>
      <c r="B3276" s="1">
        <v>45323</v>
      </c>
      <c r="C3276" t="s">
        <v>382</v>
      </c>
      <c r="D3276" s="18">
        <v>50</v>
      </c>
      <c r="E3276" s="32">
        <v>617.5</v>
      </c>
      <c r="F3276" s="15">
        <f>IFERROR(PRD[[#This Row],[VALOR]]/PRD[[#This Row],[KGS]],"")</f>
        <v>12.35</v>
      </c>
    </row>
    <row r="3277" spans="1:6" x14ac:dyDescent="0.25">
      <c r="A3277" s="21">
        <v>8150002</v>
      </c>
      <c r="B3277" s="1">
        <v>45323</v>
      </c>
      <c r="C3277" t="s">
        <v>955</v>
      </c>
      <c r="D3277" s="18">
        <v>54</v>
      </c>
      <c r="E3277" s="32">
        <v>432</v>
      </c>
      <c r="F3277" s="15">
        <f>IFERROR(PRD[[#This Row],[VALOR]]/PRD[[#This Row],[KGS]],"")</f>
        <v>8</v>
      </c>
    </row>
    <row r="3278" spans="1:6" x14ac:dyDescent="0.25">
      <c r="A3278" s="21">
        <v>8150004</v>
      </c>
      <c r="B3278" s="1">
        <v>45323</v>
      </c>
      <c r="C3278" t="s">
        <v>956</v>
      </c>
      <c r="D3278" s="18">
        <v>1872</v>
      </c>
      <c r="E3278" s="32">
        <v>11206.2</v>
      </c>
      <c r="F3278" s="15">
        <f>IFERROR(PRD[[#This Row],[VALOR]]/PRD[[#This Row],[KGS]],"")</f>
        <v>5.9862179487179494</v>
      </c>
    </row>
    <row r="3279" spans="1:6" x14ac:dyDescent="0.25">
      <c r="A3279" s="21">
        <v>8150005</v>
      </c>
      <c r="B3279" s="1">
        <v>45323</v>
      </c>
      <c r="C3279" t="s">
        <v>957</v>
      </c>
      <c r="D3279" s="18">
        <v>3530</v>
      </c>
      <c r="E3279" s="32">
        <v>18031</v>
      </c>
      <c r="F3279" s="15">
        <f>IFERROR(PRD[[#This Row],[VALOR]]/PRD[[#This Row],[KGS]],"")</f>
        <v>5.107932011331445</v>
      </c>
    </row>
    <row r="3280" spans="1:6" x14ac:dyDescent="0.25">
      <c r="A3280" s="21">
        <v>8150006</v>
      </c>
      <c r="B3280" s="1">
        <v>45323</v>
      </c>
      <c r="C3280" t="s">
        <v>958</v>
      </c>
      <c r="D3280" s="18">
        <v>2830</v>
      </c>
      <c r="E3280" s="32">
        <v>13585.5</v>
      </c>
      <c r="F3280" s="15">
        <f>IFERROR(PRD[[#This Row],[VALOR]]/PRD[[#This Row],[KGS]],"")</f>
        <v>4.8005300353356892</v>
      </c>
    </row>
    <row r="3281" spans="1:6" x14ac:dyDescent="0.25">
      <c r="A3281" s="21">
        <v>8150009</v>
      </c>
      <c r="B3281" s="1">
        <v>45323</v>
      </c>
      <c r="C3281" t="s">
        <v>678</v>
      </c>
      <c r="D3281" s="18">
        <v>2</v>
      </c>
      <c r="E3281" s="32">
        <v>41.34</v>
      </c>
      <c r="F3281" s="15">
        <f>IFERROR(PRD[[#This Row],[VALOR]]/PRD[[#This Row],[KGS]],"")</f>
        <v>20.67</v>
      </c>
    </row>
    <row r="3282" spans="1:6" x14ac:dyDescent="0.25">
      <c r="A3282" s="21">
        <v>8150012</v>
      </c>
      <c r="B3282" s="1">
        <v>45323</v>
      </c>
      <c r="C3282" t="s">
        <v>959</v>
      </c>
      <c r="D3282" s="18">
        <v>1</v>
      </c>
      <c r="E3282" s="32">
        <v>6.5</v>
      </c>
      <c r="F3282" s="15">
        <f>IFERROR(PRD[[#This Row],[VALOR]]/PRD[[#This Row],[KGS]],"")</f>
        <v>6.5</v>
      </c>
    </row>
    <row r="3283" spans="1:6" x14ac:dyDescent="0.25">
      <c r="A3283" s="21">
        <v>8150013</v>
      </c>
      <c r="B3283" s="1">
        <v>45323</v>
      </c>
      <c r="C3283" t="s">
        <v>960</v>
      </c>
      <c r="D3283" s="18">
        <v>1</v>
      </c>
      <c r="E3283" s="32">
        <v>5.7</v>
      </c>
      <c r="F3283" s="15">
        <f>IFERROR(PRD[[#This Row],[VALOR]]/PRD[[#This Row],[KGS]],"")</f>
        <v>5.7</v>
      </c>
    </row>
    <row r="3284" spans="1:6" x14ac:dyDescent="0.25">
      <c r="A3284" s="21">
        <v>8150014</v>
      </c>
      <c r="B3284" s="1">
        <v>45323</v>
      </c>
      <c r="C3284" t="s">
        <v>538</v>
      </c>
      <c r="D3284" s="18">
        <v>31</v>
      </c>
      <c r="E3284" s="32">
        <v>126.49</v>
      </c>
      <c r="F3284" s="15">
        <f>IFERROR(PRD[[#This Row],[VALOR]]/PRD[[#This Row],[KGS]],"")</f>
        <v>4.0803225806451611</v>
      </c>
    </row>
    <row r="3285" spans="1:6" x14ac:dyDescent="0.25">
      <c r="A3285" s="21">
        <v>8150019</v>
      </c>
      <c r="B3285" s="1">
        <v>45323</v>
      </c>
      <c r="C3285" t="s">
        <v>961</v>
      </c>
      <c r="D3285" s="18">
        <v>18</v>
      </c>
      <c r="E3285" s="32">
        <v>201.3</v>
      </c>
      <c r="F3285" s="15">
        <f>IFERROR(PRD[[#This Row],[VALOR]]/PRD[[#This Row],[KGS]],"")</f>
        <v>11.183333333333334</v>
      </c>
    </row>
    <row r="3286" spans="1:6" x14ac:dyDescent="0.25">
      <c r="A3286" s="21">
        <v>8150025</v>
      </c>
      <c r="B3286" s="1">
        <v>45323</v>
      </c>
      <c r="C3286" t="s">
        <v>962</v>
      </c>
      <c r="D3286" s="18">
        <v>720</v>
      </c>
      <c r="E3286" s="32">
        <v>6840</v>
      </c>
      <c r="F3286" s="15">
        <f>IFERROR(PRD[[#This Row],[VALOR]]/PRD[[#This Row],[KGS]],"")</f>
        <v>9.5</v>
      </c>
    </row>
    <row r="3287" spans="1:6" x14ac:dyDescent="0.25">
      <c r="A3287" s="21">
        <v>8150027</v>
      </c>
      <c r="B3287" s="1">
        <v>45323</v>
      </c>
      <c r="C3287" t="s">
        <v>963</v>
      </c>
      <c r="D3287" s="18">
        <v>100</v>
      </c>
      <c r="E3287" s="32">
        <v>435</v>
      </c>
      <c r="F3287" s="15">
        <f>IFERROR(PRD[[#This Row],[VALOR]]/PRD[[#This Row],[KGS]],"")</f>
        <v>4.3499999999999996</v>
      </c>
    </row>
    <row r="3288" spans="1:6" x14ac:dyDescent="0.25">
      <c r="A3288" s="21">
        <v>8170001</v>
      </c>
      <c r="B3288" s="1">
        <v>45323</v>
      </c>
      <c r="C3288" t="s">
        <v>964</v>
      </c>
      <c r="D3288" s="18">
        <v>108.75</v>
      </c>
      <c r="E3288" s="32">
        <v>571.61</v>
      </c>
      <c r="F3288" s="15">
        <f>IFERROR(PRD[[#This Row],[VALOR]]/PRD[[#This Row],[KGS]],"")</f>
        <v>5.2561839080459771</v>
      </c>
    </row>
    <row r="3289" spans="1:6" x14ac:dyDescent="0.25">
      <c r="A3289" s="21">
        <v>1010200</v>
      </c>
      <c r="B3289" s="1">
        <v>45352</v>
      </c>
      <c r="C3289" t="s">
        <v>331</v>
      </c>
      <c r="D3289" s="18">
        <v>827.6</v>
      </c>
      <c r="E3289" s="32">
        <v>248.28</v>
      </c>
      <c r="F3289" s="15">
        <f>IFERROR(PRD[[#This Row],[VALOR]]/PRD[[#This Row],[KGS]],"")</f>
        <v>0.3</v>
      </c>
    </row>
    <row r="3290" spans="1:6" x14ac:dyDescent="0.25">
      <c r="A3290" s="21">
        <v>1010500</v>
      </c>
      <c r="B3290" s="1">
        <v>45352</v>
      </c>
      <c r="C3290" t="s">
        <v>6</v>
      </c>
      <c r="D3290" s="18">
        <v>2158.8000000000002</v>
      </c>
      <c r="E3290" s="32">
        <v>1602.82</v>
      </c>
      <c r="F3290" s="15">
        <f>IFERROR(PRD[[#This Row],[VALOR]]/PRD[[#This Row],[KGS]],"")</f>
        <v>0.74245877339262545</v>
      </c>
    </row>
    <row r="3291" spans="1:6" x14ac:dyDescent="0.25">
      <c r="A3291" s="21">
        <v>1010600</v>
      </c>
      <c r="B3291" s="1">
        <v>45352</v>
      </c>
      <c r="C3291" t="s">
        <v>334</v>
      </c>
      <c r="D3291" s="18">
        <v>5587.5</v>
      </c>
      <c r="E3291" s="32">
        <v>4348.33</v>
      </c>
      <c r="F3291" s="15">
        <f>IFERROR(PRD[[#This Row],[VALOR]]/PRD[[#This Row],[KGS]],"")</f>
        <v>0.77822460850111852</v>
      </c>
    </row>
    <row r="3292" spans="1:6" x14ac:dyDescent="0.25">
      <c r="A3292" s="21">
        <v>1010700</v>
      </c>
      <c r="B3292" s="1">
        <v>45352</v>
      </c>
      <c r="C3292" t="s">
        <v>335</v>
      </c>
      <c r="D3292" s="18">
        <v>471.58</v>
      </c>
      <c r="E3292" s="32">
        <v>979.14</v>
      </c>
      <c r="F3292" s="15">
        <f>IFERROR(PRD[[#This Row],[VALOR]]/PRD[[#This Row],[KGS]],"")</f>
        <v>2.0762967046948555</v>
      </c>
    </row>
    <row r="3293" spans="1:6" x14ac:dyDescent="0.25">
      <c r="A3293" s="21">
        <v>1010701</v>
      </c>
      <c r="B3293" s="1">
        <v>45352</v>
      </c>
      <c r="C3293" t="s">
        <v>12</v>
      </c>
      <c r="D3293" s="18">
        <v>247.7</v>
      </c>
      <c r="E3293" s="32">
        <v>1866.74</v>
      </c>
      <c r="F3293" s="15">
        <f>IFERROR(PRD[[#This Row],[VALOR]]/PRD[[#This Row],[KGS]],"")</f>
        <v>7.5362939039160279</v>
      </c>
    </row>
    <row r="3294" spans="1:6" x14ac:dyDescent="0.25">
      <c r="A3294" s="21">
        <v>1010732</v>
      </c>
      <c r="B3294" s="1">
        <v>45352</v>
      </c>
      <c r="C3294" t="s">
        <v>14</v>
      </c>
      <c r="D3294" s="18">
        <v>300</v>
      </c>
      <c r="E3294" s="32">
        <v>2205</v>
      </c>
      <c r="F3294" s="15">
        <f>IFERROR(PRD[[#This Row],[VALOR]]/PRD[[#This Row],[KGS]],"")</f>
        <v>7.35</v>
      </c>
    </row>
    <row r="3295" spans="1:6" x14ac:dyDescent="0.25">
      <c r="A3295" s="21">
        <v>1010900</v>
      </c>
      <c r="B3295" s="1">
        <v>45352</v>
      </c>
      <c r="C3295" t="s">
        <v>336</v>
      </c>
      <c r="D3295" s="18">
        <v>11.4</v>
      </c>
      <c r="E3295" s="32">
        <v>19.59</v>
      </c>
      <c r="F3295" s="15">
        <f>IFERROR(PRD[[#This Row],[VALOR]]/PRD[[#This Row],[KGS]],"")</f>
        <v>1.7184210526315788</v>
      </c>
    </row>
    <row r="3296" spans="1:6" x14ac:dyDescent="0.25">
      <c r="A3296" s="21">
        <v>1010902</v>
      </c>
      <c r="B3296" s="1">
        <v>45352</v>
      </c>
      <c r="C3296" t="s">
        <v>431</v>
      </c>
      <c r="D3296" s="18">
        <v>844.62</v>
      </c>
      <c r="E3296" s="32">
        <v>1091.5899999999999</v>
      </c>
      <c r="F3296" s="15">
        <f>IFERROR(PRD[[#This Row],[VALOR]]/PRD[[#This Row],[KGS]],"")</f>
        <v>1.2924036844971702</v>
      </c>
    </row>
    <row r="3297" spans="1:6" x14ac:dyDescent="0.25">
      <c r="A3297" s="21">
        <v>1010903</v>
      </c>
      <c r="B3297" s="1">
        <v>45352</v>
      </c>
      <c r="C3297" t="s">
        <v>629</v>
      </c>
      <c r="D3297" s="18">
        <v>350.9</v>
      </c>
      <c r="E3297" s="32">
        <v>338.88</v>
      </c>
      <c r="F3297" s="15">
        <f>IFERROR(PRD[[#This Row],[VALOR]]/PRD[[#This Row],[KGS]],"")</f>
        <v>0.96574522656027362</v>
      </c>
    </row>
    <row r="3298" spans="1:6" x14ac:dyDescent="0.25">
      <c r="A3298" s="21">
        <v>1011000</v>
      </c>
      <c r="B3298" s="1">
        <v>45352</v>
      </c>
      <c r="C3298" t="s">
        <v>20</v>
      </c>
      <c r="D3298" s="18">
        <v>1220.7</v>
      </c>
      <c r="E3298" s="32">
        <v>880.09</v>
      </c>
      <c r="F3298" s="15">
        <f>IFERROR(PRD[[#This Row],[VALOR]]/PRD[[#This Row],[KGS]],"")</f>
        <v>0.72097157368722864</v>
      </c>
    </row>
    <row r="3299" spans="1:6" x14ac:dyDescent="0.25">
      <c r="A3299" s="21">
        <v>1011100</v>
      </c>
      <c r="B3299" s="1">
        <v>45352</v>
      </c>
      <c r="C3299" t="s">
        <v>293</v>
      </c>
      <c r="D3299" s="18">
        <v>111.3</v>
      </c>
      <c r="E3299" s="32">
        <v>48.63</v>
      </c>
      <c r="F3299" s="15">
        <f>IFERROR(PRD[[#This Row],[VALOR]]/PRD[[#This Row],[KGS]],"")</f>
        <v>0.43692722371967657</v>
      </c>
    </row>
    <row r="3300" spans="1:6" x14ac:dyDescent="0.25">
      <c r="A3300" s="21">
        <v>1011200</v>
      </c>
      <c r="B3300" s="1">
        <v>45352</v>
      </c>
      <c r="C3300" t="s">
        <v>24</v>
      </c>
      <c r="D3300" s="18">
        <v>58.3</v>
      </c>
      <c r="E3300" s="32">
        <v>79.81</v>
      </c>
      <c r="F3300" s="15">
        <f>IFERROR(PRD[[#This Row],[VALOR]]/PRD[[#This Row],[KGS]],"")</f>
        <v>1.3689536878216124</v>
      </c>
    </row>
    <row r="3301" spans="1:6" x14ac:dyDescent="0.25">
      <c r="A3301" s="21">
        <v>1011201</v>
      </c>
      <c r="B3301" s="1">
        <v>45352</v>
      </c>
      <c r="C3301" t="s">
        <v>338</v>
      </c>
      <c r="D3301" s="18">
        <v>114.3</v>
      </c>
      <c r="E3301" s="32">
        <v>308.61</v>
      </c>
      <c r="F3301" s="15">
        <f>IFERROR(PRD[[#This Row],[VALOR]]/PRD[[#This Row],[KGS]],"")</f>
        <v>2.7</v>
      </c>
    </row>
    <row r="3302" spans="1:6" x14ac:dyDescent="0.25">
      <c r="A3302" s="21">
        <v>1011202</v>
      </c>
      <c r="B3302" s="1">
        <v>45352</v>
      </c>
      <c r="C3302" t="s">
        <v>340</v>
      </c>
      <c r="D3302" s="18">
        <v>445.9</v>
      </c>
      <c r="E3302" s="32">
        <v>89.18</v>
      </c>
      <c r="F3302" s="15">
        <f>IFERROR(PRD[[#This Row],[VALOR]]/PRD[[#This Row],[KGS]],"")</f>
        <v>0.20000000000000004</v>
      </c>
    </row>
    <row r="3303" spans="1:6" x14ac:dyDescent="0.25">
      <c r="A3303" s="21">
        <v>1011203</v>
      </c>
      <c r="B3303" s="1">
        <v>45352</v>
      </c>
      <c r="C3303" t="s">
        <v>342</v>
      </c>
      <c r="D3303" s="18">
        <v>125</v>
      </c>
      <c r="E3303" s="32">
        <v>75</v>
      </c>
      <c r="F3303" s="15">
        <f>IFERROR(PRD[[#This Row],[VALOR]]/PRD[[#This Row],[KGS]],"")</f>
        <v>0.6</v>
      </c>
    </row>
    <row r="3304" spans="1:6" x14ac:dyDescent="0.25">
      <c r="A3304" s="21">
        <v>1011204</v>
      </c>
      <c r="B3304" s="1">
        <v>45352</v>
      </c>
      <c r="C3304" t="s">
        <v>344</v>
      </c>
      <c r="D3304" s="18">
        <v>117.9</v>
      </c>
      <c r="E3304" s="32">
        <v>200.43</v>
      </c>
      <c r="F3304" s="15">
        <f>IFERROR(PRD[[#This Row],[VALOR]]/PRD[[#This Row],[KGS]],"")</f>
        <v>1.7</v>
      </c>
    </row>
    <row r="3305" spans="1:6" x14ac:dyDescent="0.25">
      <c r="A3305" s="21">
        <v>1011211</v>
      </c>
      <c r="B3305" s="1">
        <v>45352</v>
      </c>
      <c r="C3305" t="s">
        <v>685</v>
      </c>
      <c r="D3305" s="18">
        <v>226.6</v>
      </c>
      <c r="E3305" s="32">
        <v>79.319999999999993</v>
      </c>
      <c r="F3305" s="15">
        <f>IFERROR(PRD[[#This Row],[VALOR]]/PRD[[#This Row],[KGS]],"")</f>
        <v>0.3500441306266549</v>
      </c>
    </row>
    <row r="3306" spans="1:6" x14ac:dyDescent="0.25">
      <c r="A3306" s="21">
        <v>1011300</v>
      </c>
      <c r="B3306" s="1">
        <v>45352</v>
      </c>
      <c r="C3306" t="s">
        <v>295</v>
      </c>
      <c r="D3306" s="18">
        <v>8740.1</v>
      </c>
      <c r="E3306" s="32">
        <v>2638.26</v>
      </c>
      <c r="F3306" s="15">
        <f>IFERROR(PRD[[#This Row],[VALOR]]/PRD[[#This Row],[KGS]],"")</f>
        <v>0.30185695815837349</v>
      </c>
    </row>
    <row r="3307" spans="1:6" x14ac:dyDescent="0.25">
      <c r="A3307" s="21">
        <v>1011400</v>
      </c>
      <c r="B3307" s="1">
        <v>45352</v>
      </c>
      <c r="C3307" t="s">
        <v>25</v>
      </c>
      <c r="D3307" s="18">
        <v>3</v>
      </c>
      <c r="E3307" s="32">
        <v>7.5</v>
      </c>
      <c r="F3307" s="15">
        <f>IFERROR(PRD[[#This Row],[VALOR]]/PRD[[#This Row],[KGS]],"")</f>
        <v>2.5</v>
      </c>
    </row>
    <row r="3308" spans="1:6" x14ac:dyDescent="0.25">
      <c r="A3308" s="21">
        <v>1011500</v>
      </c>
      <c r="B3308" s="1">
        <v>45352</v>
      </c>
      <c r="C3308" t="s">
        <v>27</v>
      </c>
      <c r="D3308" s="18">
        <v>1395.66</v>
      </c>
      <c r="E3308" s="32">
        <v>1076.18</v>
      </c>
      <c r="F3308" s="15">
        <f>IFERROR(PRD[[#This Row],[VALOR]]/PRD[[#This Row],[KGS]],"")</f>
        <v>0.77109038017855347</v>
      </c>
    </row>
    <row r="3309" spans="1:6" x14ac:dyDescent="0.25">
      <c r="A3309" s="21">
        <v>1011604</v>
      </c>
      <c r="B3309" s="1">
        <v>45352</v>
      </c>
      <c r="C3309" t="s">
        <v>29</v>
      </c>
      <c r="D3309" s="18">
        <v>25275</v>
      </c>
      <c r="E3309" s="32">
        <v>2022</v>
      </c>
      <c r="F3309" s="15">
        <f>IFERROR(PRD[[#This Row],[VALOR]]/PRD[[#This Row],[KGS]],"")</f>
        <v>0.08</v>
      </c>
    </row>
    <row r="3310" spans="1:6" x14ac:dyDescent="0.25">
      <c r="A3310" s="21">
        <v>1011700</v>
      </c>
      <c r="B3310" s="1">
        <v>45352</v>
      </c>
      <c r="C3310" t="s">
        <v>31</v>
      </c>
      <c r="D3310" s="18">
        <v>270.98</v>
      </c>
      <c r="E3310" s="32">
        <v>443.64</v>
      </c>
      <c r="F3310" s="15">
        <f>IFERROR(PRD[[#This Row],[VALOR]]/PRD[[#This Row],[KGS]],"")</f>
        <v>1.6371687947449995</v>
      </c>
    </row>
    <row r="3311" spans="1:6" x14ac:dyDescent="0.25">
      <c r="A3311" s="21">
        <v>1011800</v>
      </c>
      <c r="B3311" s="1">
        <v>45352</v>
      </c>
      <c r="C3311" t="s">
        <v>33</v>
      </c>
      <c r="D3311" s="18">
        <v>2309.38</v>
      </c>
      <c r="E3311" s="32">
        <v>3960.31</v>
      </c>
      <c r="F3311" s="15">
        <f>IFERROR(PRD[[#This Row],[VALOR]]/PRD[[#This Row],[KGS]],"")</f>
        <v>1.7148801842918877</v>
      </c>
    </row>
    <row r="3312" spans="1:6" x14ac:dyDescent="0.25">
      <c r="A3312" s="21">
        <v>1011801</v>
      </c>
      <c r="B3312" s="1">
        <v>45352</v>
      </c>
      <c r="C3312" t="s">
        <v>35</v>
      </c>
      <c r="D3312" s="18">
        <v>46.8</v>
      </c>
      <c r="E3312" s="32">
        <v>77.02</v>
      </c>
      <c r="F3312" s="15">
        <f>IFERROR(PRD[[#This Row],[VALOR]]/PRD[[#This Row],[KGS]],"")</f>
        <v>1.6457264957264957</v>
      </c>
    </row>
    <row r="3313" spans="1:6" x14ac:dyDescent="0.25">
      <c r="A3313" s="21">
        <v>1011901</v>
      </c>
      <c r="B3313" s="1">
        <v>45352</v>
      </c>
      <c r="C3313" t="s">
        <v>37</v>
      </c>
      <c r="D3313" s="18">
        <v>137.9</v>
      </c>
      <c r="E3313" s="32">
        <v>92.22</v>
      </c>
      <c r="F3313" s="15">
        <f>IFERROR(PRD[[#This Row],[VALOR]]/PRD[[#This Row],[KGS]],"")</f>
        <v>0.66874546773023924</v>
      </c>
    </row>
    <row r="3314" spans="1:6" x14ac:dyDescent="0.25">
      <c r="A3314" s="21">
        <v>1012100</v>
      </c>
      <c r="B3314" s="1">
        <v>45352</v>
      </c>
      <c r="C3314" t="s">
        <v>302</v>
      </c>
      <c r="D3314" s="18">
        <v>471.6</v>
      </c>
      <c r="E3314" s="32">
        <v>1320.48</v>
      </c>
      <c r="F3314" s="15">
        <f>IFERROR(PRD[[#This Row],[VALOR]]/PRD[[#This Row],[KGS]],"")</f>
        <v>2.8</v>
      </c>
    </row>
    <row r="3315" spans="1:6" x14ac:dyDescent="0.25">
      <c r="A3315" s="21">
        <v>1012200</v>
      </c>
      <c r="B3315" s="1">
        <v>45352</v>
      </c>
      <c r="C3315" t="s">
        <v>39</v>
      </c>
      <c r="D3315" s="18">
        <v>981.1</v>
      </c>
      <c r="E3315" s="32">
        <v>1681.19</v>
      </c>
      <c r="F3315" s="15">
        <f>IFERROR(PRD[[#This Row],[VALOR]]/PRD[[#This Row],[KGS]],"")</f>
        <v>1.7135765976964632</v>
      </c>
    </row>
    <row r="3316" spans="1:6" x14ac:dyDescent="0.25">
      <c r="A3316" s="21">
        <v>1012201</v>
      </c>
      <c r="B3316" s="1">
        <v>45352</v>
      </c>
      <c r="C3316" t="s">
        <v>41</v>
      </c>
      <c r="D3316" s="18">
        <v>327.2</v>
      </c>
      <c r="E3316" s="32">
        <v>691.28</v>
      </c>
      <c r="F3316" s="15">
        <f>IFERROR(PRD[[#This Row],[VALOR]]/PRD[[#This Row],[KGS]],"")</f>
        <v>2.112713936430318</v>
      </c>
    </row>
    <row r="3317" spans="1:6" x14ac:dyDescent="0.25">
      <c r="A3317" s="21">
        <v>1012203</v>
      </c>
      <c r="B3317" s="1">
        <v>45352</v>
      </c>
      <c r="C3317" t="s">
        <v>43</v>
      </c>
      <c r="D3317" s="18">
        <v>1592.18</v>
      </c>
      <c r="E3317" s="32">
        <v>2918.71</v>
      </c>
      <c r="F3317" s="15">
        <f>IFERROR(PRD[[#This Row],[VALOR]]/PRD[[#This Row],[KGS]],"")</f>
        <v>1.8331532866886908</v>
      </c>
    </row>
    <row r="3318" spans="1:6" x14ac:dyDescent="0.25">
      <c r="A3318" s="21">
        <v>1012205</v>
      </c>
      <c r="B3318" s="1">
        <v>45352</v>
      </c>
      <c r="C3318" t="s">
        <v>741</v>
      </c>
      <c r="D3318" s="18">
        <v>4958.17</v>
      </c>
      <c r="E3318" s="32">
        <v>6086.51</v>
      </c>
      <c r="F3318" s="15">
        <f>IFERROR(PRD[[#This Row],[VALOR]]/PRD[[#This Row],[KGS]],"")</f>
        <v>1.2275718662329045</v>
      </c>
    </row>
    <row r="3319" spans="1:6" x14ac:dyDescent="0.25">
      <c r="A3319" s="21">
        <v>1012206</v>
      </c>
      <c r="B3319" s="1">
        <v>45352</v>
      </c>
      <c r="C3319" t="s">
        <v>763</v>
      </c>
      <c r="D3319" s="18">
        <v>2881.2</v>
      </c>
      <c r="E3319" s="32">
        <v>4033.69</v>
      </c>
      <c r="F3319" s="15">
        <f>IFERROR(PRD[[#This Row],[VALOR]]/PRD[[#This Row],[KGS]],"")</f>
        <v>1.4000034707760656</v>
      </c>
    </row>
    <row r="3320" spans="1:6" x14ac:dyDescent="0.25">
      <c r="A3320" s="21">
        <v>1012207</v>
      </c>
      <c r="B3320" s="1">
        <v>45352</v>
      </c>
      <c r="C3320" t="s">
        <v>810</v>
      </c>
      <c r="D3320" s="18">
        <v>80</v>
      </c>
      <c r="E3320" s="32">
        <v>136</v>
      </c>
      <c r="F3320" s="15">
        <f>IFERROR(PRD[[#This Row],[VALOR]]/PRD[[#This Row],[KGS]],"")</f>
        <v>1.7</v>
      </c>
    </row>
    <row r="3321" spans="1:6" x14ac:dyDescent="0.25">
      <c r="A3321" s="21">
        <v>1012300</v>
      </c>
      <c r="B3321" s="1">
        <v>45352</v>
      </c>
      <c r="C3321" t="s">
        <v>45</v>
      </c>
      <c r="D3321" s="18">
        <v>420.1</v>
      </c>
      <c r="E3321" s="32">
        <v>615.36</v>
      </c>
      <c r="F3321" s="15">
        <f>IFERROR(PRD[[#This Row],[VALOR]]/PRD[[#This Row],[KGS]],"")</f>
        <v>1.4647940966436561</v>
      </c>
    </row>
    <row r="3322" spans="1:6" x14ac:dyDescent="0.25">
      <c r="A3322" s="21">
        <v>1012301</v>
      </c>
      <c r="B3322" s="1">
        <v>45352</v>
      </c>
      <c r="C3322" t="s">
        <v>47</v>
      </c>
      <c r="D3322" s="18">
        <v>130</v>
      </c>
      <c r="E3322" s="32">
        <v>162.5</v>
      </c>
      <c r="F3322" s="15">
        <f>IFERROR(PRD[[#This Row],[VALOR]]/PRD[[#This Row],[KGS]],"")</f>
        <v>1.25</v>
      </c>
    </row>
    <row r="3323" spans="1:6" x14ac:dyDescent="0.25">
      <c r="A3323" s="21">
        <v>1012400</v>
      </c>
      <c r="B3323" s="1">
        <v>45352</v>
      </c>
      <c r="C3323" t="s">
        <v>49</v>
      </c>
      <c r="D3323" s="18">
        <v>1114.17</v>
      </c>
      <c r="E3323" s="32">
        <v>1943.76</v>
      </c>
      <c r="F3323" s="15">
        <f>IFERROR(PRD[[#This Row],[VALOR]]/PRD[[#This Row],[KGS]],"")</f>
        <v>1.7445811680443737</v>
      </c>
    </row>
    <row r="3324" spans="1:6" x14ac:dyDescent="0.25">
      <c r="A3324" s="21">
        <v>1012401</v>
      </c>
      <c r="B3324" s="1">
        <v>45352</v>
      </c>
      <c r="C3324" t="s">
        <v>51</v>
      </c>
      <c r="D3324" s="18">
        <v>29.17</v>
      </c>
      <c r="E3324" s="32">
        <v>42.66</v>
      </c>
      <c r="F3324" s="15">
        <f>IFERROR(PRD[[#This Row],[VALOR]]/PRD[[#This Row],[KGS]],"")</f>
        <v>1.4624614329790879</v>
      </c>
    </row>
    <row r="3325" spans="1:6" x14ac:dyDescent="0.25">
      <c r="A3325" s="21">
        <v>1012500</v>
      </c>
      <c r="B3325" s="1">
        <v>45352</v>
      </c>
      <c r="C3325" t="s">
        <v>53</v>
      </c>
      <c r="D3325" s="18">
        <v>1251.5</v>
      </c>
      <c r="E3325" s="32">
        <v>320.57</v>
      </c>
      <c r="F3325" s="15">
        <f>IFERROR(PRD[[#This Row],[VALOR]]/PRD[[#This Row],[KGS]],"")</f>
        <v>0.2561486216540152</v>
      </c>
    </row>
    <row r="3326" spans="1:6" x14ac:dyDescent="0.25">
      <c r="A3326" s="21">
        <v>1012501</v>
      </c>
      <c r="B3326" s="1">
        <v>45352</v>
      </c>
      <c r="C3326" t="s">
        <v>388</v>
      </c>
      <c r="D3326" s="18">
        <v>74.3</v>
      </c>
      <c r="E3326" s="32">
        <v>18.579999999999998</v>
      </c>
      <c r="F3326" s="15">
        <f>IFERROR(PRD[[#This Row],[VALOR]]/PRD[[#This Row],[KGS]],"")</f>
        <v>0.25006729475100942</v>
      </c>
    </row>
    <row r="3327" spans="1:6" x14ac:dyDescent="0.25">
      <c r="A3327" s="21">
        <v>1012601</v>
      </c>
      <c r="B3327" s="1">
        <v>45352</v>
      </c>
      <c r="C3327" t="s">
        <v>55</v>
      </c>
      <c r="D3327" s="18">
        <v>116</v>
      </c>
      <c r="E3327" s="32">
        <v>116</v>
      </c>
      <c r="F3327" s="15">
        <f>IFERROR(PRD[[#This Row],[VALOR]]/PRD[[#This Row],[KGS]],"")</f>
        <v>1</v>
      </c>
    </row>
    <row r="3328" spans="1:6" x14ac:dyDescent="0.25">
      <c r="A3328" s="21">
        <v>1012800</v>
      </c>
      <c r="B3328" s="1">
        <v>45352</v>
      </c>
      <c r="C3328" t="s">
        <v>439</v>
      </c>
      <c r="D3328" s="18">
        <v>120</v>
      </c>
      <c r="E3328" s="32">
        <v>156</v>
      </c>
      <c r="F3328" s="15">
        <f>IFERROR(PRD[[#This Row],[VALOR]]/PRD[[#This Row],[KGS]],"")</f>
        <v>1.3</v>
      </c>
    </row>
    <row r="3329" spans="1:6" x14ac:dyDescent="0.25">
      <c r="A3329" s="21">
        <v>1012801</v>
      </c>
      <c r="B3329" s="1">
        <v>45352</v>
      </c>
      <c r="C3329" t="s">
        <v>390</v>
      </c>
      <c r="D3329" s="18">
        <v>8462</v>
      </c>
      <c r="E3329" s="32">
        <v>5500.3</v>
      </c>
      <c r="F3329" s="15">
        <f>IFERROR(PRD[[#This Row],[VALOR]]/PRD[[#This Row],[KGS]],"")</f>
        <v>0.65</v>
      </c>
    </row>
    <row r="3330" spans="1:6" x14ac:dyDescent="0.25">
      <c r="A3330" s="21">
        <v>1013100</v>
      </c>
      <c r="B3330" s="1">
        <v>45352</v>
      </c>
      <c r="C3330" t="s">
        <v>57</v>
      </c>
      <c r="D3330" s="18">
        <v>137.80000000000001</v>
      </c>
      <c r="E3330" s="32">
        <v>170.7</v>
      </c>
      <c r="F3330" s="15">
        <f>IFERROR(PRD[[#This Row],[VALOR]]/PRD[[#This Row],[KGS]],"")</f>
        <v>1.2387518142235121</v>
      </c>
    </row>
    <row r="3331" spans="1:6" x14ac:dyDescent="0.25">
      <c r="A3331" s="21">
        <v>1013101</v>
      </c>
      <c r="B3331" s="1">
        <v>45352</v>
      </c>
      <c r="C3331" t="s">
        <v>346</v>
      </c>
      <c r="D3331" s="18">
        <v>4383</v>
      </c>
      <c r="E3331" s="32">
        <v>2629.8</v>
      </c>
      <c r="F3331" s="15">
        <f>IFERROR(PRD[[#This Row],[VALOR]]/PRD[[#This Row],[KGS]],"")</f>
        <v>0.60000000000000009</v>
      </c>
    </row>
    <row r="3332" spans="1:6" x14ac:dyDescent="0.25">
      <c r="A3332" s="21">
        <v>1013200</v>
      </c>
      <c r="B3332" s="1">
        <v>45352</v>
      </c>
      <c r="C3332" t="s">
        <v>59</v>
      </c>
      <c r="D3332" s="18">
        <v>1311.1</v>
      </c>
      <c r="E3332" s="32">
        <v>1327.23</v>
      </c>
      <c r="F3332" s="15">
        <f>IFERROR(PRD[[#This Row],[VALOR]]/PRD[[#This Row],[KGS]],"")</f>
        <v>1.0123026466325986</v>
      </c>
    </row>
    <row r="3333" spans="1:6" x14ac:dyDescent="0.25">
      <c r="A3333" s="21">
        <v>1013300</v>
      </c>
      <c r="B3333" s="1">
        <v>45352</v>
      </c>
      <c r="C3333" t="s">
        <v>348</v>
      </c>
      <c r="D3333" s="18">
        <v>772.3</v>
      </c>
      <c r="E3333" s="32">
        <v>231.69</v>
      </c>
      <c r="F3333" s="15">
        <f>IFERROR(PRD[[#This Row],[VALOR]]/PRD[[#This Row],[KGS]],"")</f>
        <v>0.3</v>
      </c>
    </row>
    <row r="3334" spans="1:6" x14ac:dyDescent="0.25">
      <c r="A3334" s="21">
        <v>1013400</v>
      </c>
      <c r="B3334" s="1">
        <v>45352</v>
      </c>
      <c r="C3334" t="s">
        <v>788</v>
      </c>
      <c r="D3334" s="18">
        <v>3.8</v>
      </c>
      <c r="E3334" s="32">
        <v>1.9</v>
      </c>
      <c r="F3334" s="15">
        <f>IFERROR(PRD[[#This Row],[VALOR]]/PRD[[#This Row],[KGS]],"")</f>
        <v>0.5</v>
      </c>
    </row>
    <row r="3335" spans="1:6" x14ac:dyDescent="0.25">
      <c r="A3335" s="21">
        <v>1013500</v>
      </c>
      <c r="B3335" s="1">
        <v>45352</v>
      </c>
      <c r="C3335" t="s">
        <v>61</v>
      </c>
      <c r="D3335" s="18">
        <v>14</v>
      </c>
      <c r="E3335" s="32">
        <v>7</v>
      </c>
      <c r="F3335" s="15">
        <f>IFERROR(PRD[[#This Row],[VALOR]]/PRD[[#This Row],[KGS]],"")</f>
        <v>0.5</v>
      </c>
    </row>
    <row r="3336" spans="1:6" x14ac:dyDescent="0.25">
      <c r="A3336" s="21">
        <v>1100100</v>
      </c>
      <c r="B3336" s="1">
        <v>45352</v>
      </c>
      <c r="C3336" t="s">
        <v>63</v>
      </c>
      <c r="D3336" s="18">
        <v>65058.25</v>
      </c>
      <c r="E3336" s="32">
        <v>174090.91</v>
      </c>
      <c r="F3336" s="15">
        <f>IFERROR(PRD[[#This Row],[VALOR]]/PRD[[#This Row],[KGS]],"")</f>
        <v>2.6759236530340118</v>
      </c>
    </row>
    <row r="3337" spans="1:6" x14ac:dyDescent="0.25">
      <c r="A3337" s="21">
        <v>1100101</v>
      </c>
      <c r="B3337" s="1">
        <v>45352</v>
      </c>
      <c r="C3337" t="s">
        <v>65</v>
      </c>
      <c r="D3337" s="18">
        <v>359.8</v>
      </c>
      <c r="E3337" s="32">
        <v>975.53</v>
      </c>
      <c r="F3337" s="15">
        <f>IFERROR(PRD[[#This Row],[VALOR]]/PRD[[#This Row],[KGS]],"")</f>
        <v>2.7113118399110614</v>
      </c>
    </row>
    <row r="3338" spans="1:6" x14ac:dyDescent="0.25">
      <c r="A3338" s="21">
        <v>1100102</v>
      </c>
      <c r="B3338" s="1">
        <v>45352</v>
      </c>
      <c r="C3338" t="s">
        <v>789</v>
      </c>
      <c r="D3338" s="18">
        <v>88.2</v>
      </c>
      <c r="E3338" s="32">
        <v>651.79999999999995</v>
      </c>
      <c r="F3338" s="15">
        <f>IFERROR(PRD[[#This Row],[VALOR]]/PRD[[#This Row],[KGS]],"")</f>
        <v>7.3900226757369607</v>
      </c>
    </row>
    <row r="3339" spans="1:6" x14ac:dyDescent="0.25">
      <c r="A3339" s="21">
        <v>1100103</v>
      </c>
      <c r="B3339" s="1">
        <v>45352</v>
      </c>
      <c r="C3339" t="s">
        <v>965</v>
      </c>
      <c r="D3339" s="18">
        <v>8</v>
      </c>
      <c r="E3339" s="32">
        <v>440</v>
      </c>
      <c r="F3339" s="15">
        <f>IFERROR(PRD[[#This Row],[VALOR]]/PRD[[#This Row],[KGS]],"")</f>
        <v>55</v>
      </c>
    </row>
    <row r="3340" spans="1:6" x14ac:dyDescent="0.25">
      <c r="A3340" s="21">
        <v>1100200</v>
      </c>
      <c r="B3340" s="1">
        <v>45352</v>
      </c>
      <c r="C3340" t="s">
        <v>67</v>
      </c>
      <c r="D3340" s="18">
        <v>11478.07</v>
      </c>
      <c r="E3340" s="32">
        <v>37068.99</v>
      </c>
      <c r="F3340" s="15">
        <f>IFERROR(PRD[[#This Row],[VALOR]]/PRD[[#This Row],[KGS]],"")</f>
        <v>3.2295490443950943</v>
      </c>
    </row>
    <row r="3341" spans="1:6" x14ac:dyDescent="0.25">
      <c r="A3341" s="21">
        <v>1100300</v>
      </c>
      <c r="B3341" s="1">
        <v>45352</v>
      </c>
      <c r="C3341" t="s">
        <v>69</v>
      </c>
      <c r="D3341" s="18">
        <v>2985.89</v>
      </c>
      <c r="E3341" s="32">
        <v>9461.25</v>
      </c>
      <c r="F3341" s="15">
        <f>IFERROR(PRD[[#This Row],[VALOR]]/PRD[[#This Row],[KGS]],"")</f>
        <v>3.1686532323695782</v>
      </c>
    </row>
    <row r="3342" spans="1:6" x14ac:dyDescent="0.25">
      <c r="A3342" s="21">
        <v>1100400</v>
      </c>
      <c r="B3342" s="1">
        <v>45352</v>
      </c>
      <c r="C3342" t="s">
        <v>73</v>
      </c>
      <c r="D3342" s="18">
        <v>16722.23</v>
      </c>
      <c r="E3342" s="32">
        <v>45344.41</v>
      </c>
      <c r="F3342" s="15">
        <f>IFERROR(PRD[[#This Row],[VALOR]]/PRD[[#This Row],[KGS]],"")</f>
        <v>2.7116245859553425</v>
      </c>
    </row>
    <row r="3343" spans="1:6" x14ac:dyDescent="0.25">
      <c r="A3343" s="21">
        <v>1100500</v>
      </c>
      <c r="B3343" s="1">
        <v>45352</v>
      </c>
      <c r="C3343" t="s">
        <v>75</v>
      </c>
      <c r="D3343" s="18">
        <v>214.4</v>
      </c>
      <c r="E3343" s="32">
        <v>636.21</v>
      </c>
      <c r="F3343" s="15">
        <f>IFERROR(PRD[[#This Row],[VALOR]]/PRD[[#This Row],[KGS]],"")</f>
        <v>2.9673973880597018</v>
      </c>
    </row>
    <row r="3344" spans="1:6" x14ac:dyDescent="0.25">
      <c r="A3344" s="21">
        <v>1100600</v>
      </c>
      <c r="B3344" s="1">
        <v>45352</v>
      </c>
      <c r="C3344" t="s">
        <v>77</v>
      </c>
      <c r="D3344" s="18">
        <v>16609.93</v>
      </c>
      <c r="E3344" s="32">
        <v>56114.94</v>
      </c>
      <c r="F3344" s="15">
        <f>IFERROR(PRD[[#This Row],[VALOR]]/PRD[[#This Row],[KGS]],"")</f>
        <v>3.3783971395424306</v>
      </c>
    </row>
    <row r="3345" spans="1:6" x14ac:dyDescent="0.25">
      <c r="A3345" s="21">
        <v>1100602</v>
      </c>
      <c r="B3345" s="1">
        <v>45352</v>
      </c>
      <c r="C3345" t="s">
        <v>79</v>
      </c>
      <c r="D3345" s="18">
        <v>862.68</v>
      </c>
      <c r="E3345" s="32">
        <v>4684.71</v>
      </c>
      <c r="F3345" s="15">
        <f>IFERROR(PRD[[#This Row],[VALOR]]/PRD[[#This Row],[KGS]],"")</f>
        <v>5.4304145221866742</v>
      </c>
    </row>
    <row r="3346" spans="1:6" x14ac:dyDescent="0.25">
      <c r="A3346" s="21">
        <v>1100603</v>
      </c>
      <c r="B3346" s="1">
        <v>45352</v>
      </c>
      <c r="C3346" t="s">
        <v>304</v>
      </c>
      <c r="D3346" s="18">
        <v>330</v>
      </c>
      <c r="E3346" s="32">
        <v>1781.2</v>
      </c>
      <c r="F3346" s="15">
        <f>IFERROR(PRD[[#This Row],[VALOR]]/PRD[[#This Row],[KGS]],"")</f>
        <v>5.3975757575757575</v>
      </c>
    </row>
    <row r="3347" spans="1:6" x14ac:dyDescent="0.25">
      <c r="A3347" s="21">
        <v>1100605</v>
      </c>
      <c r="B3347" s="1">
        <v>45352</v>
      </c>
      <c r="C3347" t="s">
        <v>631</v>
      </c>
      <c r="D3347" s="18">
        <v>12037.2</v>
      </c>
      <c r="E3347" s="32">
        <v>37350.42</v>
      </c>
      <c r="F3347" s="15">
        <f>IFERROR(PRD[[#This Row],[VALOR]]/PRD[[#This Row],[KGS]],"")</f>
        <v>3.1029159605223802</v>
      </c>
    </row>
    <row r="3348" spans="1:6" x14ac:dyDescent="0.25">
      <c r="A3348" s="21">
        <v>1100608</v>
      </c>
      <c r="B3348" s="1">
        <v>45352</v>
      </c>
      <c r="C3348" t="s">
        <v>349</v>
      </c>
      <c r="D3348" s="18">
        <v>6054</v>
      </c>
      <c r="E3348" s="32">
        <v>19752.599999999999</v>
      </c>
      <c r="F3348" s="15">
        <f>IFERROR(PRD[[#This Row],[VALOR]]/PRD[[#This Row],[KGS]],"")</f>
        <v>3.2627353815659066</v>
      </c>
    </row>
    <row r="3349" spans="1:6" x14ac:dyDescent="0.25">
      <c r="A3349" s="21">
        <v>1100611</v>
      </c>
      <c r="B3349" s="1">
        <v>45352</v>
      </c>
      <c r="C3349" t="s">
        <v>966</v>
      </c>
      <c r="D3349" s="18">
        <v>29.31</v>
      </c>
      <c r="E3349" s="32">
        <v>118.41</v>
      </c>
      <c r="F3349" s="15">
        <f>IFERROR(PRD[[#This Row],[VALOR]]/PRD[[#This Row],[KGS]],"")</f>
        <v>4.0399181166837259</v>
      </c>
    </row>
    <row r="3350" spans="1:6" x14ac:dyDescent="0.25">
      <c r="A3350" s="21">
        <v>1100700</v>
      </c>
      <c r="B3350" s="1">
        <v>45352</v>
      </c>
      <c r="C3350" t="s">
        <v>83</v>
      </c>
      <c r="D3350" s="18">
        <v>10137.9</v>
      </c>
      <c r="E3350" s="32">
        <v>35979.25</v>
      </c>
      <c r="F3350" s="15">
        <f>IFERROR(PRD[[#This Row],[VALOR]]/PRD[[#This Row],[KGS]],"")</f>
        <v>3.5489845036940593</v>
      </c>
    </row>
    <row r="3351" spans="1:6" x14ac:dyDescent="0.25">
      <c r="A3351" s="21">
        <v>1100701</v>
      </c>
      <c r="B3351" s="1">
        <v>45352</v>
      </c>
      <c r="C3351" t="s">
        <v>84</v>
      </c>
      <c r="D3351" s="18">
        <v>44.5</v>
      </c>
      <c r="E3351" s="32">
        <v>183.31</v>
      </c>
      <c r="F3351" s="15">
        <f>IFERROR(PRD[[#This Row],[VALOR]]/PRD[[#This Row],[KGS]],"")</f>
        <v>4.1193258426966288</v>
      </c>
    </row>
    <row r="3352" spans="1:6" x14ac:dyDescent="0.25">
      <c r="A3352" s="21">
        <v>1100703</v>
      </c>
      <c r="B3352" s="1">
        <v>45352</v>
      </c>
      <c r="C3352" t="s">
        <v>86</v>
      </c>
      <c r="D3352" s="18">
        <v>1305</v>
      </c>
      <c r="E3352" s="32">
        <v>4993.49</v>
      </c>
      <c r="F3352" s="15">
        <f>IFERROR(PRD[[#This Row],[VALOR]]/PRD[[#This Row],[KGS]],"")</f>
        <v>3.8264291187739463</v>
      </c>
    </row>
    <row r="3353" spans="1:6" x14ac:dyDescent="0.25">
      <c r="A3353" s="21">
        <v>1100704</v>
      </c>
      <c r="B3353" s="1">
        <v>45352</v>
      </c>
      <c r="C3353" t="s">
        <v>718</v>
      </c>
      <c r="D3353" s="18">
        <v>38.6</v>
      </c>
      <c r="E3353" s="32">
        <v>179.75</v>
      </c>
      <c r="F3353" s="15">
        <f>IFERROR(PRD[[#This Row],[VALOR]]/PRD[[#This Row],[KGS]],"")</f>
        <v>4.6567357512953365</v>
      </c>
    </row>
    <row r="3354" spans="1:6" x14ac:dyDescent="0.25">
      <c r="A3354" s="21">
        <v>1100705</v>
      </c>
      <c r="B3354" s="1">
        <v>45352</v>
      </c>
      <c r="C3354" t="s">
        <v>88</v>
      </c>
      <c r="D3354" s="18">
        <v>221.18</v>
      </c>
      <c r="E3354" s="32">
        <v>448.35</v>
      </c>
      <c r="F3354" s="15">
        <f>IFERROR(PRD[[#This Row],[VALOR]]/PRD[[#This Row],[KGS]],"")</f>
        <v>2.0270820146487023</v>
      </c>
    </row>
    <row r="3355" spans="1:6" x14ac:dyDescent="0.25">
      <c r="A3355" s="21">
        <v>1100707</v>
      </c>
      <c r="B3355" s="1">
        <v>45352</v>
      </c>
      <c r="C3355" t="s">
        <v>686</v>
      </c>
      <c r="D3355" s="18">
        <v>1335.2</v>
      </c>
      <c r="E3355" s="32">
        <v>5079.96</v>
      </c>
      <c r="F3355" s="15">
        <f>IFERROR(PRD[[#This Row],[VALOR]]/PRD[[#This Row],[KGS]],"")</f>
        <v>3.8046434991012581</v>
      </c>
    </row>
    <row r="3356" spans="1:6" x14ac:dyDescent="0.25">
      <c r="A3356" s="21">
        <v>1100708</v>
      </c>
      <c r="B3356" s="1">
        <v>45352</v>
      </c>
      <c r="C3356" t="s">
        <v>790</v>
      </c>
      <c r="D3356" s="18">
        <v>12.1</v>
      </c>
      <c r="E3356" s="32">
        <v>64.14</v>
      </c>
      <c r="F3356" s="15">
        <f>IFERROR(PRD[[#This Row],[VALOR]]/PRD[[#This Row],[KGS]],"")</f>
        <v>5.3008264462809915</v>
      </c>
    </row>
    <row r="3357" spans="1:6" x14ac:dyDescent="0.25">
      <c r="A3357" s="21">
        <v>1100709</v>
      </c>
      <c r="B3357" s="1">
        <v>45352</v>
      </c>
      <c r="C3357" t="s">
        <v>764</v>
      </c>
      <c r="D3357" s="18">
        <v>725.93</v>
      </c>
      <c r="E3357" s="32">
        <v>2794.85</v>
      </c>
      <c r="F3357" s="15">
        <f>IFERROR(PRD[[#This Row],[VALOR]]/PRD[[#This Row],[KGS]],"")</f>
        <v>3.8500268620941416</v>
      </c>
    </row>
    <row r="3358" spans="1:6" x14ac:dyDescent="0.25">
      <c r="A3358" s="21">
        <v>1100800</v>
      </c>
      <c r="B3358" s="1">
        <v>45352</v>
      </c>
      <c r="C3358" t="s">
        <v>90</v>
      </c>
      <c r="D3358" s="18">
        <v>21523.98</v>
      </c>
      <c r="E3358" s="32">
        <v>67538.7</v>
      </c>
      <c r="F3358" s="15">
        <f>IFERROR(PRD[[#This Row],[VALOR]]/PRD[[#This Row],[KGS]],"")</f>
        <v>3.1378351029874585</v>
      </c>
    </row>
    <row r="3359" spans="1:6" x14ac:dyDescent="0.25">
      <c r="A3359" s="21">
        <v>1100801</v>
      </c>
      <c r="B3359" s="1">
        <v>45352</v>
      </c>
      <c r="C3359" t="s">
        <v>92</v>
      </c>
      <c r="D3359" s="18">
        <v>4489</v>
      </c>
      <c r="E3359" s="32">
        <v>13467</v>
      </c>
      <c r="F3359" s="15">
        <f>IFERROR(PRD[[#This Row],[VALOR]]/PRD[[#This Row],[KGS]],"")</f>
        <v>3</v>
      </c>
    </row>
    <row r="3360" spans="1:6" x14ac:dyDescent="0.25">
      <c r="A3360" s="21">
        <v>1100802</v>
      </c>
      <c r="B3360" s="1">
        <v>45352</v>
      </c>
      <c r="C3360" t="s">
        <v>306</v>
      </c>
      <c r="D3360" s="18">
        <v>55.8</v>
      </c>
      <c r="E3360" s="32">
        <v>181.38</v>
      </c>
      <c r="F3360" s="15">
        <f>IFERROR(PRD[[#This Row],[VALOR]]/PRD[[#This Row],[KGS]],"")</f>
        <v>3.2505376344086021</v>
      </c>
    </row>
    <row r="3361" spans="1:6" x14ac:dyDescent="0.25">
      <c r="A3361" s="21">
        <v>1100900</v>
      </c>
      <c r="B3361" s="1">
        <v>45352</v>
      </c>
      <c r="C3361" t="s">
        <v>94</v>
      </c>
      <c r="D3361" s="18">
        <v>1380.63</v>
      </c>
      <c r="E3361" s="32">
        <v>7334.88</v>
      </c>
      <c r="F3361" s="15">
        <f>IFERROR(PRD[[#This Row],[VALOR]]/PRD[[#This Row],[KGS]],"")</f>
        <v>5.3127050694248279</v>
      </c>
    </row>
    <row r="3362" spans="1:6" x14ac:dyDescent="0.25">
      <c r="A3362" s="21">
        <v>1100901</v>
      </c>
      <c r="B3362" s="1">
        <v>45352</v>
      </c>
      <c r="C3362" t="s">
        <v>791</v>
      </c>
      <c r="D3362" s="18">
        <v>1125.6600000000001</v>
      </c>
      <c r="E3362" s="32">
        <v>4518.8599999999997</v>
      </c>
      <c r="F3362" s="15">
        <f>IFERROR(PRD[[#This Row],[VALOR]]/PRD[[#This Row],[KGS]],"")</f>
        <v>4.0144093243075165</v>
      </c>
    </row>
    <row r="3363" spans="1:6" x14ac:dyDescent="0.25">
      <c r="A3363" s="21">
        <v>1101000</v>
      </c>
      <c r="B3363" s="1">
        <v>45352</v>
      </c>
      <c r="C3363" t="s">
        <v>96</v>
      </c>
      <c r="D3363" s="18">
        <v>18742.5</v>
      </c>
      <c r="E3363" s="32">
        <v>67775</v>
      </c>
      <c r="F3363" s="15">
        <f>IFERROR(PRD[[#This Row],[VALOR]]/PRD[[#This Row],[KGS]],"")</f>
        <v>3.6161131119114311</v>
      </c>
    </row>
    <row r="3364" spans="1:6" x14ac:dyDescent="0.25">
      <c r="A3364" s="21">
        <v>1101001</v>
      </c>
      <c r="B3364" s="1">
        <v>45352</v>
      </c>
      <c r="C3364" t="s">
        <v>98</v>
      </c>
      <c r="D3364" s="18">
        <v>158.6</v>
      </c>
      <c r="E3364" s="32">
        <v>723.24</v>
      </c>
      <c r="F3364" s="15">
        <f>IFERROR(PRD[[#This Row],[VALOR]]/PRD[[#This Row],[KGS]],"")</f>
        <v>4.5601513240857505</v>
      </c>
    </row>
    <row r="3365" spans="1:6" x14ac:dyDescent="0.25">
      <c r="A3365" s="21">
        <v>1101002</v>
      </c>
      <c r="B3365" s="1">
        <v>45352</v>
      </c>
      <c r="C3365" t="s">
        <v>687</v>
      </c>
      <c r="D3365" s="18">
        <v>1522.85</v>
      </c>
      <c r="E3365" s="32">
        <v>6102.34</v>
      </c>
      <c r="F3365" s="15">
        <f>IFERROR(PRD[[#This Row],[VALOR]]/PRD[[#This Row],[KGS]],"")</f>
        <v>4.0071838986111574</v>
      </c>
    </row>
    <row r="3366" spans="1:6" x14ac:dyDescent="0.25">
      <c r="A3366" s="21">
        <v>1101003</v>
      </c>
      <c r="B3366" s="1">
        <v>45352</v>
      </c>
      <c r="C3366" t="s">
        <v>779</v>
      </c>
      <c r="D3366" s="18">
        <v>50</v>
      </c>
      <c r="E3366" s="32">
        <v>190</v>
      </c>
      <c r="F3366" s="15">
        <f>IFERROR(PRD[[#This Row],[VALOR]]/PRD[[#This Row],[KGS]],"")</f>
        <v>3.8</v>
      </c>
    </row>
    <row r="3367" spans="1:6" x14ac:dyDescent="0.25">
      <c r="A3367" s="21">
        <v>1101100</v>
      </c>
      <c r="B3367" s="1">
        <v>45352</v>
      </c>
      <c r="C3367" t="s">
        <v>100</v>
      </c>
      <c r="D3367" s="18">
        <v>21247.87</v>
      </c>
      <c r="E3367" s="32">
        <v>73822.63</v>
      </c>
      <c r="F3367" s="15">
        <f>IFERROR(PRD[[#This Row],[VALOR]]/PRD[[#This Row],[KGS]],"")</f>
        <v>3.4743543705792632</v>
      </c>
    </row>
    <row r="3368" spans="1:6" x14ac:dyDescent="0.25">
      <c r="A3368" s="21">
        <v>1101102</v>
      </c>
      <c r="B3368" s="1">
        <v>45352</v>
      </c>
      <c r="C3368" t="s">
        <v>742</v>
      </c>
      <c r="D3368" s="18">
        <v>1421.6</v>
      </c>
      <c r="E3368" s="32">
        <v>4549.8</v>
      </c>
      <c r="F3368" s="15">
        <f>IFERROR(PRD[[#This Row],[VALOR]]/PRD[[#This Row],[KGS]],"")</f>
        <v>3.200478334271244</v>
      </c>
    </row>
    <row r="3369" spans="1:6" x14ac:dyDescent="0.25">
      <c r="A3369" s="21">
        <v>1101103</v>
      </c>
      <c r="B3369" s="1">
        <v>45352</v>
      </c>
      <c r="C3369" t="s">
        <v>350</v>
      </c>
      <c r="D3369" s="18">
        <v>2204.4</v>
      </c>
      <c r="E3369" s="32">
        <v>7198.16</v>
      </c>
      <c r="F3369" s="15">
        <f>IFERROR(PRD[[#This Row],[VALOR]]/PRD[[#This Row],[KGS]],"")</f>
        <v>3.265360188713482</v>
      </c>
    </row>
    <row r="3370" spans="1:6" x14ac:dyDescent="0.25">
      <c r="A3370" s="21">
        <v>1101108</v>
      </c>
      <c r="B3370" s="1">
        <v>45352</v>
      </c>
      <c r="C3370" t="s">
        <v>743</v>
      </c>
      <c r="D3370" s="18">
        <v>231.97</v>
      </c>
      <c r="E3370" s="32">
        <v>585.29999999999995</v>
      </c>
      <c r="F3370" s="15">
        <f>IFERROR(PRD[[#This Row],[VALOR]]/PRD[[#This Row],[KGS]],"")</f>
        <v>2.5231710997111692</v>
      </c>
    </row>
    <row r="3371" spans="1:6" x14ac:dyDescent="0.25">
      <c r="A3371" s="21">
        <v>1101300</v>
      </c>
      <c r="B3371" s="1">
        <v>45352</v>
      </c>
      <c r="C3371" t="s">
        <v>102</v>
      </c>
      <c r="D3371" s="18">
        <v>769.7</v>
      </c>
      <c r="E3371" s="32">
        <v>2519.7199999999998</v>
      </c>
      <c r="F3371" s="15">
        <f>IFERROR(PRD[[#This Row],[VALOR]]/PRD[[#This Row],[KGS]],"")</f>
        <v>3.2736390801611011</v>
      </c>
    </row>
    <row r="3372" spans="1:6" x14ac:dyDescent="0.25">
      <c r="A3372" s="21">
        <v>1101400</v>
      </c>
      <c r="B3372" s="1">
        <v>45352</v>
      </c>
      <c r="C3372" t="s">
        <v>104</v>
      </c>
      <c r="D3372" s="18">
        <v>15463.92</v>
      </c>
      <c r="E3372" s="32">
        <v>44145.06</v>
      </c>
      <c r="F3372" s="15">
        <f>IFERROR(PRD[[#This Row],[VALOR]]/PRD[[#This Row],[KGS]],"")</f>
        <v>2.854713423245852</v>
      </c>
    </row>
    <row r="3373" spans="1:6" x14ac:dyDescent="0.25">
      <c r="A3373" s="21">
        <v>1101500</v>
      </c>
      <c r="B3373" s="1">
        <v>45352</v>
      </c>
      <c r="C3373" t="s">
        <v>106</v>
      </c>
      <c r="D3373" s="18">
        <v>761.3</v>
      </c>
      <c r="E3373" s="32">
        <v>2223.38</v>
      </c>
      <c r="F3373" s="15">
        <f>IFERROR(PRD[[#This Row],[VALOR]]/PRD[[#This Row],[KGS]],"")</f>
        <v>2.9205044003677925</v>
      </c>
    </row>
    <row r="3374" spans="1:6" x14ac:dyDescent="0.25">
      <c r="A3374" s="21">
        <v>1101600</v>
      </c>
      <c r="B3374" s="1">
        <v>45352</v>
      </c>
      <c r="C3374" t="s">
        <v>108</v>
      </c>
      <c r="D3374" s="18">
        <v>157.19999999999999</v>
      </c>
      <c r="E3374" s="32">
        <v>465.72</v>
      </c>
      <c r="F3374" s="15">
        <f>IFERROR(PRD[[#This Row],[VALOR]]/PRD[[#This Row],[KGS]],"")</f>
        <v>2.9625954198473288</v>
      </c>
    </row>
    <row r="3375" spans="1:6" x14ac:dyDescent="0.25">
      <c r="A3375" s="21">
        <v>1101700</v>
      </c>
      <c r="B3375" s="1">
        <v>45352</v>
      </c>
      <c r="C3375" t="s">
        <v>110</v>
      </c>
      <c r="D3375" s="18">
        <v>221.3</v>
      </c>
      <c r="E3375" s="32">
        <v>628.52</v>
      </c>
      <c r="F3375" s="15">
        <f>IFERROR(PRD[[#This Row],[VALOR]]/PRD[[#This Row],[KGS]],"")</f>
        <v>2.8401265250790781</v>
      </c>
    </row>
    <row r="3376" spans="1:6" x14ac:dyDescent="0.25">
      <c r="A3376" s="21">
        <v>1101801</v>
      </c>
      <c r="B3376" s="1">
        <v>45352</v>
      </c>
      <c r="C3376" t="s">
        <v>112</v>
      </c>
      <c r="D3376" s="18">
        <v>898.23</v>
      </c>
      <c r="E3376" s="32">
        <v>2570.5500000000002</v>
      </c>
      <c r="F3376" s="15">
        <f>IFERROR(PRD[[#This Row],[VALOR]]/PRD[[#This Row],[KGS]],"")</f>
        <v>2.8617948632310211</v>
      </c>
    </row>
    <row r="3377" spans="1:6" x14ac:dyDescent="0.25">
      <c r="A3377" s="21">
        <v>1101900</v>
      </c>
      <c r="B3377" s="1">
        <v>45352</v>
      </c>
      <c r="C3377" t="s">
        <v>114</v>
      </c>
      <c r="D3377" s="18">
        <v>2756.3</v>
      </c>
      <c r="E3377" s="32">
        <v>10010.4</v>
      </c>
      <c r="F3377" s="15">
        <f>IFERROR(PRD[[#This Row],[VALOR]]/PRD[[#This Row],[KGS]],"")</f>
        <v>3.6318252730109202</v>
      </c>
    </row>
    <row r="3378" spans="1:6" x14ac:dyDescent="0.25">
      <c r="A3378" s="21">
        <v>1101901</v>
      </c>
      <c r="B3378" s="1">
        <v>45352</v>
      </c>
      <c r="C3378" t="s">
        <v>448</v>
      </c>
      <c r="D3378" s="18">
        <v>615.63</v>
      </c>
      <c r="E3378" s="32">
        <v>2227.59</v>
      </c>
      <c r="F3378" s="15">
        <f>IFERROR(PRD[[#This Row],[VALOR]]/PRD[[#This Row],[KGS]],"")</f>
        <v>3.6183909166219972</v>
      </c>
    </row>
    <row r="3379" spans="1:6" x14ac:dyDescent="0.25">
      <c r="A3379" s="21">
        <v>1101902</v>
      </c>
      <c r="B3379" s="1">
        <v>45352</v>
      </c>
      <c r="C3379" t="s">
        <v>351</v>
      </c>
      <c r="D3379" s="18">
        <v>630.24</v>
      </c>
      <c r="E3379" s="32">
        <v>2623.3</v>
      </c>
      <c r="F3379" s="15">
        <f>IFERROR(PRD[[#This Row],[VALOR]]/PRD[[#This Row],[KGS]],"")</f>
        <v>4.1623825844122875</v>
      </c>
    </row>
    <row r="3380" spans="1:6" x14ac:dyDescent="0.25">
      <c r="A3380" s="21">
        <v>1101904</v>
      </c>
      <c r="B3380" s="1">
        <v>45352</v>
      </c>
      <c r="C3380" t="s">
        <v>765</v>
      </c>
      <c r="D3380" s="18">
        <v>12.9</v>
      </c>
      <c r="E3380" s="32">
        <v>54.18</v>
      </c>
      <c r="F3380" s="15">
        <f>IFERROR(PRD[[#This Row],[VALOR]]/PRD[[#This Row],[KGS]],"")</f>
        <v>4.2</v>
      </c>
    </row>
    <row r="3381" spans="1:6" x14ac:dyDescent="0.25">
      <c r="A3381" s="21">
        <v>1102000</v>
      </c>
      <c r="B3381" s="1">
        <v>45352</v>
      </c>
      <c r="C3381" t="s">
        <v>115</v>
      </c>
      <c r="D3381" s="18">
        <v>228.5</v>
      </c>
      <c r="E3381" s="32">
        <v>1022.35</v>
      </c>
      <c r="F3381" s="15">
        <f>IFERROR(PRD[[#This Row],[VALOR]]/PRD[[#This Row],[KGS]],"")</f>
        <v>4.4741794310722103</v>
      </c>
    </row>
    <row r="3382" spans="1:6" x14ac:dyDescent="0.25">
      <c r="A3382" s="21">
        <v>1102100</v>
      </c>
      <c r="B3382" s="1">
        <v>45352</v>
      </c>
      <c r="C3382" t="s">
        <v>688</v>
      </c>
      <c r="D3382" s="18">
        <v>50.6</v>
      </c>
      <c r="E3382" s="32">
        <v>167.67</v>
      </c>
      <c r="F3382" s="15">
        <f>IFERROR(PRD[[#This Row],[VALOR]]/PRD[[#This Row],[KGS]],"")</f>
        <v>3.3136363636363635</v>
      </c>
    </row>
    <row r="3383" spans="1:6" x14ac:dyDescent="0.25">
      <c r="A3383" s="21">
        <v>1102200</v>
      </c>
      <c r="B3383" s="1">
        <v>45352</v>
      </c>
      <c r="C3383" t="s">
        <v>117</v>
      </c>
      <c r="D3383" s="18">
        <v>40</v>
      </c>
      <c r="E3383" s="32">
        <v>146.03</v>
      </c>
      <c r="F3383" s="15">
        <f>IFERROR(PRD[[#This Row],[VALOR]]/PRD[[#This Row],[KGS]],"")</f>
        <v>3.6507499999999999</v>
      </c>
    </row>
    <row r="3384" spans="1:6" x14ac:dyDescent="0.25">
      <c r="A3384" s="21">
        <v>1102300</v>
      </c>
      <c r="B3384" s="1">
        <v>45352</v>
      </c>
      <c r="C3384" t="s">
        <v>119</v>
      </c>
      <c r="D3384" s="18">
        <v>3399.1</v>
      </c>
      <c r="E3384" s="32">
        <v>10070.42</v>
      </c>
      <c r="F3384" s="15">
        <f>IFERROR(PRD[[#This Row],[VALOR]]/PRD[[#This Row],[KGS]],"")</f>
        <v>2.9626724721249742</v>
      </c>
    </row>
    <row r="3385" spans="1:6" x14ac:dyDescent="0.25">
      <c r="A3385" s="21">
        <v>1103000</v>
      </c>
      <c r="B3385" s="1">
        <v>45352</v>
      </c>
      <c r="C3385" t="s">
        <v>121</v>
      </c>
      <c r="D3385" s="18">
        <v>416.08</v>
      </c>
      <c r="E3385" s="32">
        <v>969.74</v>
      </c>
      <c r="F3385" s="15">
        <f>IFERROR(PRD[[#This Row],[VALOR]]/PRD[[#This Row],[KGS]],"")</f>
        <v>2.3306575658527207</v>
      </c>
    </row>
    <row r="3386" spans="1:6" x14ac:dyDescent="0.25">
      <c r="A3386" s="21">
        <v>1103001</v>
      </c>
      <c r="B3386" s="1">
        <v>45352</v>
      </c>
      <c r="C3386" t="s">
        <v>123</v>
      </c>
      <c r="D3386" s="18">
        <v>7.6</v>
      </c>
      <c r="E3386" s="32">
        <v>18.239999999999998</v>
      </c>
      <c r="F3386" s="15">
        <f>IFERROR(PRD[[#This Row],[VALOR]]/PRD[[#This Row],[KGS]],"")</f>
        <v>2.4</v>
      </c>
    </row>
    <row r="3387" spans="1:6" x14ac:dyDescent="0.25">
      <c r="A3387" s="21">
        <v>1300001</v>
      </c>
      <c r="B3387" s="1">
        <v>45352</v>
      </c>
      <c r="C3387" t="s">
        <v>967</v>
      </c>
      <c r="D3387" s="18">
        <v>87.01</v>
      </c>
      <c r="E3387" s="32">
        <v>469.88</v>
      </c>
      <c r="F3387" s="15">
        <f>IFERROR(PRD[[#This Row],[VALOR]]/PRD[[#This Row],[KGS]],"")</f>
        <v>5.4002988162280197</v>
      </c>
    </row>
    <row r="3388" spans="1:6" x14ac:dyDescent="0.25">
      <c r="A3388" s="21">
        <v>1300002</v>
      </c>
      <c r="B3388" s="1">
        <v>45352</v>
      </c>
      <c r="C3388" t="s">
        <v>968</v>
      </c>
      <c r="D3388" s="18">
        <v>331.1</v>
      </c>
      <c r="E3388" s="32">
        <v>2383.96</v>
      </c>
      <c r="F3388" s="15">
        <f>IFERROR(PRD[[#This Row],[VALOR]]/PRD[[#This Row],[KGS]],"")</f>
        <v>7.2001208094231348</v>
      </c>
    </row>
    <row r="3389" spans="1:6" x14ac:dyDescent="0.25">
      <c r="A3389" s="21">
        <v>1300003</v>
      </c>
      <c r="B3389" s="1">
        <v>45352</v>
      </c>
      <c r="C3389" t="s">
        <v>969</v>
      </c>
      <c r="D3389" s="18">
        <v>193.43</v>
      </c>
      <c r="E3389" s="32">
        <v>1218.6099999999999</v>
      </c>
      <c r="F3389" s="15">
        <f>IFERROR(PRD[[#This Row],[VALOR]]/PRD[[#This Row],[KGS]],"")</f>
        <v>6.3000051698288777</v>
      </c>
    </row>
    <row r="3390" spans="1:6" x14ac:dyDescent="0.25">
      <c r="A3390" s="21">
        <v>1300004</v>
      </c>
      <c r="B3390" s="1">
        <v>45352</v>
      </c>
      <c r="C3390" t="s">
        <v>970</v>
      </c>
      <c r="D3390" s="18">
        <v>60.57</v>
      </c>
      <c r="E3390" s="32">
        <v>345.25</v>
      </c>
      <c r="F3390" s="15">
        <f>IFERROR(PRD[[#This Row],[VALOR]]/PRD[[#This Row],[KGS]],"")</f>
        <v>5.7000165098233451</v>
      </c>
    </row>
    <row r="3391" spans="1:6" x14ac:dyDescent="0.25">
      <c r="A3391" s="21">
        <v>1300005</v>
      </c>
      <c r="B3391" s="1">
        <v>45352</v>
      </c>
      <c r="C3391" t="s">
        <v>971</v>
      </c>
      <c r="D3391" s="18">
        <v>40.29</v>
      </c>
      <c r="E3391" s="32">
        <v>342.51</v>
      </c>
      <c r="F3391" s="15">
        <f>IFERROR(PRD[[#This Row],[VALOR]]/PRD[[#This Row],[KGS]],"")</f>
        <v>8.501116902457186</v>
      </c>
    </row>
    <row r="3392" spans="1:6" x14ac:dyDescent="0.25">
      <c r="A3392" s="21">
        <v>1300006</v>
      </c>
      <c r="B3392" s="1">
        <v>45352</v>
      </c>
      <c r="C3392" t="s">
        <v>972</v>
      </c>
      <c r="D3392" s="18">
        <v>175.16</v>
      </c>
      <c r="E3392" s="32">
        <v>1243.67</v>
      </c>
      <c r="F3392" s="15">
        <f>IFERROR(PRD[[#This Row],[VALOR]]/PRD[[#This Row],[KGS]],"")</f>
        <v>7.1001941082438922</v>
      </c>
    </row>
    <row r="3393" spans="1:6" x14ac:dyDescent="0.25">
      <c r="A3393" s="21">
        <v>1300007</v>
      </c>
      <c r="B3393" s="1">
        <v>45352</v>
      </c>
      <c r="C3393" t="s">
        <v>973</v>
      </c>
      <c r="D3393" s="18">
        <v>12.72</v>
      </c>
      <c r="E3393" s="32">
        <v>137.38</v>
      </c>
      <c r="F3393" s="15">
        <f>IFERROR(PRD[[#This Row],[VALOR]]/PRD[[#This Row],[KGS]],"")</f>
        <v>10.800314465408803</v>
      </c>
    </row>
    <row r="3394" spans="1:6" x14ac:dyDescent="0.25">
      <c r="A3394" s="21">
        <v>1300008</v>
      </c>
      <c r="B3394" s="1">
        <v>45352</v>
      </c>
      <c r="C3394" t="s">
        <v>974</v>
      </c>
      <c r="D3394" s="18">
        <v>78.510000000000005</v>
      </c>
      <c r="E3394" s="32">
        <v>510.35</v>
      </c>
      <c r="F3394" s="15">
        <f>IFERROR(PRD[[#This Row],[VALOR]]/PRD[[#This Row],[KGS]],"")</f>
        <v>6.5004458030824095</v>
      </c>
    </row>
    <row r="3395" spans="1:6" x14ac:dyDescent="0.25">
      <c r="A3395" s="21">
        <v>1300009</v>
      </c>
      <c r="B3395" s="1">
        <v>45352</v>
      </c>
      <c r="C3395" t="s">
        <v>975</v>
      </c>
      <c r="D3395" s="18">
        <v>107.3</v>
      </c>
      <c r="E3395" s="32">
        <v>697.45</v>
      </c>
      <c r="F3395" s="15">
        <f>IFERROR(PRD[[#This Row],[VALOR]]/PRD[[#This Row],[KGS]],"")</f>
        <v>6.5000000000000009</v>
      </c>
    </row>
    <row r="3396" spans="1:6" x14ac:dyDescent="0.25">
      <c r="A3396" s="21">
        <v>1300010</v>
      </c>
      <c r="B3396" s="1">
        <v>45352</v>
      </c>
      <c r="C3396" t="s">
        <v>976</v>
      </c>
      <c r="D3396" s="18">
        <v>5.47</v>
      </c>
      <c r="E3396" s="32">
        <v>71.11</v>
      </c>
      <c r="F3396" s="15">
        <f>IFERROR(PRD[[#This Row],[VALOR]]/PRD[[#This Row],[KGS]],"")</f>
        <v>13</v>
      </c>
    </row>
    <row r="3397" spans="1:6" x14ac:dyDescent="0.25">
      <c r="A3397" s="21">
        <v>1300011</v>
      </c>
      <c r="B3397" s="1">
        <v>45352</v>
      </c>
      <c r="C3397" t="s">
        <v>977</v>
      </c>
      <c r="D3397" s="18">
        <v>8.7799999999999994</v>
      </c>
      <c r="E3397" s="32">
        <v>86.92</v>
      </c>
      <c r="F3397" s="15">
        <f>IFERROR(PRD[[#This Row],[VALOR]]/PRD[[#This Row],[KGS]],"")</f>
        <v>9.8997722095671996</v>
      </c>
    </row>
    <row r="3398" spans="1:6" x14ac:dyDescent="0.25">
      <c r="A3398" s="21">
        <v>1300012</v>
      </c>
      <c r="B3398" s="1">
        <v>45352</v>
      </c>
      <c r="C3398" t="s">
        <v>978</v>
      </c>
      <c r="D3398" s="18">
        <v>33.11</v>
      </c>
      <c r="E3398" s="32">
        <v>413.94</v>
      </c>
      <c r="F3398" s="15">
        <f>IFERROR(PRD[[#This Row],[VALOR]]/PRD[[#This Row],[KGS]],"")</f>
        <v>12.501963153125944</v>
      </c>
    </row>
    <row r="3399" spans="1:6" x14ac:dyDescent="0.25">
      <c r="A3399" s="21">
        <v>1300013</v>
      </c>
      <c r="B3399" s="1">
        <v>45352</v>
      </c>
      <c r="C3399" t="s">
        <v>979</v>
      </c>
      <c r="D3399" s="18">
        <v>164.22</v>
      </c>
      <c r="E3399" s="32">
        <v>968.9</v>
      </c>
      <c r="F3399" s="15">
        <f>IFERROR(PRD[[#This Row],[VALOR]]/PRD[[#This Row],[KGS]],"")</f>
        <v>5.9000121787845572</v>
      </c>
    </row>
    <row r="3400" spans="1:6" x14ac:dyDescent="0.25">
      <c r="A3400" s="21">
        <v>2010904</v>
      </c>
      <c r="B3400" s="1">
        <v>45352</v>
      </c>
      <c r="C3400" t="s">
        <v>633</v>
      </c>
      <c r="D3400" s="18">
        <v>337</v>
      </c>
      <c r="E3400" s="32">
        <v>341</v>
      </c>
      <c r="F3400" s="15">
        <f>IFERROR(PRD[[#This Row],[VALOR]]/PRD[[#This Row],[KGS]],"")</f>
        <v>1.0118694362017804</v>
      </c>
    </row>
    <row r="3401" spans="1:6" x14ac:dyDescent="0.25">
      <c r="A3401" s="21">
        <v>2010905</v>
      </c>
      <c r="B3401" s="1">
        <v>45352</v>
      </c>
      <c r="C3401" t="s">
        <v>544</v>
      </c>
      <c r="D3401" s="18">
        <v>510</v>
      </c>
      <c r="E3401" s="32">
        <v>423</v>
      </c>
      <c r="F3401" s="15">
        <f>IFERROR(PRD[[#This Row],[VALOR]]/PRD[[#This Row],[KGS]],"")</f>
        <v>0.8294117647058824</v>
      </c>
    </row>
    <row r="3402" spans="1:6" x14ac:dyDescent="0.25">
      <c r="A3402" s="21">
        <v>2011700</v>
      </c>
      <c r="B3402" s="1">
        <v>45352</v>
      </c>
      <c r="C3402" t="s">
        <v>129</v>
      </c>
      <c r="D3402" s="18">
        <v>176.6</v>
      </c>
      <c r="E3402" s="32">
        <v>428.99</v>
      </c>
      <c r="F3402" s="15">
        <f>IFERROR(PRD[[#This Row],[VALOR]]/PRD[[#This Row],[KGS]],"")</f>
        <v>2.4291619479048698</v>
      </c>
    </row>
    <row r="3403" spans="1:6" x14ac:dyDescent="0.25">
      <c r="A3403" s="21">
        <v>2090002</v>
      </c>
      <c r="B3403" s="1">
        <v>45352</v>
      </c>
      <c r="C3403" t="s">
        <v>451</v>
      </c>
      <c r="D3403" s="18">
        <v>144.75</v>
      </c>
      <c r="E3403" s="32">
        <v>749.19</v>
      </c>
      <c r="F3403" s="15">
        <f>IFERROR(PRD[[#This Row],[VALOR]]/PRD[[#This Row],[KGS]],"")</f>
        <v>5.1757512953367879</v>
      </c>
    </row>
    <row r="3404" spans="1:6" x14ac:dyDescent="0.25">
      <c r="A3404" s="21">
        <v>2101100</v>
      </c>
      <c r="B3404" s="1">
        <v>45352</v>
      </c>
      <c r="C3404" t="s">
        <v>453</v>
      </c>
      <c r="D3404" s="18">
        <v>65</v>
      </c>
      <c r="E3404" s="32">
        <v>254.15</v>
      </c>
      <c r="F3404" s="15">
        <f>IFERROR(PRD[[#This Row],[VALOR]]/PRD[[#This Row],[KGS]],"")</f>
        <v>3.91</v>
      </c>
    </row>
    <row r="3405" spans="1:6" x14ac:dyDescent="0.25">
      <c r="A3405" s="21">
        <v>3020103</v>
      </c>
      <c r="B3405" s="1">
        <v>45352</v>
      </c>
      <c r="C3405" t="s">
        <v>131</v>
      </c>
      <c r="D3405" s="18">
        <v>5327</v>
      </c>
      <c r="E3405" s="32">
        <v>17789.349999999999</v>
      </c>
      <c r="F3405" s="15">
        <f>IFERROR(PRD[[#This Row],[VALOR]]/PRD[[#This Row],[KGS]],"")</f>
        <v>3.3394687441336584</v>
      </c>
    </row>
    <row r="3406" spans="1:6" x14ac:dyDescent="0.25">
      <c r="A3406" s="21">
        <v>3020212</v>
      </c>
      <c r="B3406" s="1">
        <v>45352</v>
      </c>
      <c r="C3406" t="s">
        <v>133</v>
      </c>
      <c r="D3406" s="18">
        <v>1690.64</v>
      </c>
      <c r="E3406" s="32">
        <v>6378.8</v>
      </c>
      <c r="F3406" s="15">
        <f>IFERROR(PRD[[#This Row],[VALOR]]/PRD[[#This Row],[KGS]],"")</f>
        <v>3.7730090379974448</v>
      </c>
    </row>
    <row r="3407" spans="1:6" x14ac:dyDescent="0.25">
      <c r="A3407" s="21">
        <v>3020214</v>
      </c>
      <c r="B3407" s="1">
        <v>45352</v>
      </c>
      <c r="C3407" t="s">
        <v>135</v>
      </c>
      <c r="D3407" s="18">
        <v>547</v>
      </c>
      <c r="E3407" s="32">
        <v>1984.23</v>
      </c>
      <c r="F3407" s="15">
        <f>IFERROR(PRD[[#This Row],[VALOR]]/PRD[[#This Row],[KGS]],"")</f>
        <v>3.6274771480804389</v>
      </c>
    </row>
    <row r="3408" spans="1:6" x14ac:dyDescent="0.25">
      <c r="A3408" s="21">
        <v>3020315</v>
      </c>
      <c r="B3408" s="1">
        <v>45352</v>
      </c>
      <c r="C3408" t="s">
        <v>137</v>
      </c>
      <c r="D3408" s="18">
        <v>2508.84</v>
      </c>
      <c r="E3408" s="32">
        <v>9080.4599999999991</v>
      </c>
      <c r="F3408" s="15">
        <f>IFERROR(PRD[[#This Row],[VALOR]]/PRD[[#This Row],[KGS]],"")</f>
        <v>3.6193858516286403</v>
      </c>
    </row>
    <row r="3409" spans="1:6" x14ac:dyDescent="0.25">
      <c r="A3409" s="21">
        <v>3020316</v>
      </c>
      <c r="B3409" s="1">
        <v>45352</v>
      </c>
      <c r="C3409" t="s">
        <v>139</v>
      </c>
      <c r="D3409" s="18">
        <v>203.4</v>
      </c>
      <c r="E3409" s="32">
        <v>661.06</v>
      </c>
      <c r="F3409" s="15">
        <f>IFERROR(PRD[[#This Row],[VALOR]]/PRD[[#This Row],[KGS]],"")</f>
        <v>3.2500491642084559</v>
      </c>
    </row>
    <row r="3410" spans="1:6" x14ac:dyDescent="0.25">
      <c r="A3410" s="21">
        <v>3020317</v>
      </c>
      <c r="B3410" s="1">
        <v>45352</v>
      </c>
      <c r="C3410" t="s">
        <v>845</v>
      </c>
      <c r="D3410" s="18">
        <v>69</v>
      </c>
      <c r="E3410" s="32">
        <v>241.5</v>
      </c>
      <c r="F3410" s="15">
        <f>IFERROR(PRD[[#This Row],[VALOR]]/PRD[[#This Row],[KGS]],"")</f>
        <v>3.5</v>
      </c>
    </row>
    <row r="3411" spans="1:6" x14ac:dyDescent="0.25">
      <c r="A3411" s="21">
        <v>3020318</v>
      </c>
      <c r="B3411" s="1">
        <v>45352</v>
      </c>
      <c r="C3411" t="s">
        <v>847</v>
      </c>
      <c r="D3411" s="18">
        <v>34.5</v>
      </c>
      <c r="E3411" s="32">
        <v>120.75</v>
      </c>
      <c r="F3411" s="15">
        <f>IFERROR(PRD[[#This Row],[VALOR]]/PRD[[#This Row],[KGS]],"")</f>
        <v>3.5</v>
      </c>
    </row>
    <row r="3412" spans="1:6" x14ac:dyDescent="0.25">
      <c r="A3412" s="21">
        <v>3020402</v>
      </c>
      <c r="B3412" s="1">
        <v>45352</v>
      </c>
      <c r="C3412" t="s">
        <v>141</v>
      </c>
      <c r="D3412" s="18">
        <v>1983.76</v>
      </c>
      <c r="E3412" s="32">
        <v>7196.6</v>
      </c>
      <c r="F3412" s="15">
        <f>IFERROR(PRD[[#This Row],[VALOR]]/PRD[[#This Row],[KGS]],"")</f>
        <v>3.627757390006856</v>
      </c>
    </row>
    <row r="3413" spans="1:6" x14ac:dyDescent="0.25">
      <c r="A3413" s="21">
        <v>3020504</v>
      </c>
      <c r="B3413" s="1">
        <v>45352</v>
      </c>
      <c r="C3413" t="s">
        <v>143</v>
      </c>
      <c r="D3413" s="18">
        <v>435.86</v>
      </c>
      <c r="E3413" s="32">
        <v>1688.22</v>
      </c>
      <c r="F3413" s="15">
        <f>IFERROR(PRD[[#This Row],[VALOR]]/PRD[[#This Row],[KGS]],"")</f>
        <v>3.8733079429174504</v>
      </c>
    </row>
    <row r="3414" spans="1:6" x14ac:dyDescent="0.25">
      <c r="A3414" s="21">
        <v>3020622</v>
      </c>
      <c r="B3414" s="1">
        <v>45352</v>
      </c>
      <c r="C3414" t="s">
        <v>145</v>
      </c>
      <c r="D3414" s="18">
        <v>7633.5</v>
      </c>
      <c r="E3414" s="32">
        <v>28036.86</v>
      </c>
      <c r="F3414" s="15">
        <f>IFERROR(PRD[[#This Row],[VALOR]]/PRD[[#This Row],[KGS]],"")</f>
        <v>3.6728708980153271</v>
      </c>
    </row>
    <row r="3415" spans="1:6" x14ac:dyDescent="0.25">
      <c r="A3415" s="21">
        <v>3020623</v>
      </c>
      <c r="B3415" s="1">
        <v>45352</v>
      </c>
      <c r="C3415" t="s">
        <v>147</v>
      </c>
      <c r="D3415" s="18">
        <v>621.29999999999995</v>
      </c>
      <c r="E3415" s="32">
        <v>2400.5100000000002</v>
      </c>
      <c r="F3415" s="15">
        <f>IFERROR(PRD[[#This Row],[VALOR]]/PRD[[#This Row],[KGS]],"")</f>
        <v>3.863689039111541</v>
      </c>
    </row>
    <row r="3416" spans="1:6" x14ac:dyDescent="0.25">
      <c r="A3416" s="21">
        <v>3020725</v>
      </c>
      <c r="B3416" s="1">
        <v>45352</v>
      </c>
      <c r="C3416" t="s">
        <v>149</v>
      </c>
      <c r="D3416" s="18">
        <v>338.57</v>
      </c>
      <c r="E3416" s="32">
        <v>1282.01</v>
      </c>
      <c r="F3416" s="15">
        <f>IFERROR(PRD[[#This Row],[VALOR]]/PRD[[#This Row],[KGS]],"")</f>
        <v>3.7865434031367222</v>
      </c>
    </row>
    <row r="3417" spans="1:6" x14ac:dyDescent="0.25">
      <c r="A3417" s="21">
        <v>3020823</v>
      </c>
      <c r="B3417" s="1">
        <v>45352</v>
      </c>
      <c r="C3417" t="s">
        <v>151</v>
      </c>
      <c r="D3417" s="18">
        <v>2185.09</v>
      </c>
      <c r="E3417" s="32">
        <v>8253.27</v>
      </c>
      <c r="F3417" s="15">
        <f>IFERROR(PRD[[#This Row],[VALOR]]/PRD[[#This Row],[KGS]],"")</f>
        <v>3.7770846967401801</v>
      </c>
    </row>
    <row r="3418" spans="1:6" x14ac:dyDescent="0.25">
      <c r="A3418" s="21">
        <v>3020824</v>
      </c>
      <c r="B3418" s="1">
        <v>45352</v>
      </c>
      <c r="C3418" t="s">
        <v>153</v>
      </c>
      <c r="D3418" s="18">
        <v>1552.09</v>
      </c>
      <c r="E3418" s="32">
        <v>5792.89</v>
      </c>
      <c r="F3418" s="15">
        <f>IFERROR(PRD[[#This Row],[VALOR]]/PRD[[#This Row],[KGS]],"")</f>
        <v>3.7323157806570499</v>
      </c>
    </row>
    <row r="3419" spans="1:6" x14ac:dyDescent="0.25">
      <c r="A3419" s="21">
        <v>3020825</v>
      </c>
      <c r="B3419" s="1">
        <v>45352</v>
      </c>
      <c r="C3419" t="s">
        <v>455</v>
      </c>
      <c r="D3419" s="18">
        <v>737.93</v>
      </c>
      <c r="E3419" s="32">
        <v>3025.54</v>
      </c>
      <c r="F3419" s="15">
        <f>IFERROR(PRD[[#This Row],[VALOR]]/PRD[[#This Row],[KGS]],"")</f>
        <v>4.1000365888363399</v>
      </c>
    </row>
    <row r="3420" spans="1:6" x14ac:dyDescent="0.25">
      <c r="A3420" s="21">
        <v>3020924</v>
      </c>
      <c r="B3420" s="1">
        <v>45352</v>
      </c>
      <c r="C3420" t="s">
        <v>155</v>
      </c>
      <c r="D3420" s="18">
        <v>1097.71</v>
      </c>
      <c r="E3420" s="32">
        <v>4186.79</v>
      </c>
      <c r="F3420" s="15">
        <f>IFERROR(PRD[[#This Row],[VALOR]]/PRD[[#This Row],[KGS]],"")</f>
        <v>3.8141130170992339</v>
      </c>
    </row>
    <row r="3421" spans="1:6" x14ac:dyDescent="0.25">
      <c r="A3421" s="21">
        <v>3020925</v>
      </c>
      <c r="B3421" s="1">
        <v>45352</v>
      </c>
      <c r="C3421" t="s">
        <v>157</v>
      </c>
      <c r="D3421" s="18">
        <v>1263.24</v>
      </c>
      <c r="E3421" s="32">
        <v>4694.12</v>
      </c>
      <c r="F3421" s="15">
        <f>IFERROR(PRD[[#This Row],[VALOR]]/PRD[[#This Row],[KGS]],"")</f>
        <v>3.7159367974414996</v>
      </c>
    </row>
    <row r="3422" spans="1:6" x14ac:dyDescent="0.25">
      <c r="A3422" s="21">
        <v>3021436</v>
      </c>
      <c r="B3422" s="1">
        <v>45352</v>
      </c>
      <c r="C3422" t="s">
        <v>546</v>
      </c>
      <c r="D3422" s="18">
        <v>362.79</v>
      </c>
      <c r="E3422" s="32">
        <v>1180.2</v>
      </c>
      <c r="F3422" s="15">
        <f>IFERROR(PRD[[#This Row],[VALOR]]/PRD[[#This Row],[KGS]],"")</f>
        <v>3.2531216406185397</v>
      </c>
    </row>
    <row r="3423" spans="1:6" x14ac:dyDescent="0.25">
      <c r="A3423" s="21">
        <v>3021538</v>
      </c>
      <c r="B3423" s="1">
        <v>45352</v>
      </c>
      <c r="C3423" t="s">
        <v>548</v>
      </c>
      <c r="D3423" s="18">
        <v>409.25</v>
      </c>
      <c r="E3423" s="32">
        <v>1202.08</v>
      </c>
      <c r="F3423" s="15">
        <f>IFERROR(PRD[[#This Row],[VALOR]]/PRD[[#This Row],[KGS]],"")</f>
        <v>2.9372755039706777</v>
      </c>
    </row>
    <row r="3424" spans="1:6" x14ac:dyDescent="0.25">
      <c r="A3424" s="21">
        <v>3021639</v>
      </c>
      <c r="B3424" s="1">
        <v>45352</v>
      </c>
      <c r="C3424" t="s">
        <v>457</v>
      </c>
      <c r="D3424" s="18">
        <v>19.72</v>
      </c>
      <c r="E3424" s="32">
        <v>61.13</v>
      </c>
      <c r="F3424" s="15">
        <f>IFERROR(PRD[[#This Row],[VALOR]]/PRD[[#This Row],[KGS]],"")</f>
        <v>3.0998985801217041</v>
      </c>
    </row>
    <row r="3425" spans="1:6" x14ac:dyDescent="0.25">
      <c r="A3425" s="21">
        <v>3021739</v>
      </c>
      <c r="B3425" s="1">
        <v>45352</v>
      </c>
      <c r="C3425" t="s">
        <v>165</v>
      </c>
      <c r="D3425" s="18">
        <v>-11.5</v>
      </c>
      <c r="E3425" s="32">
        <v>-32.200000000000003</v>
      </c>
      <c r="F3425" s="15">
        <f>IFERROR(PRD[[#This Row],[VALOR]]/PRD[[#This Row],[KGS]],"")</f>
        <v>2.8000000000000003</v>
      </c>
    </row>
    <row r="3426" spans="1:6" x14ac:dyDescent="0.25">
      <c r="A3426" s="21">
        <v>3021740</v>
      </c>
      <c r="B3426" s="1">
        <v>45352</v>
      </c>
      <c r="C3426" t="s">
        <v>459</v>
      </c>
      <c r="D3426" s="18">
        <v>106.46</v>
      </c>
      <c r="E3426" s="32">
        <v>311.76</v>
      </c>
      <c r="F3426" s="15">
        <f>IFERROR(PRD[[#This Row],[VALOR]]/PRD[[#This Row],[KGS]],"")</f>
        <v>2.9284238211534848</v>
      </c>
    </row>
    <row r="3427" spans="1:6" x14ac:dyDescent="0.25">
      <c r="A3427" s="21">
        <v>3021760</v>
      </c>
      <c r="B3427" s="1">
        <v>45352</v>
      </c>
      <c r="C3427" t="s">
        <v>167</v>
      </c>
      <c r="D3427" s="18">
        <v>5827.88</v>
      </c>
      <c r="E3427" s="32">
        <v>11218.86</v>
      </c>
      <c r="F3427" s="15">
        <f>IFERROR(PRD[[#This Row],[VALOR]]/PRD[[#This Row],[KGS]],"")</f>
        <v>1.9250327734956794</v>
      </c>
    </row>
    <row r="3428" spans="1:6" x14ac:dyDescent="0.25">
      <c r="A3428" s="21">
        <v>3021811</v>
      </c>
      <c r="B3428" s="1">
        <v>45352</v>
      </c>
      <c r="C3428" t="s">
        <v>169</v>
      </c>
      <c r="D3428" s="18">
        <v>1241</v>
      </c>
      <c r="E3428" s="32">
        <v>2561.96</v>
      </c>
      <c r="F3428" s="15">
        <f>IFERROR(PRD[[#This Row],[VALOR]]/PRD[[#This Row],[KGS]],"")</f>
        <v>2.0644319097502013</v>
      </c>
    </row>
    <row r="3429" spans="1:6" x14ac:dyDescent="0.25">
      <c r="A3429" s="21">
        <v>3021812</v>
      </c>
      <c r="B3429" s="1">
        <v>45352</v>
      </c>
      <c r="C3429" t="s">
        <v>171</v>
      </c>
      <c r="D3429" s="18">
        <v>5639.52</v>
      </c>
      <c r="E3429" s="32">
        <v>10571.1</v>
      </c>
      <c r="F3429" s="15">
        <f>IFERROR(PRD[[#This Row],[VALOR]]/PRD[[#This Row],[KGS]],"")</f>
        <v>1.8744680398331772</v>
      </c>
    </row>
    <row r="3430" spans="1:6" x14ac:dyDescent="0.25">
      <c r="A3430" s="21">
        <v>3022100</v>
      </c>
      <c r="B3430" s="1">
        <v>45352</v>
      </c>
      <c r="C3430" t="s">
        <v>173</v>
      </c>
      <c r="D3430" s="18">
        <v>85.36</v>
      </c>
      <c r="E3430" s="32">
        <v>338.07</v>
      </c>
      <c r="F3430" s="15">
        <f>IFERROR(PRD[[#This Row],[VALOR]]/PRD[[#This Row],[KGS]],"")</f>
        <v>3.9605201499531395</v>
      </c>
    </row>
    <row r="3431" spans="1:6" x14ac:dyDescent="0.25">
      <c r="A3431" s="21">
        <v>3022208</v>
      </c>
      <c r="B3431" s="1">
        <v>45352</v>
      </c>
      <c r="C3431" t="s">
        <v>307</v>
      </c>
      <c r="D3431" s="18">
        <v>113.4</v>
      </c>
      <c r="E3431" s="32">
        <v>445.21</v>
      </c>
      <c r="F3431" s="15">
        <f>IFERROR(PRD[[#This Row],[VALOR]]/PRD[[#This Row],[KGS]],"")</f>
        <v>3.9260141093474421</v>
      </c>
    </row>
    <row r="3432" spans="1:6" x14ac:dyDescent="0.25">
      <c r="A3432" s="21">
        <v>3022311</v>
      </c>
      <c r="B3432" s="1">
        <v>45352</v>
      </c>
      <c r="C3432" t="s">
        <v>176</v>
      </c>
      <c r="D3432" s="18">
        <v>2290.6</v>
      </c>
      <c r="E3432" s="32">
        <v>5686.7</v>
      </c>
      <c r="F3432" s="15">
        <f>IFERROR(PRD[[#This Row],[VALOR]]/PRD[[#This Row],[KGS]],"")</f>
        <v>2.4826246398323581</v>
      </c>
    </row>
    <row r="3433" spans="1:6" x14ac:dyDescent="0.25">
      <c r="A3433" s="21">
        <v>3022411</v>
      </c>
      <c r="B3433" s="1">
        <v>45352</v>
      </c>
      <c r="C3433" t="s">
        <v>178</v>
      </c>
      <c r="D3433" s="18">
        <v>145.05000000000001</v>
      </c>
      <c r="E3433" s="32">
        <v>393.78</v>
      </c>
      <c r="F3433" s="15">
        <f>IFERROR(PRD[[#This Row],[VALOR]]/PRD[[#This Row],[KGS]],"")</f>
        <v>2.7147880041365045</v>
      </c>
    </row>
    <row r="3434" spans="1:6" x14ac:dyDescent="0.25">
      <c r="A3434" s="21">
        <v>3022511</v>
      </c>
      <c r="B3434" s="1">
        <v>45352</v>
      </c>
      <c r="C3434" t="s">
        <v>180</v>
      </c>
      <c r="D3434" s="18">
        <v>3.7</v>
      </c>
      <c r="E3434" s="32">
        <v>9.6199999999999992</v>
      </c>
      <c r="F3434" s="15">
        <f>IFERROR(PRD[[#This Row],[VALOR]]/PRD[[#This Row],[KGS]],"")</f>
        <v>2.5999999999999996</v>
      </c>
    </row>
    <row r="3435" spans="1:6" x14ac:dyDescent="0.25">
      <c r="A3435" s="21">
        <v>3022601</v>
      </c>
      <c r="B3435" s="1">
        <v>45352</v>
      </c>
      <c r="C3435" t="s">
        <v>182</v>
      </c>
      <c r="D3435" s="18">
        <v>323</v>
      </c>
      <c r="E3435" s="32">
        <v>1247.3599999999999</v>
      </c>
      <c r="F3435" s="15">
        <f>IFERROR(PRD[[#This Row],[VALOR]]/PRD[[#This Row],[KGS]],"")</f>
        <v>3.8617956656346748</v>
      </c>
    </row>
    <row r="3436" spans="1:6" x14ac:dyDescent="0.25">
      <c r="A3436" s="21">
        <v>3022703</v>
      </c>
      <c r="B3436" s="1">
        <v>45352</v>
      </c>
      <c r="C3436" t="s">
        <v>309</v>
      </c>
      <c r="D3436" s="18">
        <v>742</v>
      </c>
      <c r="E3436" s="32">
        <v>2039.6</v>
      </c>
      <c r="F3436" s="15">
        <f>IFERROR(PRD[[#This Row],[VALOR]]/PRD[[#This Row],[KGS]],"")</f>
        <v>2.7487870619946091</v>
      </c>
    </row>
    <row r="3437" spans="1:6" x14ac:dyDescent="0.25">
      <c r="A3437" s="21">
        <v>3022805</v>
      </c>
      <c r="B3437" s="1">
        <v>45352</v>
      </c>
      <c r="C3437" t="s">
        <v>186</v>
      </c>
      <c r="D3437" s="18">
        <v>2160</v>
      </c>
      <c r="E3437" s="32">
        <v>4521.8500000000004</v>
      </c>
      <c r="F3437" s="15">
        <f>IFERROR(PRD[[#This Row],[VALOR]]/PRD[[#This Row],[KGS]],"")</f>
        <v>2.0934490740740741</v>
      </c>
    </row>
    <row r="3438" spans="1:6" x14ac:dyDescent="0.25">
      <c r="A3438" s="21">
        <v>3022906</v>
      </c>
      <c r="B3438" s="1">
        <v>45352</v>
      </c>
      <c r="C3438" t="s">
        <v>188</v>
      </c>
      <c r="D3438" s="18">
        <v>2680</v>
      </c>
      <c r="E3438" s="32">
        <v>5453.76</v>
      </c>
      <c r="F3438" s="15">
        <f>IFERROR(PRD[[#This Row],[VALOR]]/PRD[[#This Row],[KGS]],"")</f>
        <v>2.0349850746268658</v>
      </c>
    </row>
    <row r="3439" spans="1:6" x14ac:dyDescent="0.25">
      <c r="A3439" s="21">
        <v>3023007</v>
      </c>
      <c r="B3439" s="1">
        <v>45352</v>
      </c>
      <c r="C3439" t="s">
        <v>190</v>
      </c>
      <c r="D3439" s="18">
        <v>1300</v>
      </c>
      <c r="E3439" s="32">
        <v>2635.6</v>
      </c>
      <c r="F3439" s="15">
        <f>IFERROR(PRD[[#This Row],[VALOR]]/PRD[[#This Row],[KGS]],"")</f>
        <v>2.0273846153846153</v>
      </c>
    </row>
    <row r="3440" spans="1:6" x14ac:dyDescent="0.25">
      <c r="A3440" s="21">
        <v>3024001</v>
      </c>
      <c r="B3440" s="1">
        <v>45352</v>
      </c>
      <c r="C3440" t="s">
        <v>192</v>
      </c>
      <c r="D3440" s="18">
        <v>1404.65</v>
      </c>
      <c r="E3440" s="32">
        <v>5352.67</v>
      </c>
      <c r="F3440" s="15">
        <f>IFERROR(PRD[[#This Row],[VALOR]]/PRD[[#This Row],[KGS]],"")</f>
        <v>3.8106788167871</v>
      </c>
    </row>
    <row r="3441" spans="1:6" x14ac:dyDescent="0.25">
      <c r="A3441" s="21">
        <v>3024003</v>
      </c>
      <c r="B3441" s="1">
        <v>45352</v>
      </c>
      <c r="C3441" t="s">
        <v>196</v>
      </c>
      <c r="D3441" s="18">
        <v>335.5</v>
      </c>
      <c r="E3441" s="32">
        <v>948.39</v>
      </c>
      <c r="F3441" s="15">
        <f>IFERROR(PRD[[#This Row],[VALOR]]/PRD[[#This Row],[KGS]],"")</f>
        <v>2.8267958271236959</v>
      </c>
    </row>
    <row r="3442" spans="1:6" x14ac:dyDescent="0.25">
      <c r="A3442" s="21">
        <v>3024004</v>
      </c>
      <c r="B3442" s="1">
        <v>45352</v>
      </c>
      <c r="C3442" t="s">
        <v>198</v>
      </c>
      <c r="D3442" s="18">
        <v>1567.3</v>
      </c>
      <c r="E3442" s="32">
        <v>1598.4</v>
      </c>
      <c r="F3442" s="15">
        <f>IFERROR(PRD[[#This Row],[VALOR]]/PRD[[#This Row],[KGS]],"")</f>
        <v>1.0198430421744402</v>
      </c>
    </row>
    <row r="3443" spans="1:6" x14ac:dyDescent="0.25">
      <c r="A3443" s="21">
        <v>4030100</v>
      </c>
      <c r="B3443" s="1">
        <v>45352</v>
      </c>
      <c r="C3443" t="s">
        <v>200</v>
      </c>
      <c r="D3443" s="18">
        <v>308.3</v>
      </c>
      <c r="E3443" s="32">
        <v>1905.69</v>
      </c>
      <c r="F3443" s="15">
        <f>IFERROR(PRD[[#This Row],[VALOR]]/PRD[[#This Row],[KGS]],"")</f>
        <v>6.1812844631852091</v>
      </c>
    </row>
    <row r="3444" spans="1:6" x14ac:dyDescent="0.25">
      <c r="A3444" s="21">
        <v>4030211</v>
      </c>
      <c r="B3444" s="1">
        <v>45352</v>
      </c>
      <c r="C3444" t="s">
        <v>202</v>
      </c>
      <c r="D3444" s="18">
        <v>965.5</v>
      </c>
      <c r="E3444" s="32">
        <v>5586.25</v>
      </c>
      <c r="F3444" s="15">
        <f>IFERROR(PRD[[#This Row],[VALOR]]/PRD[[#This Row],[KGS]],"")</f>
        <v>5.7858622475401349</v>
      </c>
    </row>
    <row r="3445" spans="1:6" x14ac:dyDescent="0.25">
      <c r="A3445" s="21">
        <v>4030311</v>
      </c>
      <c r="B3445" s="1">
        <v>45352</v>
      </c>
      <c r="C3445" t="s">
        <v>311</v>
      </c>
      <c r="D3445" s="18">
        <v>559.62</v>
      </c>
      <c r="E3445" s="32">
        <v>3662.11</v>
      </c>
      <c r="F3445" s="15">
        <f>IFERROR(PRD[[#This Row],[VALOR]]/PRD[[#This Row],[KGS]],"")</f>
        <v>6.5439226618062261</v>
      </c>
    </row>
    <row r="3446" spans="1:6" x14ac:dyDescent="0.25">
      <c r="A3446" s="21">
        <v>4030401</v>
      </c>
      <c r="B3446" s="1">
        <v>45352</v>
      </c>
      <c r="C3446" t="s">
        <v>461</v>
      </c>
      <c r="D3446" s="18">
        <v>160.68</v>
      </c>
      <c r="E3446" s="32">
        <v>797.4</v>
      </c>
      <c r="F3446" s="15">
        <f>IFERROR(PRD[[#This Row],[VALOR]]/PRD[[#This Row],[KGS]],"")</f>
        <v>4.9626587005227778</v>
      </c>
    </row>
    <row r="3447" spans="1:6" x14ac:dyDescent="0.25">
      <c r="A3447" s="21">
        <v>4030511</v>
      </c>
      <c r="B3447" s="1">
        <v>45352</v>
      </c>
      <c r="C3447" t="s">
        <v>208</v>
      </c>
      <c r="D3447" s="18">
        <v>9.81</v>
      </c>
      <c r="E3447" s="32">
        <v>51.5</v>
      </c>
      <c r="F3447" s="15">
        <f>IFERROR(PRD[[#This Row],[VALOR]]/PRD[[#This Row],[KGS]],"")</f>
        <v>5.2497451580020389</v>
      </c>
    </row>
    <row r="3448" spans="1:6" x14ac:dyDescent="0.25">
      <c r="A3448" s="21">
        <v>4030532</v>
      </c>
      <c r="B3448" s="1">
        <v>45352</v>
      </c>
      <c r="C3448" t="s">
        <v>210</v>
      </c>
      <c r="D3448" s="18">
        <v>724.93</v>
      </c>
      <c r="E3448" s="32">
        <v>3611.61</v>
      </c>
      <c r="F3448" s="15">
        <f>IFERROR(PRD[[#This Row],[VALOR]]/PRD[[#This Row],[KGS]],"")</f>
        <v>4.9820120563364743</v>
      </c>
    </row>
    <row r="3449" spans="1:6" x14ac:dyDescent="0.25">
      <c r="A3449" s="21">
        <v>4030600</v>
      </c>
      <c r="B3449" s="1">
        <v>45352</v>
      </c>
      <c r="C3449" t="s">
        <v>212</v>
      </c>
      <c r="D3449" s="18">
        <v>400.9</v>
      </c>
      <c r="E3449" s="32">
        <v>1263.05</v>
      </c>
      <c r="F3449" s="15">
        <f>IFERROR(PRD[[#This Row],[VALOR]]/PRD[[#This Row],[KGS]],"")</f>
        <v>3.150536293339985</v>
      </c>
    </row>
    <row r="3450" spans="1:6" x14ac:dyDescent="0.25">
      <c r="A3450" s="21">
        <v>4030711</v>
      </c>
      <c r="B3450" s="1">
        <v>45352</v>
      </c>
      <c r="C3450" t="s">
        <v>214</v>
      </c>
      <c r="D3450" s="18">
        <v>1030.52</v>
      </c>
      <c r="E3450" s="32">
        <v>3463.58</v>
      </c>
      <c r="F3450" s="15">
        <f>IFERROR(PRD[[#This Row],[VALOR]]/PRD[[#This Row],[KGS]],"")</f>
        <v>3.3610022124752552</v>
      </c>
    </row>
    <row r="3451" spans="1:6" x14ac:dyDescent="0.25">
      <c r="A3451" s="21">
        <v>4030811</v>
      </c>
      <c r="B3451" s="1">
        <v>45352</v>
      </c>
      <c r="C3451" t="s">
        <v>216</v>
      </c>
      <c r="D3451" s="18">
        <v>1818.45</v>
      </c>
      <c r="E3451" s="32">
        <v>5886.27</v>
      </c>
      <c r="F3451" s="15">
        <f>IFERROR(PRD[[#This Row],[VALOR]]/PRD[[#This Row],[KGS]],"")</f>
        <v>3.2369710467706017</v>
      </c>
    </row>
    <row r="3452" spans="1:6" x14ac:dyDescent="0.25">
      <c r="A3452" s="21">
        <v>4030813</v>
      </c>
      <c r="B3452" s="1">
        <v>45352</v>
      </c>
      <c r="C3452" t="s">
        <v>218</v>
      </c>
      <c r="D3452" s="18">
        <v>835.5</v>
      </c>
      <c r="E3452" s="32">
        <v>2322.6799999999998</v>
      </c>
      <c r="F3452" s="15">
        <f>IFERROR(PRD[[#This Row],[VALOR]]/PRD[[#This Row],[KGS]],"")</f>
        <v>2.7799880311190903</v>
      </c>
    </row>
    <row r="3453" spans="1:6" x14ac:dyDescent="0.25">
      <c r="A3453" s="21">
        <v>4030900</v>
      </c>
      <c r="B3453" s="1">
        <v>45352</v>
      </c>
      <c r="C3453" t="s">
        <v>220</v>
      </c>
      <c r="D3453" s="18">
        <v>4427.1400000000003</v>
      </c>
      <c r="E3453" s="32">
        <v>13763.11</v>
      </c>
      <c r="F3453" s="15">
        <f>IFERROR(PRD[[#This Row],[VALOR]]/PRD[[#This Row],[KGS]],"")</f>
        <v>3.1088038778985982</v>
      </c>
    </row>
    <row r="3454" spans="1:6" x14ac:dyDescent="0.25">
      <c r="A3454" s="21">
        <v>4030910</v>
      </c>
      <c r="B3454" s="1">
        <v>45352</v>
      </c>
      <c r="C3454" t="s">
        <v>222</v>
      </c>
      <c r="D3454" s="18">
        <v>127.02</v>
      </c>
      <c r="E3454" s="32">
        <v>418.2</v>
      </c>
      <c r="F3454" s="15">
        <f>IFERROR(PRD[[#This Row],[VALOR]]/PRD[[#This Row],[KGS]],"")</f>
        <v>3.2923948984411906</v>
      </c>
    </row>
    <row r="3455" spans="1:6" x14ac:dyDescent="0.25">
      <c r="A3455" s="21">
        <v>4031012</v>
      </c>
      <c r="B3455" s="1">
        <v>45352</v>
      </c>
      <c r="C3455" t="s">
        <v>224</v>
      </c>
      <c r="D3455" s="18">
        <v>1373.78</v>
      </c>
      <c r="E3455" s="32">
        <v>4413.41</v>
      </c>
      <c r="F3455" s="15">
        <f>IFERROR(PRD[[#This Row],[VALOR]]/PRD[[#This Row],[KGS]],"")</f>
        <v>3.2126031824600738</v>
      </c>
    </row>
    <row r="3456" spans="1:6" x14ac:dyDescent="0.25">
      <c r="A3456" s="21">
        <v>4031017</v>
      </c>
      <c r="B3456" s="1">
        <v>45352</v>
      </c>
      <c r="C3456" t="s">
        <v>226</v>
      </c>
      <c r="D3456" s="18">
        <v>350</v>
      </c>
      <c r="E3456" s="32">
        <v>252</v>
      </c>
      <c r="F3456" s="15">
        <f>IFERROR(PRD[[#This Row],[VALOR]]/PRD[[#This Row],[KGS]],"")</f>
        <v>0.72</v>
      </c>
    </row>
    <row r="3457" spans="1:6" x14ac:dyDescent="0.25">
      <c r="A3457" s="21">
        <v>4031019</v>
      </c>
      <c r="B3457" s="1">
        <v>45352</v>
      </c>
      <c r="C3457" t="s">
        <v>226</v>
      </c>
      <c r="D3457" s="18">
        <v>1890</v>
      </c>
      <c r="E3457" s="32">
        <v>1266.3</v>
      </c>
      <c r="F3457" s="15">
        <f>IFERROR(PRD[[#This Row],[VALOR]]/PRD[[#This Row],[KGS]],"")</f>
        <v>0.66999999999999993</v>
      </c>
    </row>
    <row r="3458" spans="1:6" x14ac:dyDescent="0.25">
      <c r="A3458" s="21">
        <v>4031102</v>
      </c>
      <c r="B3458" s="1">
        <v>45352</v>
      </c>
      <c r="C3458" t="s">
        <v>228</v>
      </c>
      <c r="D3458" s="18">
        <v>10468.43</v>
      </c>
      <c r="E3458" s="32">
        <v>31043.7</v>
      </c>
      <c r="F3458" s="15">
        <f>IFERROR(PRD[[#This Row],[VALOR]]/PRD[[#This Row],[KGS]],"")</f>
        <v>2.9654590038811932</v>
      </c>
    </row>
    <row r="3459" spans="1:6" x14ac:dyDescent="0.25">
      <c r="A3459" s="21">
        <v>4031103</v>
      </c>
      <c r="B3459" s="1">
        <v>45352</v>
      </c>
      <c r="C3459" t="s">
        <v>980</v>
      </c>
      <c r="D3459" s="18">
        <v>394.75</v>
      </c>
      <c r="E3459" s="32">
        <v>1263.2</v>
      </c>
      <c r="F3459" s="15">
        <f>IFERROR(PRD[[#This Row],[VALOR]]/PRD[[#This Row],[KGS]],"")</f>
        <v>3.2</v>
      </c>
    </row>
    <row r="3460" spans="1:6" x14ac:dyDescent="0.25">
      <c r="A3460" s="21">
        <v>4031200</v>
      </c>
      <c r="B3460" s="1">
        <v>45352</v>
      </c>
      <c r="C3460" t="s">
        <v>230</v>
      </c>
      <c r="D3460" s="18">
        <v>870.4</v>
      </c>
      <c r="E3460" s="32">
        <v>2698.83</v>
      </c>
      <c r="F3460" s="15">
        <f>IFERROR(PRD[[#This Row],[VALOR]]/PRD[[#This Row],[KGS]],"")</f>
        <v>3.1006778492647058</v>
      </c>
    </row>
    <row r="3461" spans="1:6" x14ac:dyDescent="0.25">
      <c r="A3461" s="21">
        <v>4031304</v>
      </c>
      <c r="B3461" s="1">
        <v>45352</v>
      </c>
      <c r="C3461" t="s">
        <v>232</v>
      </c>
      <c r="D3461" s="18">
        <v>1286.2</v>
      </c>
      <c r="E3461" s="32">
        <v>3894.01</v>
      </c>
      <c r="F3461" s="15">
        <f>IFERROR(PRD[[#This Row],[VALOR]]/PRD[[#This Row],[KGS]],"")</f>
        <v>3.0275307106204323</v>
      </c>
    </row>
    <row r="3462" spans="1:6" x14ac:dyDescent="0.25">
      <c r="A3462" s="21">
        <v>4031411</v>
      </c>
      <c r="B3462" s="1">
        <v>45352</v>
      </c>
      <c r="C3462" t="s">
        <v>234</v>
      </c>
      <c r="D3462" s="18">
        <v>144.63</v>
      </c>
      <c r="E3462" s="32">
        <v>461.19</v>
      </c>
      <c r="F3462" s="15">
        <f>IFERROR(PRD[[#This Row],[VALOR]]/PRD[[#This Row],[KGS]],"")</f>
        <v>3.1887575191868907</v>
      </c>
    </row>
    <row r="3463" spans="1:6" x14ac:dyDescent="0.25">
      <c r="A3463" s="21">
        <v>4031500</v>
      </c>
      <c r="B3463" s="1">
        <v>45352</v>
      </c>
      <c r="C3463" t="s">
        <v>236</v>
      </c>
      <c r="D3463" s="18">
        <v>4599.9399999999996</v>
      </c>
      <c r="E3463" s="32">
        <v>13452.76</v>
      </c>
      <c r="F3463" s="15">
        <f>IFERROR(PRD[[#This Row],[VALOR]]/PRD[[#This Row],[KGS]],"")</f>
        <v>2.924551189798128</v>
      </c>
    </row>
    <row r="3464" spans="1:6" x14ac:dyDescent="0.25">
      <c r="A3464" s="21">
        <v>4031604</v>
      </c>
      <c r="B3464" s="1">
        <v>45352</v>
      </c>
      <c r="C3464" t="s">
        <v>238</v>
      </c>
      <c r="D3464" s="18">
        <v>5672.17</v>
      </c>
      <c r="E3464" s="32">
        <v>15845.35</v>
      </c>
      <c r="F3464" s="15">
        <f>IFERROR(PRD[[#This Row],[VALOR]]/PRD[[#This Row],[KGS]],"")</f>
        <v>2.7935252293214061</v>
      </c>
    </row>
    <row r="3465" spans="1:6" x14ac:dyDescent="0.25">
      <c r="A3465" s="21">
        <v>4031605</v>
      </c>
      <c r="B3465" s="1">
        <v>45352</v>
      </c>
      <c r="C3465" t="s">
        <v>240</v>
      </c>
      <c r="D3465" s="18">
        <v>48.03</v>
      </c>
      <c r="E3465" s="32">
        <v>162.16</v>
      </c>
      <c r="F3465" s="15">
        <f>IFERROR(PRD[[#This Row],[VALOR]]/PRD[[#This Row],[KGS]],"")</f>
        <v>3.3762231938371849</v>
      </c>
    </row>
    <row r="3466" spans="1:6" x14ac:dyDescent="0.25">
      <c r="A3466" s="21">
        <v>4031700</v>
      </c>
      <c r="B3466" s="1">
        <v>45352</v>
      </c>
      <c r="C3466" t="s">
        <v>242</v>
      </c>
      <c r="D3466" s="18">
        <v>395.8</v>
      </c>
      <c r="E3466" s="32">
        <v>1245.05</v>
      </c>
      <c r="F3466" s="15">
        <f>IFERROR(PRD[[#This Row],[VALOR]]/PRD[[#This Row],[KGS]],"")</f>
        <v>3.1456543708943907</v>
      </c>
    </row>
    <row r="3467" spans="1:6" x14ac:dyDescent="0.25">
      <c r="A3467" s="21">
        <v>4031812</v>
      </c>
      <c r="B3467" s="1">
        <v>45352</v>
      </c>
      <c r="C3467" t="s">
        <v>244</v>
      </c>
      <c r="D3467" s="18">
        <v>448.85</v>
      </c>
      <c r="E3467" s="32">
        <v>1400.28</v>
      </c>
      <c r="F3467" s="15">
        <f>IFERROR(PRD[[#This Row],[VALOR]]/PRD[[#This Row],[KGS]],"")</f>
        <v>3.1197059151164086</v>
      </c>
    </row>
    <row r="3468" spans="1:6" x14ac:dyDescent="0.25">
      <c r="A3468" s="21">
        <v>4031813</v>
      </c>
      <c r="B3468" s="1">
        <v>45352</v>
      </c>
      <c r="C3468" t="s">
        <v>464</v>
      </c>
      <c r="D3468" s="18">
        <v>560</v>
      </c>
      <c r="E3468" s="32">
        <v>383.6</v>
      </c>
      <c r="F3468" s="15">
        <f>IFERROR(PRD[[#This Row],[VALOR]]/PRD[[#This Row],[KGS]],"")</f>
        <v>0.68500000000000005</v>
      </c>
    </row>
    <row r="3469" spans="1:6" x14ac:dyDescent="0.25">
      <c r="A3469" s="21">
        <v>4031904</v>
      </c>
      <c r="B3469" s="1">
        <v>45352</v>
      </c>
      <c r="C3469" t="s">
        <v>246</v>
      </c>
      <c r="D3469" s="18">
        <v>906.01</v>
      </c>
      <c r="E3469" s="32">
        <v>2742.08</v>
      </c>
      <c r="F3469" s="15">
        <f>IFERROR(PRD[[#This Row],[VALOR]]/PRD[[#This Row],[KGS]],"")</f>
        <v>3.0265449608723967</v>
      </c>
    </row>
    <row r="3470" spans="1:6" x14ac:dyDescent="0.25">
      <c r="A3470" s="21">
        <v>4032002</v>
      </c>
      <c r="B3470" s="1">
        <v>45352</v>
      </c>
      <c r="C3470" t="s">
        <v>793</v>
      </c>
      <c r="D3470" s="18">
        <v>2.6</v>
      </c>
      <c r="E3470" s="32">
        <v>16.38</v>
      </c>
      <c r="F3470" s="15">
        <f>IFERROR(PRD[[#This Row],[VALOR]]/PRD[[#This Row],[KGS]],"")</f>
        <v>6.3</v>
      </c>
    </row>
    <row r="3471" spans="1:6" x14ac:dyDescent="0.25">
      <c r="A3471" s="21">
        <v>4032111</v>
      </c>
      <c r="B3471" s="1">
        <v>45352</v>
      </c>
      <c r="C3471" t="s">
        <v>314</v>
      </c>
      <c r="D3471" s="18">
        <v>4.17</v>
      </c>
      <c r="E3471" s="32">
        <v>23.35</v>
      </c>
      <c r="F3471" s="15">
        <f>IFERROR(PRD[[#This Row],[VALOR]]/PRD[[#This Row],[KGS]],"")</f>
        <v>5.5995203836930463</v>
      </c>
    </row>
    <row r="3472" spans="1:6" x14ac:dyDescent="0.25">
      <c r="A3472" s="21">
        <v>4032204</v>
      </c>
      <c r="B3472" s="1">
        <v>45352</v>
      </c>
      <c r="C3472" t="s">
        <v>315</v>
      </c>
      <c r="D3472" s="18">
        <v>1.4</v>
      </c>
      <c r="E3472" s="32">
        <v>7.84</v>
      </c>
      <c r="F3472" s="15">
        <f>IFERROR(PRD[[#This Row],[VALOR]]/PRD[[#This Row],[KGS]],"")</f>
        <v>5.6000000000000005</v>
      </c>
    </row>
    <row r="3473" spans="1:6" x14ac:dyDescent="0.25">
      <c r="A3473" s="21">
        <v>4032205</v>
      </c>
      <c r="B3473" s="1">
        <v>45352</v>
      </c>
      <c r="C3473" t="s">
        <v>553</v>
      </c>
      <c r="D3473" s="18">
        <v>115.94</v>
      </c>
      <c r="E3473" s="32">
        <v>617.6</v>
      </c>
      <c r="F3473" s="15">
        <f>IFERROR(PRD[[#This Row],[VALOR]]/PRD[[#This Row],[KGS]],"")</f>
        <v>5.3268932206313613</v>
      </c>
    </row>
    <row r="3474" spans="1:6" x14ac:dyDescent="0.25">
      <c r="A3474" s="21">
        <v>4032206</v>
      </c>
      <c r="B3474" s="1">
        <v>45352</v>
      </c>
      <c r="C3474" t="s">
        <v>555</v>
      </c>
      <c r="D3474" s="18">
        <v>23.63</v>
      </c>
      <c r="E3474" s="32">
        <v>125.81</v>
      </c>
      <c r="F3474" s="15">
        <f>IFERROR(PRD[[#This Row],[VALOR]]/PRD[[#This Row],[KGS]],"")</f>
        <v>5.3241641980533227</v>
      </c>
    </row>
    <row r="3475" spans="1:6" x14ac:dyDescent="0.25">
      <c r="A3475" s="21">
        <v>4032312</v>
      </c>
      <c r="B3475" s="1">
        <v>45352</v>
      </c>
      <c r="C3475" t="s">
        <v>252</v>
      </c>
      <c r="D3475" s="18">
        <v>398.94</v>
      </c>
      <c r="E3475" s="32">
        <v>1712.34</v>
      </c>
      <c r="F3475" s="15">
        <f>IFERROR(PRD[[#This Row],[VALOR]]/PRD[[#This Row],[KGS]],"")</f>
        <v>4.2922243946458112</v>
      </c>
    </row>
    <row r="3476" spans="1:6" x14ac:dyDescent="0.25">
      <c r="A3476" s="21">
        <v>4032404</v>
      </c>
      <c r="B3476" s="1">
        <v>45352</v>
      </c>
      <c r="C3476" t="s">
        <v>254</v>
      </c>
      <c r="D3476" s="18">
        <v>71.22</v>
      </c>
      <c r="E3476" s="32">
        <v>331.12</v>
      </c>
      <c r="F3476" s="15">
        <f>IFERROR(PRD[[#This Row],[VALOR]]/PRD[[#This Row],[KGS]],"")</f>
        <v>4.6492558270148834</v>
      </c>
    </row>
    <row r="3477" spans="1:6" x14ac:dyDescent="0.25">
      <c r="A3477" s="21">
        <v>4032500</v>
      </c>
      <c r="B3477" s="1">
        <v>45352</v>
      </c>
      <c r="C3477" t="s">
        <v>256</v>
      </c>
      <c r="D3477" s="18">
        <v>171.81</v>
      </c>
      <c r="E3477" s="32">
        <v>493.27</v>
      </c>
      <c r="F3477" s="15">
        <f>IFERROR(PRD[[#This Row],[VALOR]]/PRD[[#This Row],[KGS]],"")</f>
        <v>2.8710203131366043</v>
      </c>
    </row>
    <row r="3478" spans="1:6" x14ac:dyDescent="0.25">
      <c r="A3478" s="21">
        <v>4032611</v>
      </c>
      <c r="B3478" s="1">
        <v>45352</v>
      </c>
      <c r="C3478" t="s">
        <v>258</v>
      </c>
      <c r="D3478" s="18">
        <v>42.3</v>
      </c>
      <c r="E3478" s="32">
        <v>139.53</v>
      </c>
      <c r="F3478" s="15">
        <f>IFERROR(PRD[[#This Row],[VALOR]]/PRD[[#This Row],[KGS]],"")</f>
        <v>3.2985815602836883</v>
      </c>
    </row>
    <row r="3479" spans="1:6" x14ac:dyDescent="0.25">
      <c r="A3479" s="21">
        <v>4032612</v>
      </c>
      <c r="B3479" s="1">
        <v>45352</v>
      </c>
      <c r="C3479" t="s">
        <v>933</v>
      </c>
      <c r="D3479" s="18">
        <v>237.66</v>
      </c>
      <c r="E3479" s="32">
        <v>128.34</v>
      </c>
      <c r="F3479" s="15">
        <f>IFERROR(PRD[[#This Row],[VALOR]]/PRD[[#This Row],[KGS]],"")</f>
        <v>0.54001514768997727</v>
      </c>
    </row>
    <row r="3480" spans="1:6" x14ac:dyDescent="0.25">
      <c r="A3480" s="21">
        <v>4032704</v>
      </c>
      <c r="B3480" s="1">
        <v>45352</v>
      </c>
      <c r="C3480" t="s">
        <v>260</v>
      </c>
      <c r="D3480" s="18">
        <v>1362.8</v>
      </c>
      <c r="E3480" s="32">
        <v>3959.29</v>
      </c>
      <c r="F3480" s="15">
        <f>IFERROR(PRD[[#This Row],[VALOR]]/PRD[[#This Row],[KGS]],"")</f>
        <v>2.9052612268858233</v>
      </c>
    </row>
    <row r="3481" spans="1:6" x14ac:dyDescent="0.25">
      <c r="A3481" s="21">
        <v>4032800</v>
      </c>
      <c r="B3481" s="1">
        <v>45352</v>
      </c>
      <c r="C3481" t="s">
        <v>262</v>
      </c>
      <c r="D3481" s="18">
        <v>95</v>
      </c>
      <c r="E3481" s="32">
        <v>492.46</v>
      </c>
      <c r="F3481" s="15">
        <f>IFERROR(PRD[[#This Row],[VALOR]]/PRD[[#This Row],[KGS]],"")</f>
        <v>5.1837894736842101</v>
      </c>
    </row>
    <row r="3482" spans="1:6" x14ac:dyDescent="0.25">
      <c r="A3482" s="21">
        <v>4032902</v>
      </c>
      <c r="B3482" s="1">
        <v>45352</v>
      </c>
      <c r="C3482" t="s">
        <v>264</v>
      </c>
      <c r="D3482" s="18">
        <v>223.52</v>
      </c>
      <c r="E3482" s="32">
        <v>1159.8399999999999</v>
      </c>
      <c r="F3482" s="15">
        <f>IFERROR(PRD[[#This Row],[VALOR]]/PRD[[#This Row],[KGS]],"")</f>
        <v>5.1889763779527556</v>
      </c>
    </row>
    <row r="3483" spans="1:6" x14ac:dyDescent="0.25">
      <c r="A3483" s="21">
        <v>4033011</v>
      </c>
      <c r="B3483" s="1">
        <v>45352</v>
      </c>
      <c r="C3483" t="s">
        <v>266</v>
      </c>
      <c r="D3483" s="18">
        <v>338.48</v>
      </c>
      <c r="E3483" s="32">
        <v>1717.51</v>
      </c>
      <c r="F3483" s="15">
        <f>IFERROR(PRD[[#This Row],[VALOR]]/PRD[[#This Row],[KGS]],"")</f>
        <v>5.0741845899314582</v>
      </c>
    </row>
    <row r="3484" spans="1:6" x14ac:dyDescent="0.25">
      <c r="A3484" s="21">
        <v>4033111</v>
      </c>
      <c r="B3484" s="1">
        <v>45352</v>
      </c>
      <c r="C3484" t="s">
        <v>268</v>
      </c>
      <c r="D3484" s="18">
        <v>235.14</v>
      </c>
      <c r="E3484" s="32">
        <v>1030.01</v>
      </c>
      <c r="F3484" s="15">
        <f>IFERROR(PRD[[#This Row],[VALOR]]/PRD[[#This Row],[KGS]],"")</f>
        <v>4.3804116696436166</v>
      </c>
    </row>
    <row r="3485" spans="1:6" x14ac:dyDescent="0.25">
      <c r="A3485" s="21">
        <v>4033211</v>
      </c>
      <c r="B3485" s="1">
        <v>45352</v>
      </c>
      <c r="C3485" t="s">
        <v>270</v>
      </c>
      <c r="D3485" s="18">
        <v>154.32</v>
      </c>
      <c r="E3485" s="32">
        <v>682.71</v>
      </c>
      <c r="F3485" s="15">
        <f>IFERROR(PRD[[#This Row],[VALOR]]/PRD[[#This Row],[KGS]],"")</f>
        <v>4.4239891135303271</v>
      </c>
    </row>
    <row r="3486" spans="1:6" x14ac:dyDescent="0.25">
      <c r="A3486" s="21">
        <v>4033311</v>
      </c>
      <c r="B3486" s="1">
        <v>45352</v>
      </c>
      <c r="C3486" t="s">
        <v>272</v>
      </c>
      <c r="D3486" s="18">
        <v>14.44</v>
      </c>
      <c r="E3486" s="32">
        <v>89.04</v>
      </c>
      <c r="F3486" s="15">
        <f>IFERROR(PRD[[#This Row],[VALOR]]/PRD[[#This Row],[KGS]],"")</f>
        <v>6.1662049861495856</v>
      </c>
    </row>
    <row r="3487" spans="1:6" x14ac:dyDescent="0.25">
      <c r="A3487" s="21">
        <v>4033400</v>
      </c>
      <c r="B3487" s="1">
        <v>45352</v>
      </c>
      <c r="C3487" t="s">
        <v>274</v>
      </c>
      <c r="D3487" s="18">
        <v>365.4</v>
      </c>
      <c r="E3487" s="32">
        <v>1108.53</v>
      </c>
      <c r="F3487" s="15">
        <f>IFERROR(PRD[[#This Row],[VALOR]]/PRD[[#This Row],[KGS]],"")</f>
        <v>3.0337438423645322</v>
      </c>
    </row>
    <row r="3488" spans="1:6" x14ac:dyDescent="0.25">
      <c r="A3488" s="21">
        <v>4033511</v>
      </c>
      <c r="B3488" s="1">
        <v>45352</v>
      </c>
      <c r="C3488" t="s">
        <v>276</v>
      </c>
      <c r="D3488" s="18">
        <v>1092.1099999999999</v>
      </c>
      <c r="E3488" s="32">
        <v>3534.57</v>
      </c>
      <c r="F3488" s="15">
        <f>IFERROR(PRD[[#This Row],[VALOR]]/PRD[[#This Row],[KGS]],"")</f>
        <v>3.2364596972832413</v>
      </c>
    </row>
    <row r="3489" spans="1:6" x14ac:dyDescent="0.25">
      <c r="A3489" s="21">
        <v>4033900</v>
      </c>
      <c r="B3489" s="1">
        <v>45352</v>
      </c>
      <c r="C3489" t="s">
        <v>278</v>
      </c>
      <c r="D3489" s="18">
        <v>15.71</v>
      </c>
      <c r="E3489" s="32">
        <v>82.47</v>
      </c>
      <c r="F3489" s="15">
        <f>IFERROR(PRD[[#This Row],[VALOR]]/PRD[[#This Row],[KGS]],"")</f>
        <v>5.2495225970719286</v>
      </c>
    </row>
    <row r="3490" spans="1:6" x14ac:dyDescent="0.25">
      <c r="A3490" s="21">
        <v>4034011</v>
      </c>
      <c r="B3490" s="1">
        <v>45352</v>
      </c>
      <c r="C3490" t="s">
        <v>280</v>
      </c>
      <c r="D3490" s="18">
        <v>645.75</v>
      </c>
      <c r="E3490" s="32">
        <v>3446.72</v>
      </c>
      <c r="F3490" s="15">
        <f>IFERROR(PRD[[#This Row],[VALOR]]/PRD[[#This Row],[KGS]],"")</f>
        <v>5.3375454897406112</v>
      </c>
    </row>
    <row r="3491" spans="1:6" x14ac:dyDescent="0.25">
      <c r="A3491" s="21">
        <v>4034012</v>
      </c>
      <c r="B3491" s="1">
        <v>45352</v>
      </c>
      <c r="C3491" t="s">
        <v>863</v>
      </c>
      <c r="D3491" s="18">
        <v>1598</v>
      </c>
      <c r="E3491" s="32">
        <v>2031.48</v>
      </c>
      <c r="F3491" s="15">
        <f>IFERROR(PRD[[#This Row],[VALOR]]/PRD[[#This Row],[KGS]],"")</f>
        <v>1.2712640801001251</v>
      </c>
    </row>
    <row r="3492" spans="1:6" x14ac:dyDescent="0.25">
      <c r="A3492" s="21">
        <v>4034211</v>
      </c>
      <c r="B3492" s="1">
        <v>45352</v>
      </c>
      <c r="C3492" t="s">
        <v>282</v>
      </c>
      <c r="D3492" s="18">
        <v>348.79</v>
      </c>
      <c r="E3492" s="32">
        <v>1497.34</v>
      </c>
      <c r="F3492" s="15">
        <f>IFERROR(PRD[[#This Row],[VALOR]]/PRD[[#This Row],[KGS]],"")</f>
        <v>4.2929556466641818</v>
      </c>
    </row>
    <row r="3493" spans="1:6" x14ac:dyDescent="0.25">
      <c r="A3493" s="21">
        <v>4034400</v>
      </c>
      <c r="B3493" s="1">
        <v>45352</v>
      </c>
      <c r="C3493" t="s">
        <v>284</v>
      </c>
      <c r="D3493" s="18">
        <v>164.4</v>
      </c>
      <c r="E3493" s="32">
        <v>430.09</v>
      </c>
      <c r="F3493" s="15">
        <f>IFERROR(PRD[[#This Row],[VALOR]]/PRD[[#This Row],[KGS]],"")</f>
        <v>2.6161192214111919</v>
      </c>
    </row>
    <row r="3494" spans="1:6" x14ac:dyDescent="0.25">
      <c r="A3494" s="21">
        <v>4034502</v>
      </c>
      <c r="B3494" s="1">
        <v>45352</v>
      </c>
      <c r="C3494" t="s">
        <v>286</v>
      </c>
      <c r="D3494" s="18">
        <v>95.35</v>
      </c>
      <c r="E3494" s="32">
        <v>261.45999999999998</v>
      </c>
      <c r="F3494" s="15">
        <f>IFERROR(PRD[[#This Row],[VALOR]]/PRD[[#This Row],[KGS]],"")</f>
        <v>2.7421080230728894</v>
      </c>
    </row>
    <row r="3495" spans="1:6" x14ac:dyDescent="0.25">
      <c r="A3495" s="21">
        <v>5020008</v>
      </c>
      <c r="B3495" s="1">
        <v>45352</v>
      </c>
      <c r="C3495" t="s">
        <v>981</v>
      </c>
      <c r="D3495" s="18">
        <v>80.099999999999994</v>
      </c>
      <c r="E3495" s="32">
        <v>120.15</v>
      </c>
      <c r="F3495" s="15">
        <f>IFERROR(PRD[[#This Row],[VALOR]]/PRD[[#This Row],[KGS]],"")</f>
        <v>1.5000000000000002</v>
      </c>
    </row>
    <row r="3496" spans="1:6" x14ac:dyDescent="0.25">
      <c r="A3496" s="21">
        <v>5020031</v>
      </c>
      <c r="B3496" s="1">
        <v>45352</v>
      </c>
      <c r="C3496" t="s">
        <v>73</v>
      </c>
      <c r="D3496" s="18">
        <v>27.9</v>
      </c>
      <c r="E3496" s="32">
        <v>80.349999999999994</v>
      </c>
      <c r="F3496" s="15">
        <f>IFERROR(PRD[[#This Row],[VALOR]]/PRD[[#This Row],[KGS]],"")</f>
        <v>2.8799283154121862</v>
      </c>
    </row>
    <row r="3497" spans="1:6" x14ac:dyDescent="0.25">
      <c r="A3497" s="21">
        <v>8030004</v>
      </c>
      <c r="B3497" s="1">
        <v>45352</v>
      </c>
      <c r="C3497" t="s">
        <v>697</v>
      </c>
      <c r="D3497" s="18">
        <v>7</v>
      </c>
      <c r="E3497" s="32">
        <v>70</v>
      </c>
      <c r="F3497" s="15">
        <f>IFERROR(PRD[[#This Row],[VALOR]]/PRD[[#This Row],[KGS]],"")</f>
        <v>10</v>
      </c>
    </row>
    <row r="3498" spans="1:6" x14ac:dyDescent="0.25">
      <c r="A3498" s="21">
        <v>8040008</v>
      </c>
      <c r="B3498" s="1">
        <v>45352</v>
      </c>
      <c r="C3498" t="s">
        <v>318</v>
      </c>
      <c r="D3498" s="18">
        <v>1.4</v>
      </c>
      <c r="E3498" s="32">
        <v>24.92</v>
      </c>
      <c r="F3498" s="15">
        <f>IFERROR(PRD[[#This Row],[VALOR]]/PRD[[#This Row],[KGS]],"")</f>
        <v>17.8</v>
      </c>
    </row>
    <row r="3499" spans="1:6" x14ac:dyDescent="0.25">
      <c r="A3499" s="21">
        <v>8040011</v>
      </c>
      <c r="B3499" s="1">
        <v>45352</v>
      </c>
      <c r="C3499" t="s">
        <v>560</v>
      </c>
      <c r="D3499" s="18">
        <v>11</v>
      </c>
      <c r="E3499" s="32">
        <v>32.549999999999997</v>
      </c>
      <c r="F3499" s="15">
        <f>IFERROR(PRD[[#This Row],[VALOR]]/PRD[[#This Row],[KGS]],"")</f>
        <v>2.959090909090909</v>
      </c>
    </row>
    <row r="3500" spans="1:6" x14ac:dyDescent="0.25">
      <c r="A3500" s="21">
        <v>8040027</v>
      </c>
      <c r="B3500" s="1">
        <v>45352</v>
      </c>
      <c r="C3500" t="s">
        <v>982</v>
      </c>
      <c r="D3500" s="18">
        <v>2.2999999999999998</v>
      </c>
      <c r="E3500" s="32">
        <v>26.91</v>
      </c>
      <c r="F3500" s="15">
        <f>IFERROR(PRD[[#This Row],[VALOR]]/PRD[[#This Row],[KGS]],"")</f>
        <v>11.700000000000001</v>
      </c>
    </row>
    <row r="3501" spans="1:6" x14ac:dyDescent="0.25">
      <c r="A3501" s="21">
        <v>8040032</v>
      </c>
      <c r="B3501" s="1">
        <v>45352</v>
      </c>
      <c r="C3501" t="s">
        <v>732</v>
      </c>
      <c r="D3501" s="18">
        <v>5.8</v>
      </c>
      <c r="E3501" s="32">
        <v>27.84</v>
      </c>
      <c r="F3501" s="15">
        <f>IFERROR(PRD[[#This Row],[VALOR]]/PRD[[#This Row],[KGS]],"")</f>
        <v>4.8</v>
      </c>
    </row>
    <row r="3502" spans="1:6" x14ac:dyDescent="0.25">
      <c r="A3502" s="21">
        <v>8040036</v>
      </c>
      <c r="B3502" s="1">
        <v>45352</v>
      </c>
      <c r="C3502" t="s">
        <v>470</v>
      </c>
      <c r="D3502" s="18">
        <v>518.4</v>
      </c>
      <c r="E3502" s="32">
        <v>6205.25</v>
      </c>
      <c r="F3502" s="15">
        <f>IFERROR(PRD[[#This Row],[VALOR]]/PRD[[#This Row],[KGS]],"")</f>
        <v>11.970003858024691</v>
      </c>
    </row>
    <row r="3503" spans="1:6" x14ac:dyDescent="0.25">
      <c r="A3503" s="21">
        <v>8040037</v>
      </c>
      <c r="B3503" s="1">
        <v>45352</v>
      </c>
      <c r="C3503" t="s">
        <v>794</v>
      </c>
      <c r="D3503" s="18">
        <v>0.7</v>
      </c>
      <c r="E3503" s="32">
        <v>9.64</v>
      </c>
      <c r="F3503" s="15">
        <f>IFERROR(PRD[[#This Row],[VALOR]]/PRD[[#This Row],[KGS]],"")</f>
        <v>13.771428571428572</v>
      </c>
    </row>
    <row r="3504" spans="1:6" x14ac:dyDescent="0.25">
      <c r="A3504" s="21">
        <v>8040039</v>
      </c>
      <c r="B3504" s="1">
        <v>45352</v>
      </c>
      <c r="C3504" t="s">
        <v>564</v>
      </c>
      <c r="D3504" s="18">
        <v>6.3</v>
      </c>
      <c r="E3504" s="32">
        <v>66.150000000000006</v>
      </c>
      <c r="F3504" s="15">
        <f>IFERROR(PRD[[#This Row],[VALOR]]/PRD[[#This Row],[KGS]],"")</f>
        <v>10.500000000000002</v>
      </c>
    </row>
    <row r="3505" spans="1:6" x14ac:dyDescent="0.25">
      <c r="A3505" s="21">
        <v>8040048</v>
      </c>
      <c r="B3505" s="1">
        <v>45352</v>
      </c>
      <c r="C3505" t="s">
        <v>699</v>
      </c>
      <c r="D3505" s="18">
        <v>830</v>
      </c>
      <c r="E3505" s="32">
        <v>2115.14</v>
      </c>
      <c r="F3505" s="15">
        <f>IFERROR(PRD[[#This Row],[VALOR]]/PRD[[#This Row],[KGS]],"")</f>
        <v>2.5483614457831325</v>
      </c>
    </row>
    <row r="3506" spans="1:6" x14ac:dyDescent="0.25">
      <c r="A3506" s="21">
        <v>8040049</v>
      </c>
      <c r="B3506" s="1">
        <v>45352</v>
      </c>
      <c r="C3506" t="s">
        <v>643</v>
      </c>
      <c r="D3506" s="18">
        <v>1736</v>
      </c>
      <c r="E3506" s="32">
        <v>18584</v>
      </c>
      <c r="F3506" s="15">
        <f>IFERROR(PRD[[#This Row],[VALOR]]/PRD[[#This Row],[KGS]],"")</f>
        <v>10.705069124423963</v>
      </c>
    </row>
    <row r="3507" spans="1:6" x14ac:dyDescent="0.25">
      <c r="A3507" s="21">
        <v>8040050</v>
      </c>
      <c r="B3507" s="1">
        <v>45352</v>
      </c>
      <c r="C3507" t="s">
        <v>746</v>
      </c>
      <c r="D3507" s="18">
        <v>438.94</v>
      </c>
      <c r="E3507" s="32">
        <v>5947.64</v>
      </c>
      <c r="F3507" s="15">
        <f>IFERROR(PRD[[#This Row],[VALOR]]/PRD[[#This Row],[KGS]],"")</f>
        <v>13.550006834647105</v>
      </c>
    </row>
    <row r="3508" spans="1:6" x14ac:dyDescent="0.25">
      <c r="A3508" s="21">
        <v>8040057</v>
      </c>
      <c r="B3508" s="1">
        <v>45352</v>
      </c>
      <c r="C3508" t="s">
        <v>734</v>
      </c>
      <c r="D3508" s="18">
        <v>4</v>
      </c>
      <c r="E3508" s="32">
        <v>19.2</v>
      </c>
      <c r="F3508" s="15">
        <f>IFERROR(PRD[[#This Row],[VALOR]]/PRD[[#This Row],[KGS]],"")</f>
        <v>4.8</v>
      </c>
    </row>
    <row r="3509" spans="1:6" x14ac:dyDescent="0.25">
      <c r="A3509" s="21">
        <v>8040060</v>
      </c>
      <c r="B3509" s="1">
        <v>45352</v>
      </c>
      <c r="C3509" t="s">
        <v>769</v>
      </c>
      <c r="D3509" s="18">
        <v>360</v>
      </c>
      <c r="E3509" s="32">
        <v>4500</v>
      </c>
      <c r="F3509" s="15">
        <f>IFERROR(PRD[[#This Row],[VALOR]]/PRD[[#This Row],[KGS]],"")</f>
        <v>12.5</v>
      </c>
    </row>
    <row r="3510" spans="1:6" x14ac:dyDescent="0.25">
      <c r="A3510" s="21">
        <v>8040062</v>
      </c>
      <c r="B3510" s="1">
        <v>45352</v>
      </c>
      <c r="C3510" t="s">
        <v>983</v>
      </c>
      <c r="D3510" s="18">
        <v>136</v>
      </c>
      <c r="E3510" s="32">
        <v>2176</v>
      </c>
      <c r="F3510" s="15">
        <f>IFERROR(PRD[[#This Row],[VALOR]]/PRD[[#This Row],[KGS]],"")</f>
        <v>16</v>
      </c>
    </row>
    <row r="3511" spans="1:6" x14ac:dyDescent="0.25">
      <c r="A3511" s="21">
        <v>8040064</v>
      </c>
      <c r="B3511" s="1">
        <v>45352</v>
      </c>
      <c r="C3511" t="s">
        <v>984</v>
      </c>
      <c r="D3511" s="18">
        <v>7</v>
      </c>
      <c r="E3511" s="32">
        <v>62.3</v>
      </c>
      <c r="F3511" s="15">
        <f>IFERROR(PRD[[#This Row],[VALOR]]/PRD[[#This Row],[KGS]],"")</f>
        <v>8.9</v>
      </c>
    </row>
    <row r="3512" spans="1:6" x14ac:dyDescent="0.25">
      <c r="A3512" s="21">
        <v>8040065</v>
      </c>
      <c r="B3512" s="1">
        <v>45352</v>
      </c>
      <c r="C3512" t="s">
        <v>985</v>
      </c>
      <c r="D3512" s="18">
        <v>105</v>
      </c>
      <c r="E3512" s="32">
        <v>861</v>
      </c>
      <c r="F3512" s="15">
        <f>IFERROR(PRD[[#This Row],[VALOR]]/PRD[[#This Row],[KGS]],"")</f>
        <v>8.1999999999999993</v>
      </c>
    </row>
    <row r="3513" spans="1:6" x14ac:dyDescent="0.25">
      <c r="A3513" s="21">
        <v>8050008</v>
      </c>
      <c r="B3513" s="1">
        <v>45352</v>
      </c>
      <c r="C3513" t="s">
        <v>651</v>
      </c>
      <c r="D3513" s="18">
        <v>212</v>
      </c>
      <c r="E3513" s="32">
        <v>880.59</v>
      </c>
      <c r="F3513" s="15">
        <f>IFERROR(PRD[[#This Row],[VALOR]]/PRD[[#This Row],[KGS]],"")</f>
        <v>4.15372641509434</v>
      </c>
    </row>
    <row r="3514" spans="1:6" x14ac:dyDescent="0.25">
      <c r="A3514" s="21">
        <v>8060003</v>
      </c>
      <c r="B3514" s="1">
        <v>45352</v>
      </c>
      <c r="C3514" t="s">
        <v>771</v>
      </c>
      <c r="D3514" s="18">
        <v>156</v>
      </c>
      <c r="E3514" s="32">
        <v>764.4</v>
      </c>
      <c r="F3514" s="15">
        <f>IFERROR(PRD[[#This Row],[VALOR]]/PRD[[#This Row],[KGS]],"")</f>
        <v>4.8999999999999995</v>
      </c>
    </row>
    <row r="3515" spans="1:6" x14ac:dyDescent="0.25">
      <c r="A3515" s="21">
        <v>8070004</v>
      </c>
      <c r="B3515" s="1">
        <v>45352</v>
      </c>
      <c r="C3515" t="s">
        <v>653</v>
      </c>
      <c r="D3515" s="18">
        <v>969.93</v>
      </c>
      <c r="E3515" s="32">
        <v>5718.19</v>
      </c>
      <c r="F3515" s="15">
        <f>IFERROR(PRD[[#This Row],[VALOR]]/PRD[[#This Row],[KGS]],"")</f>
        <v>5.8954666831627023</v>
      </c>
    </row>
    <row r="3516" spans="1:6" x14ac:dyDescent="0.25">
      <c r="A3516" s="21">
        <v>8070009</v>
      </c>
      <c r="B3516" s="1">
        <v>45352</v>
      </c>
      <c r="C3516" t="s">
        <v>581</v>
      </c>
      <c r="D3516" s="18">
        <v>1440</v>
      </c>
      <c r="E3516" s="32">
        <v>4723.2</v>
      </c>
      <c r="F3516" s="15">
        <f>IFERROR(PRD[[#This Row],[VALOR]]/PRD[[#This Row],[KGS]],"")</f>
        <v>3.28</v>
      </c>
    </row>
    <row r="3517" spans="1:6" x14ac:dyDescent="0.25">
      <c r="A3517" s="21">
        <v>8070013</v>
      </c>
      <c r="B3517" s="1">
        <v>45352</v>
      </c>
      <c r="C3517" t="s">
        <v>986</v>
      </c>
      <c r="D3517" s="18">
        <v>2.96</v>
      </c>
      <c r="E3517" s="32">
        <v>17.579999999999998</v>
      </c>
      <c r="F3517" s="15">
        <f>IFERROR(PRD[[#This Row],[VALOR]]/PRD[[#This Row],[KGS]],"")</f>
        <v>5.9391891891891886</v>
      </c>
    </row>
    <row r="3518" spans="1:6" x14ac:dyDescent="0.25">
      <c r="A3518" s="21">
        <v>8070018</v>
      </c>
      <c r="B3518" s="1">
        <v>45352</v>
      </c>
      <c r="C3518" t="s">
        <v>397</v>
      </c>
      <c r="D3518" s="18">
        <v>1415.89</v>
      </c>
      <c r="E3518" s="32">
        <v>4885.0200000000004</v>
      </c>
      <c r="F3518" s="15">
        <f>IFERROR(PRD[[#This Row],[VALOR]]/PRD[[#This Row],[KGS]],"")</f>
        <v>3.4501409007761903</v>
      </c>
    </row>
    <row r="3519" spans="1:6" x14ac:dyDescent="0.25">
      <c r="A3519" s="21">
        <v>8070025</v>
      </c>
      <c r="B3519" s="1">
        <v>45352</v>
      </c>
      <c r="C3519" t="s">
        <v>655</v>
      </c>
      <c r="D3519" s="18">
        <v>1.6</v>
      </c>
      <c r="E3519" s="32">
        <v>4.38</v>
      </c>
      <c r="F3519" s="15">
        <f>IFERROR(PRD[[#This Row],[VALOR]]/PRD[[#This Row],[KGS]],"")</f>
        <v>2.7374999999999998</v>
      </c>
    </row>
    <row r="3520" spans="1:6" x14ac:dyDescent="0.25">
      <c r="A3520" s="21">
        <v>8070026</v>
      </c>
      <c r="B3520" s="1">
        <v>45352</v>
      </c>
      <c r="C3520" t="s">
        <v>584</v>
      </c>
      <c r="D3520" s="18">
        <v>2880</v>
      </c>
      <c r="E3520" s="32">
        <v>8784</v>
      </c>
      <c r="F3520" s="15">
        <f>IFERROR(PRD[[#This Row],[VALOR]]/PRD[[#This Row],[KGS]],"")</f>
        <v>3.05</v>
      </c>
    </row>
    <row r="3521" spans="1:6" x14ac:dyDescent="0.25">
      <c r="A3521" s="21">
        <v>8070027</v>
      </c>
      <c r="B3521" s="1">
        <v>45352</v>
      </c>
      <c r="C3521" t="s">
        <v>772</v>
      </c>
      <c r="D3521" s="18">
        <v>2150</v>
      </c>
      <c r="E3521" s="32">
        <v>7737</v>
      </c>
      <c r="F3521" s="15">
        <f>IFERROR(PRD[[#This Row],[VALOR]]/PRD[[#This Row],[KGS]],"")</f>
        <v>3.5986046511627907</v>
      </c>
    </row>
    <row r="3522" spans="1:6" x14ac:dyDescent="0.25">
      <c r="A3522" s="21">
        <v>8070029</v>
      </c>
      <c r="B3522" s="1">
        <v>45352</v>
      </c>
      <c r="C3522" t="s">
        <v>491</v>
      </c>
      <c r="D3522" s="18">
        <v>1.9</v>
      </c>
      <c r="E3522" s="32">
        <v>7.79</v>
      </c>
      <c r="F3522" s="15">
        <f>IFERROR(PRD[[#This Row],[VALOR]]/PRD[[#This Row],[KGS]],"")</f>
        <v>4.1000000000000005</v>
      </c>
    </row>
    <row r="3523" spans="1:6" x14ac:dyDescent="0.25">
      <c r="A3523" s="21">
        <v>8070052</v>
      </c>
      <c r="B3523" s="1">
        <v>45352</v>
      </c>
      <c r="C3523" t="s">
        <v>751</v>
      </c>
      <c r="D3523" s="18">
        <v>32</v>
      </c>
      <c r="E3523" s="32">
        <v>102.4</v>
      </c>
      <c r="F3523" s="15">
        <f>IFERROR(PRD[[#This Row],[VALOR]]/PRD[[#This Row],[KGS]],"")</f>
        <v>3.2</v>
      </c>
    </row>
    <row r="3524" spans="1:6" x14ac:dyDescent="0.25">
      <c r="A3524" s="21">
        <v>8070054</v>
      </c>
      <c r="B3524" s="1">
        <v>45352</v>
      </c>
      <c r="C3524" t="s">
        <v>662</v>
      </c>
      <c r="D3524" s="18">
        <v>1.84</v>
      </c>
      <c r="E3524" s="32">
        <v>13.82</v>
      </c>
      <c r="F3524" s="15">
        <f>IFERROR(PRD[[#This Row],[VALOR]]/PRD[[#This Row],[KGS]],"")</f>
        <v>7.5108695652173916</v>
      </c>
    </row>
    <row r="3525" spans="1:6" x14ac:dyDescent="0.25">
      <c r="A3525" s="21">
        <v>8070060</v>
      </c>
      <c r="B3525" s="1">
        <v>45352</v>
      </c>
      <c r="C3525" t="s">
        <v>701</v>
      </c>
      <c r="D3525" s="18">
        <v>4052</v>
      </c>
      <c r="E3525" s="32">
        <v>9117.7000000000007</v>
      </c>
      <c r="F3525" s="15">
        <f>IFERROR(PRD[[#This Row],[VALOR]]/PRD[[#This Row],[KGS]],"")</f>
        <v>2.250172754195459</v>
      </c>
    </row>
    <row r="3526" spans="1:6" x14ac:dyDescent="0.25">
      <c r="A3526" s="21">
        <v>8070061</v>
      </c>
      <c r="B3526" s="1">
        <v>45352</v>
      </c>
      <c r="C3526" t="s">
        <v>752</v>
      </c>
      <c r="D3526" s="18">
        <v>10</v>
      </c>
      <c r="E3526" s="32">
        <v>23</v>
      </c>
      <c r="F3526" s="15">
        <f>IFERROR(PRD[[#This Row],[VALOR]]/PRD[[#This Row],[KGS]],"")</f>
        <v>2.2999999999999998</v>
      </c>
    </row>
    <row r="3527" spans="1:6" x14ac:dyDescent="0.25">
      <c r="A3527" s="21">
        <v>8070062</v>
      </c>
      <c r="B3527" s="1">
        <v>45352</v>
      </c>
      <c r="C3527" t="s">
        <v>987</v>
      </c>
      <c r="D3527" s="18">
        <v>5.6</v>
      </c>
      <c r="E3527" s="32">
        <v>19.22</v>
      </c>
      <c r="F3527" s="15">
        <f>IFERROR(PRD[[#This Row],[VALOR]]/PRD[[#This Row],[KGS]],"")</f>
        <v>3.4321428571428569</v>
      </c>
    </row>
    <row r="3528" spans="1:6" x14ac:dyDescent="0.25">
      <c r="A3528" s="21">
        <v>8070063</v>
      </c>
      <c r="B3528" s="1">
        <v>45352</v>
      </c>
      <c r="C3528" t="s">
        <v>988</v>
      </c>
      <c r="D3528" s="18">
        <v>960</v>
      </c>
      <c r="E3528" s="32">
        <v>2899.2</v>
      </c>
      <c r="F3528" s="15">
        <f>IFERROR(PRD[[#This Row],[VALOR]]/PRD[[#This Row],[KGS]],"")</f>
        <v>3.02</v>
      </c>
    </row>
    <row r="3529" spans="1:6" x14ac:dyDescent="0.25">
      <c r="A3529" s="21">
        <v>8070067</v>
      </c>
      <c r="B3529" s="1">
        <v>45352</v>
      </c>
      <c r="C3529" t="s">
        <v>754</v>
      </c>
      <c r="D3529" s="18">
        <v>30</v>
      </c>
      <c r="E3529" s="32">
        <v>63</v>
      </c>
      <c r="F3529" s="15">
        <f>IFERROR(PRD[[#This Row],[VALOR]]/PRD[[#This Row],[KGS]],"")</f>
        <v>2.1</v>
      </c>
    </row>
    <row r="3530" spans="1:6" x14ac:dyDescent="0.25">
      <c r="A3530" s="21">
        <v>8070069</v>
      </c>
      <c r="B3530" s="1">
        <v>45352</v>
      </c>
      <c r="C3530" t="s">
        <v>774</v>
      </c>
      <c r="D3530" s="18">
        <v>1008</v>
      </c>
      <c r="E3530" s="32">
        <v>1209.5999999999999</v>
      </c>
      <c r="F3530" s="15">
        <f>IFERROR(PRD[[#This Row],[VALOR]]/PRD[[#This Row],[KGS]],"")</f>
        <v>1.2</v>
      </c>
    </row>
    <row r="3531" spans="1:6" x14ac:dyDescent="0.25">
      <c r="A3531" s="21">
        <v>8080001</v>
      </c>
      <c r="B3531" s="1">
        <v>45352</v>
      </c>
      <c r="C3531" t="s">
        <v>989</v>
      </c>
      <c r="D3531" s="18">
        <v>58.32</v>
      </c>
      <c r="E3531" s="32">
        <v>2791.6</v>
      </c>
      <c r="F3531" s="15">
        <f>IFERROR(PRD[[#This Row],[VALOR]]/PRD[[#This Row],[KGS]],"")</f>
        <v>47.866941015089161</v>
      </c>
    </row>
    <row r="3532" spans="1:6" x14ac:dyDescent="0.25">
      <c r="A3532" s="21">
        <v>8120003</v>
      </c>
      <c r="B3532" s="1">
        <v>45352</v>
      </c>
      <c r="C3532" t="s">
        <v>376</v>
      </c>
      <c r="D3532" s="18">
        <v>1093.45</v>
      </c>
      <c r="E3532" s="32">
        <v>2988.88</v>
      </c>
      <c r="F3532" s="15">
        <f>IFERROR(PRD[[#This Row],[VALOR]]/PRD[[#This Row],[KGS]],"")</f>
        <v>2.7334400292651697</v>
      </c>
    </row>
    <row r="3533" spans="1:6" x14ac:dyDescent="0.25">
      <c r="A3533" s="21">
        <v>8120004</v>
      </c>
      <c r="B3533" s="1">
        <v>45352</v>
      </c>
      <c r="C3533" t="s">
        <v>406</v>
      </c>
      <c r="D3533" s="18">
        <v>4790</v>
      </c>
      <c r="E3533" s="32">
        <v>21822.400000000001</v>
      </c>
      <c r="F3533" s="15">
        <f>IFERROR(PRD[[#This Row],[VALOR]]/PRD[[#This Row],[KGS]],"")</f>
        <v>4.5558246346555329</v>
      </c>
    </row>
    <row r="3534" spans="1:6" x14ac:dyDescent="0.25">
      <c r="A3534" s="21">
        <v>8120007</v>
      </c>
      <c r="B3534" s="1">
        <v>45352</v>
      </c>
      <c r="C3534" t="s">
        <v>377</v>
      </c>
      <c r="D3534" s="18">
        <v>1978.05</v>
      </c>
      <c r="E3534" s="32">
        <v>15849.13</v>
      </c>
      <c r="F3534" s="15">
        <f>IFERROR(PRD[[#This Row],[VALOR]]/PRD[[#This Row],[KGS]],"")</f>
        <v>8.0125022117742226</v>
      </c>
    </row>
    <row r="3535" spans="1:6" x14ac:dyDescent="0.25">
      <c r="A3535" s="21">
        <v>8120008</v>
      </c>
      <c r="B3535" s="1">
        <v>45352</v>
      </c>
      <c r="C3535" t="s">
        <v>409</v>
      </c>
      <c r="D3535" s="18">
        <v>3688.11</v>
      </c>
      <c r="E3535" s="32">
        <v>34592.400000000001</v>
      </c>
      <c r="F3535" s="15">
        <f>IFERROR(PRD[[#This Row],[VALOR]]/PRD[[#This Row],[KGS]],"")</f>
        <v>9.3794382488591719</v>
      </c>
    </row>
    <row r="3536" spans="1:6" x14ac:dyDescent="0.25">
      <c r="A3536" s="21">
        <v>8120015</v>
      </c>
      <c r="B3536" s="1">
        <v>45352</v>
      </c>
      <c r="C3536" t="s">
        <v>412</v>
      </c>
      <c r="D3536" s="18">
        <v>2403</v>
      </c>
      <c r="E3536" s="32">
        <v>7088.85</v>
      </c>
      <c r="F3536" s="15">
        <f>IFERROR(PRD[[#This Row],[VALOR]]/PRD[[#This Row],[KGS]],"")</f>
        <v>2.95</v>
      </c>
    </row>
    <row r="3537" spans="1:6" x14ac:dyDescent="0.25">
      <c r="A3537" s="21">
        <v>8120023</v>
      </c>
      <c r="B3537" s="1">
        <v>45352</v>
      </c>
      <c r="C3537" t="s">
        <v>514</v>
      </c>
      <c r="D3537" s="18">
        <v>2.08</v>
      </c>
      <c r="E3537" s="32">
        <v>24.57</v>
      </c>
      <c r="F3537" s="15">
        <f>IFERROR(PRD[[#This Row],[VALOR]]/PRD[[#This Row],[KGS]],"")</f>
        <v>11.8125</v>
      </c>
    </row>
    <row r="3538" spans="1:6" x14ac:dyDescent="0.25">
      <c r="A3538" s="21">
        <v>8120040</v>
      </c>
      <c r="B3538" s="1">
        <v>45352</v>
      </c>
      <c r="C3538" t="s">
        <v>756</v>
      </c>
      <c r="D3538" s="18">
        <v>420</v>
      </c>
      <c r="E3538" s="32">
        <v>1724</v>
      </c>
      <c r="F3538" s="15">
        <f>IFERROR(PRD[[#This Row],[VALOR]]/PRD[[#This Row],[KGS]],"")</f>
        <v>4.1047619047619044</v>
      </c>
    </row>
    <row r="3539" spans="1:6" x14ac:dyDescent="0.25">
      <c r="A3539" s="21">
        <v>8120052</v>
      </c>
      <c r="B3539" s="1">
        <v>45352</v>
      </c>
      <c r="C3539" t="s">
        <v>783</v>
      </c>
      <c r="D3539" s="18">
        <v>106.5</v>
      </c>
      <c r="E3539" s="32">
        <v>298.95</v>
      </c>
      <c r="F3539" s="15">
        <f>IFERROR(PRD[[#This Row],[VALOR]]/PRD[[#This Row],[KGS]],"")</f>
        <v>2.8070422535211268</v>
      </c>
    </row>
    <row r="3540" spans="1:6" x14ac:dyDescent="0.25">
      <c r="A3540" s="21">
        <v>8130002</v>
      </c>
      <c r="B3540" s="1">
        <v>45352</v>
      </c>
      <c r="C3540" t="s">
        <v>413</v>
      </c>
      <c r="D3540" s="18">
        <v>3</v>
      </c>
      <c r="E3540" s="32">
        <v>7.16</v>
      </c>
      <c r="F3540" s="15">
        <f>IFERROR(PRD[[#This Row],[VALOR]]/PRD[[#This Row],[KGS]],"")</f>
        <v>2.3866666666666667</v>
      </c>
    </row>
    <row r="3541" spans="1:6" x14ac:dyDescent="0.25">
      <c r="A3541" s="21">
        <v>8130014</v>
      </c>
      <c r="B3541" s="1">
        <v>45352</v>
      </c>
      <c r="C3541" t="s">
        <v>417</v>
      </c>
      <c r="D3541" s="18">
        <v>40</v>
      </c>
      <c r="E3541" s="32">
        <v>147.6</v>
      </c>
      <c r="F3541" s="15">
        <f>IFERROR(PRD[[#This Row],[VALOR]]/PRD[[#This Row],[KGS]],"")</f>
        <v>3.69</v>
      </c>
    </row>
    <row r="3542" spans="1:6" x14ac:dyDescent="0.25">
      <c r="A3542" s="21">
        <v>8130015</v>
      </c>
      <c r="B3542" s="1">
        <v>45352</v>
      </c>
      <c r="C3542" t="s">
        <v>622</v>
      </c>
      <c r="D3542" s="18">
        <v>66.599999999999994</v>
      </c>
      <c r="E3542" s="32">
        <v>238.25</v>
      </c>
      <c r="F3542" s="15">
        <f>IFERROR(PRD[[#This Row],[VALOR]]/PRD[[#This Row],[KGS]],"")</f>
        <v>3.5773273273273278</v>
      </c>
    </row>
    <row r="3543" spans="1:6" x14ac:dyDescent="0.25">
      <c r="A3543" s="21">
        <v>8130017</v>
      </c>
      <c r="B3543" s="1">
        <v>45352</v>
      </c>
      <c r="C3543" t="s">
        <v>795</v>
      </c>
      <c r="D3543" s="18">
        <v>243</v>
      </c>
      <c r="E3543" s="32">
        <v>704.7</v>
      </c>
      <c r="F3543" s="15">
        <f>IFERROR(PRD[[#This Row],[VALOR]]/PRD[[#This Row],[KGS]],"")</f>
        <v>2.9000000000000004</v>
      </c>
    </row>
    <row r="3544" spans="1:6" x14ac:dyDescent="0.25">
      <c r="A3544" s="21">
        <v>8130022</v>
      </c>
      <c r="B3544" s="1">
        <v>45352</v>
      </c>
      <c r="C3544" t="s">
        <v>990</v>
      </c>
      <c r="D3544" s="18">
        <v>990</v>
      </c>
      <c r="E3544" s="32">
        <v>1980</v>
      </c>
      <c r="F3544" s="15">
        <f>IFERROR(PRD[[#This Row],[VALOR]]/PRD[[#This Row],[KGS]],"")</f>
        <v>2</v>
      </c>
    </row>
    <row r="3545" spans="1:6" x14ac:dyDescent="0.25">
      <c r="A3545" s="21">
        <v>8140001</v>
      </c>
      <c r="B3545" s="1">
        <v>45352</v>
      </c>
      <c r="C3545" t="s">
        <v>381</v>
      </c>
      <c r="D3545" s="18">
        <v>1782</v>
      </c>
      <c r="E3545" s="32">
        <v>7662.6</v>
      </c>
      <c r="F3545" s="15">
        <f>IFERROR(PRD[[#This Row],[VALOR]]/PRD[[#This Row],[KGS]],"")</f>
        <v>4.3</v>
      </c>
    </row>
    <row r="3546" spans="1:6" x14ac:dyDescent="0.25">
      <c r="A3546" s="21">
        <v>8140006</v>
      </c>
      <c r="B3546" s="1">
        <v>45352</v>
      </c>
      <c r="C3546" t="s">
        <v>423</v>
      </c>
      <c r="D3546" s="18">
        <v>14</v>
      </c>
      <c r="E3546" s="32">
        <v>34.6</v>
      </c>
      <c r="F3546" s="15">
        <f>IFERROR(PRD[[#This Row],[VALOR]]/PRD[[#This Row],[KGS]],"")</f>
        <v>2.4714285714285715</v>
      </c>
    </row>
    <row r="3547" spans="1:6" x14ac:dyDescent="0.25">
      <c r="A3547" s="21">
        <v>8140013</v>
      </c>
      <c r="B3547" s="1">
        <v>45352</v>
      </c>
      <c r="C3547" t="s">
        <v>674</v>
      </c>
      <c r="D3547" s="18">
        <v>651</v>
      </c>
      <c r="E3547" s="32">
        <v>348.31</v>
      </c>
      <c r="F3547" s="15">
        <f>IFERROR(PRD[[#This Row],[VALOR]]/PRD[[#This Row],[KGS]],"")</f>
        <v>0.53503840245775725</v>
      </c>
    </row>
    <row r="3548" spans="1:6" x14ac:dyDescent="0.25">
      <c r="A3548" s="21">
        <v>8140015</v>
      </c>
      <c r="B3548" s="1">
        <v>45352</v>
      </c>
      <c r="C3548" t="s">
        <v>676</v>
      </c>
      <c r="D3548" s="18">
        <v>4072</v>
      </c>
      <c r="E3548" s="32">
        <v>3828.48</v>
      </c>
      <c r="F3548" s="15">
        <f>IFERROR(PRD[[#This Row],[VALOR]]/PRD[[#This Row],[KGS]],"")</f>
        <v>0.94019646365422394</v>
      </c>
    </row>
    <row r="3549" spans="1:6" x14ac:dyDescent="0.25">
      <c r="A3549" s="21">
        <v>8140016</v>
      </c>
      <c r="B3549" s="1">
        <v>45352</v>
      </c>
      <c r="C3549" t="s">
        <v>677</v>
      </c>
      <c r="D3549" s="18">
        <v>8</v>
      </c>
      <c r="E3549" s="32">
        <v>34.340000000000003</v>
      </c>
      <c r="F3549" s="15">
        <f>IFERROR(PRD[[#This Row],[VALOR]]/PRD[[#This Row],[KGS]],"")</f>
        <v>4.2925000000000004</v>
      </c>
    </row>
    <row r="3550" spans="1:6" x14ac:dyDescent="0.25">
      <c r="A3550" s="21">
        <v>8150004</v>
      </c>
      <c r="B3550" s="1">
        <v>45352</v>
      </c>
      <c r="C3550" t="s">
        <v>625</v>
      </c>
      <c r="D3550" s="18">
        <v>91.75</v>
      </c>
      <c r="E3550" s="32">
        <v>535.9</v>
      </c>
      <c r="F3550" s="15">
        <f>IFERROR(PRD[[#This Row],[VALOR]]/PRD[[#This Row],[KGS]],"")</f>
        <v>5.8408719346049045</v>
      </c>
    </row>
    <row r="3551" spans="1:6" x14ac:dyDescent="0.25">
      <c r="A3551" s="21">
        <v>8150005</v>
      </c>
      <c r="B3551" s="1">
        <v>45352</v>
      </c>
      <c r="C3551" t="s">
        <v>386</v>
      </c>
      <c r="D3551" s="18">
        <v>10</v>
      </c>
      <c r="E3551" s="32">
        <v>53</v>
      </c>
      <c r="F3551" s="15">
        <f>IFERROR(PRD[[#This Row],[VALOR]]/PRD[[#This Row],[KGS]],"")</f>
        <v>5.3</v>
      </c>
    </row>
    <row r="3552" spans="1:6" x14ac:dyDescent="0.25">
      <c r="A3552" s="21">
        <v>8150011</v>
      </c>
      <c r="B3552" s="1">
        <v>45352</v>
      </c>
      <c r="C3552" t="s">
        <v>532</v>
      </c>
      <c r="D3552" s="18">
        <v>0.65</v>
      </c>
      <c r="E3552" s="32">
        <v>3.57</v>
      </c>
      <c r="F3552" s="15">
        <f>IFERROR(PRD[[#This Row],[VALOR]]/PRD[[#This Row],[KGS]],"")</f>
        <v>5.4923076923076914</v>
      </c>
    </row>
    <row r="3553" spans="1:6" x14ac:dyDescent="0.25">
      <c r="A3553" s="21">
        <v>8150012</v>
      </c>
      <c r="B3553" s="1">
        <v>45352</v>
      </c>
      <c r="C3553" t="s">
        <v>626</v>
      </c>
      <c r="D3553" s="18">
        <v>2</v>
      </c>
      <c r="E3553" s="32">
        <v>11.78</v>
      </c>
      <c r="F3553" s="15">
        <f>IFERROR(PRD[[#This Row],[VALOR]]/PRD[[#This Row],[KGS]],"")</f>
        <v>5.89</v>
      </c>
    </row>
    <row r="3554" spans="1:6" x14ac:dyDescent="0.25">
      <c r="A3554" s="21">
        <v>8150014</v>
      </c>
      <c r="B3554" s="1">
        <v>45352</v>
      </c>
      <c r="C3554" t="s">
        <v>538</v>
      </c>
      <c r="D3554" s="18">
        <v>3</v>
      </c>
      <c r="E3554" s="32">
        <v>12.15</v>
      </c>
      <c r="F3554" s="15">
        <f>IFERROR(PRD[[#This Row],[VALOR]]/PRD[[#This Row],[KGS]],"")</f>
        <v>4.05</v>
      </c>
    </row>
    <row r="3555" spans="1:6" x14ac:dyDescent="0.25">
      <c r="A3555" s="21">
        <v>8150026</v>
      </c>
      <c r="B3555" s="1">
        <v>45352</v>
      </c>
      <c r="C3555" t="s">
        <v>760</v>
      </c>
      <c r="D3555" s="18">
        <v>0.65</v>
      </c>
      <c r="E3555" s="32">
        <v>2.64</v>
      </c>
      <c r="F3555" s="15">
        <f>IFERROR(PRD[[#This Row],[VALOR]]/PRD[[#This Row],[KGS]],"")</f>
        <v>4.0615384615384613</v>
      </c>
    </row>
    <row r="3556" spans="1:6" x14ac:dyDescent="0.25">
      <c r="A3556" s="21">
        <v>8150027</v>
      </c>
      <c r="B3556" s="1">
        <v>45352</v>
      </c>
      <c r="C3556" t="s">
        <v>991</v>
      </c>
      <c r="D3556" s="18">
        <v>10</v>
      </c>
      <c r="E3556" s="32">
        <v>45.5</v>
      </c>
      <c r="F3556" s="15">
        <f>IFERROR(PRD[[#This Row],[VALOR]]/PRD[[#This Row],[KGS]],"")</f>
        <v>4.55</v>
      </c>
    </row>
    <row r="3557" spans="1:6" x14ac:dyDescent="0.25">
      <c r="A3557" s="21">
        <v>1010200</v>
      </c>
      <c r="B3557" s="1">
        <v>45383</v>
      </c>
      <c r="C3557" t="s">
        <v>331</v>
      </c>
      <c r="D3557" s="18">
        <v>845.7</v>
      </c>
      <c r="E3557" s="32">
        <v>253.71</v>
      </c>
      <c r="F3557" s="15">
        <f>IFERROR(PRD[[#This Row],[VALOR]]/PRD[[#This Row],[KGS]],"")</f>
        <v>0.3</v>
      </c>
    </row>
    <row r="3558" spans="1:6" x14ac:dyDescent="0.25">
      <c r="A3558" s="21">
        <v>1010500</v>
      </c>
      <c r="B3558" s="1">
        <v>45383</v>
      </c>
      <c r="C3558" t="s">
        <v>6</v>
      </c>
      <c r="D3558" s="18">
        <v>1865.9</v>
      </c>
      <c r="E3558" s="32">
        <v>1447.33</v>
      </c>
      <c r="F3558" s="15">
        <f>IFERROR(PRD[[#This Row],[VALOR]]/PRD[[#This Row],[KGS]],"")</f>
        <v>0.77567393751004865</v>
      </c>
    </row>
    <row r="3559" spans="1:6" x14ac:dyDescent="0.25">
      <c r="A3559" s="21">
        <v>1010600</v>
      </c>
      <c r="B3559" s="1">
        <v>45383</v>
      </c>
      <c r="C3559" t="s">
        <v>334</v>
      </c>
      <c r="D3559" s="18">
        <v>9588.7000000000007</v>
      </c>
      <c r="E3559" s="32">
        <v>6753.93</v>
      </c>
      <c r="F3559" s="15">
        <f>IFERROR(PRD[[#This Row],[VALOR]]/PRD[[#This Row],[KGS]],"")</f>
        <v>0.70436346950055795</v>
      </c>
    </row>
    <row r="3560" spans="1:6" x14ac:dyDescent="0.25">
      <c r="A3560" s="21">
        <v>1010700</v>
      </c>
      <c r="B3560" s="1">
        <v>45383</v>
      </c>
      <c r="C3560" t="s">
        <v>335</v>
      </c>
      <c r="D3560" s="18">
        <v>397.90000000000003</v>
      </c>
      <c r="E3560" s="32">
        <v>860.47</v>
      </c>
      <c r="F3560" s="15">
        <f>IFERROR(PRD[[#This Row],[VALOR]]/PRD[[#This Row],[KGS]],"")</f>
        <v>2.1625282734355364</v>
      </c>
    </row>
    <row r="3561" spans="1:6" x14ac:dyDescent="0.25">
      <c r="A3561" s="21">
        <v>1010701</v>
      </c>
      <c r="B3561" s="1">
        <v>45383</v>
      </c>
      <c r="C3561" t="s">
        <v>12</v>
      </c>
      <c r="D3561" s="18">
        <v>388.3</v>
      </c>
      <c r="E3561" s="32">
        <v>2858.24</v>
      </c>
      <c r="F3561" s="15">
        <f>IFERROR(PRD[[#This Row],[VALOR]]/PRD[[#This Row],[KGS]],"")</f>
        <v>7.3609065155807354</v>
      </c>
    </row>
    <row r="3562" spans="1:6" x14ac:dyDescent="0.25">
      <c r="A3562" s="21">
        <v>1010702</v>
      </c>
      <c r="B3562" s="1">
        <v>45383</v>
      </c>
      <c r="C3562" t="s">
        <v>740</v>
      </c>
      <c r="D3562" s="18">
        <v>766.5</v>
      </c>
      <c r="E3562" s="32">
        <v>919.8</v>
      </c>
      <c r="F3562" s="15">
        <f>IFERROR(PRD[[#This Row],[VALOR]]/PRD[[#This Row],[KGS]],"")</f>
        <v>1.2</v>
      </c>
    </row>
    <row r="3563" spans="1:6" x14ac:dyDescent="0.25">
      <c r="A3563" s="21">
        <v>1010732</v>
      </c>
      <c r="B3563" s="1">
        <v>45383</v>
      </c>
      <c r="C3563" t="s">
        <v>14</v>
      </c>
      <c r="D3563" s="18">
        <v>270</v>
      </c>
      <c r="E3563" s="32">
        <v>2154</v>
      </c>
      <c r="F3563" s="15">
        <f>IFERROR(PRD[[#This Row],[VALOR]]/PRD[[#This Row],[KGS]],"")</f>
        <v>7.9777777777777779</v>
      </c>
    </row>
    <row r="3564" spans="1:6" x14ac:dyDescent="0.25">
      <c r="A3564" s="21">
        <v>1010733</v>
      </c>
      <c r="B3564" s="1">
        <v>45383</v>
      </c>
      <c r="C3564" t="s">
        <v>992</v>
      </c>
      <c r="D3564" s="18">
        <v>-282.98</v>
      </c>
      <c r="E3564" s="32">
        <v>-1805.41</v>
      </c>
      <c r="F3564" s="15">
        <f>IFERROR(PRD[[#This Row],[VALOR]]/PRD[[#This Row],[KGS]],"")</f>
        <v>6.3799915188352534</v>
      </c>
    </row>
    <row r="3565" spans="1:6" x14ac:dyDescent="0.25">
      <c r="A3565" s="21">
        <v>1010900</v>
      </c>
      <c r="B3565" s="1">
        <v>45383</v>
      </c>
      <c r="C3565" t="s">
        <v>336</v>
      </c>
      <c r="D3565" s="18">
        <v>16.5</v>
      </c>
      <c r="E3565" s="32">
        <v>24.35</v>
      </c>
      <c r="F3565" s="15">
        <f>IFERROR(PRD[[#This Row],[VALOR]]/PRD[[#This Row],[KGS]],"")</f>
        <v>1.4757575757575758</v>
      </c>
    </row>
    <row r="3566" spans="1:6" x14ac:dyDescent="0.25">
      <c r="A3566" s="21">
        <v>1010901</v>
      </c>
      <c r="B3566" s="1">
        <v>45383</v>
      </c>
      <c r="C3566" t="s">
        <v>337</v>
      </c>
      <c r="D3566" s="18">
        <v>3.8000000000000003</v>
      </c>
      <c r="E3566" s="32">
        <v>4.18</v>
      </c>
      <c r="F3566" s="15">
        <f>IFERROR(PRD[[#This Row],[VALOR]]/PRD[[#This Row],[KGS]],"")</f>
        <v>1.0999999999999999</v>
      </c>
    </row>
    <row r="3567" spans="1:6" x14ac:dyDescent="0.25">
      <c r="A3567" s="21">
        <v>1010902</v>
      </c>
      <c r="B3567" s="1">
        <v>45383</v>
      </c>
      <c r="C3567" t="s">
        <v>431</v>
      </c>
      <c r="D3567" s="18">
        <v>715.9</v>
      </c>
      <c r="E3567" s="32">
        <v>914.01</v>
      </c>
      <c r="F3567" s="15">
        <f>IFERROR(PRD[[#This Row],[VALOR]]/PRD[[#This Row],[KGS]],"")</f>
        <v>1.2767285933789636</v>
      </c>
    </row>
    <row r="3568" spans="1:6" x14ac:dyDescent="0.25">
      <c r="A3568" s="21">
        <v>1010903</v>
      </c>
      <c r="B3568" s="1">
        <v>45383</v>
      </c>
      <c r="C3568" t="s">
        <v>629</v>
      </c>
      <c r="D3568" s="18">
        <v>314.3</v>
      </c>
      <c r="E3568" s="32">
        <v>287.23</v>
      </c>
      <c r="F3568" s="15">
        <f>IFERROR(PRD[[#This Row],[VALOR]]/PRD[[#This Row],[KGS]],"")</f>
        <v>0.91387209672287628</v>
      </c>
    </row>
    <row r="3569" spans="1:6" x14ac:dyDescent="0.25">
      <c r="A3569" s="21">
        <v>1011000</v>
      </c>
      <c r="B3569" s="1">
        <v>45383</v>
      </c>
      <c r="C3569" t="s">
        <v>20</v>
      </c>
      <c r="D3569" s="18">
        <v>1009.12</v>
      </c>
      <c r="E3569" s="32">
        <v>725.48</v>
      </c>
      <c r="F3569" s="15">
        <f>IFERROR(PRD[[#This Row],[VALOR]]/PRD[[#This Row],[KGS]],"")</f>
        <v>0.71892341842397334</v>
      </c>
    </row>
    <row r="3570" spans="1:6" x14ac:dyDescent="0.25">
      <c r="A3570" s="21">
        <v>1011100</v>
      </c>
      <c r="B3570" s="1">
        <v>45383</v>
      </c>
      <c r="C3570" t="s">
        <v>293</v>
      </c>
      <c r="D3570" s="18">
        <v>96.4</v>
      </c>
      <c r="E3570" s="32">
        <v>45.06</v>
      </c>
      <c r="F3570" s="15">
        <f>IFERROR(PRD[[#This Row],[VALOR]]/PRD[[#This Row],[KGS]],"")</f>
        <v>0.46742738589211619</v>
      </c>
    </row>
    <row r="3571" spans="1:6" x14ac:dyDescent="0.25">
      <c r="A3571" s="21">
        <v>1011200</v>
      </c>
      <c r="B3571" s="1">
        <v>45383</v>
      </c>
      <c r="C3571" t="s">
        <v>24</v>
      </c>
      <c r="D3571" s="18">
        <v>41.7</v>
      </c>
      <c r="E3571" s="32">
        <v>57.49</v>
      </c>
      <c r="F3571" s="15">
        <f>IFERROR(PRD[[#This Row],[VALOR]]/PRD[[#This Row],[KGS]],"")</f>
        <v>1.3786570743405275</v>
      </c>
    </row>
    <row r="3572" spans="1:6" x14ac:dyDescent="0.25">
      <c r="A3572" s="21">
        <v>1011201</v>
      </c>
      <c r="B3572" s="1">
        <v>45383</v>
      </c>
      <c r="C3572" t="s">
        <v>338</v>
      </c>
      <c r="D3572" s="18">
        <v>129.19999999999999</v>
      </c>
      <c r="E3572" s="32">
        <v>348.84</v>
      </c>
      <c r="F3572" s="15">
        <f>IFERROR(PRD[[#This Row],[VALOR]]/PRD[[#This Row],[KGS]],"")</f>
        <v>2.7</v>
      </c>
    </row>
    <row r="3573" spans="1:6" x14ac:dyDescent="0.25">
      <c r="A3573" s="21">
        <v>1011202</v>
      </c>
      <c r="B3573" s="1">
        <v>45383</v>
      </c>
      <c r="C3573" t="s">
        <v>340</v>
      </c>
      <c r="D3573" s="18">
        <v>394.90000000000003</v>
      </c>
      <c r="E3573" s="32">
        <v>78.98</v>
      </c>
      <c r="F3573" s="15">
        <f>IFERROR(PRD[[#This Row],[VALOR]]/PRD[[#This Row],[KGS]],"")</f>
        <v>0.19999999999999998</v>
      </c>
    </row>
    <row r="3574" spans="1:6" x14ac:dyDescent="0.25">
      <c r="A3574" s="21">
        <v>1011203</v>
      </c>
      <c r="B3574" s="1">
        <v>45383</v>
      </c>
      <c r="C3574" t="s">
        <v>993</v>
      </c>
      <c r="D3574" s="18">
        <v>96.2</v>
      </c>
      <c r="E3574" s="32">
        <v>57.72</v>
      </c>
      <c r="F3574" s="15">
        <f>IFERROR(PRD[[#This Row],[VALOR]]/PRD[[#This Row],[KGS]],"")</f>
        <v>0.6</v>
      </c>
    </row>
    <row r="3575" spans="1:6" x14ac:dyDescent="0.25">
      <c r="A3575" s="21">
        <v>1011204</v>
      </c>
      <c r="B3575" s="1">
        <v>45383</v>
      </c>
      <c r="C3575" t="s">
        <v>344</v>
      </c>
      <c r="D3575" s="18">
        <v>121.8</v>
      </c>
      <c r="E3575" s="32">
        <v>207.06</v>
      </c>
      <c r="F3575" s="15">
        <f>IFERROR(PRD[[#This Row],[VALOR]]/PRD[[#This Row],[KGS]],"")</f>
        <v>1.7</v>
      </c>
    </row>
    <row r="3576" spans="1:6" x14ac:dyDescent="0.25">
      <c r="A3576" s="21">
        <v>1011211</v>
      </c>
      <c r="B3576" s="1">
        <v>45383</v>
      </c>
      <c r="C3576" t="s">
        <v>685</v>
      </c>
      <c r="D3576" s="18">
        <v>224.70000000000002</v>
      </c>
      <c r="E3576" s="32">
        <v>78.650000000000006</v>
      </c>
      <c r="F3576" s="15">
        <f>IFERROR(PRD[[#This Row],[VALOR]]/PRD[[#This Row],[KGS]],"")</f>
        <v>0.35002225189141078</v>
      </c>
    </row>
    <row r="3577" spans="1:6" x14ac:dyDescent="0.25">
      <c r="A3577" s="21">
        <v>1011300</v>
      </c>
      <c r="B3577" s="1">
        <v>45383</v>
      </c>
      <c r="C3577" t="s">
        <v>295</v>
      </c>
      <c r="D3577" s="18">
        <v>8545.2000000000007</v>
      </c>
      <c r="E3577" s="32">
        <v>2748.18</v>
      </c>
      <c r="F3577" s="15">
        <f>IFERROR(PRD[[#This Row],[VALOR]]/PRD[[#This Row],[KGS]],"")</f>
        <v>0.32160511164162331</v>
      </c>
    </row>
    <row r="3578" spans="1:6" x14ac:dyDescent="0.25">
      <c r="A3578" s="21">
        <v>1011500</v>
      </c>
      <c r="B3578" s="1">
        <v>45383</v>
      </c>
      <c r="C3578" t="s">
        <v>27</v>
      </c>
      <c r="D3578" s="18">
        <v>1506.7149999999999</v>
      </c>
      <c r="E3578" s="32">
        <v>1159.81</v>
      </c>
      <c r="F3578" s="15">
        <f>IFERROR(PRD[[#This Row],[VALOR]]/PRD[[#This Row],[KGS]],"")</f>
        <v>0.76976070457916723</v>
      </c>
    </row>
    <row r="3579" spans="1:6" x14ac:dyDescent="0.25">
      <c r="A3579" s="21">
        <v>1011501</v>
      </c>
      <c r="B3579" s="1">
        <v>45383</v>
      </c>
      <c r="C3579" t="s">
        <v>297</v>
      </c>
      <c r="D3579" s="18">
        <v>8209.5</v>
      </c>
      <c r="E3579" s="32">
        <v>1231.43</v>
      </c>
      <c r="F3579" s="15">
        <f>IFERROR(PRD[[#This Row],[VALOR]]/PRD[[#This Row],[KGS]],"")</f>
        <v>0.15000060905049029</v>
      </c>
    </row>
    <row r="3580" spans="1:6" x14ac:dyDescent="0.25">
      <c r="A3580" s="21">
        <v>1011502</v>
      </c>
      <c r="B3580" s="1">
        <v>45383</v>
      </c>
      <c r="C3580" t="s">
        <v>994</v>
      </c>
      <c r="D3580" s="18">
        <v>390</v>
      </c>
      <c r="E3580" s="32">
        <v>234</v>
      </c>
      <c r="F3580" s="15">
        <f>IFERROR(PRD[[#This Row],[VALOR]]/PRD[[#This Row],[KGS]],"")</f>
        <v>0.6</v>
      </c>
    </row>
    <row r="3581" spans="1:6" x14ac:dyDescent="0.25">
      <c r="A3581" s="21">
        <v>1011503</v>
      </c>
      <c r="B3581" s="1">
        <v>45383</v>
      </c>
      <c r="C3581" t="s">
        <v>995</v>
      </c>
      <c r="D3581" s="18">
        <v>81.484999999999999</v>
      </c>
      <c r="E3581" s="32">
        <v>48.9</v>
      </c>
      <c r="F3581" s="15">
        <f>IFERROR(PRD[[#This Row],[VALOR]]/PRD[[#This Row],[KGS]],"")</f>
        <v>0.60011044977603234</v>
      </c>
    </row>
    <row r="3582" spans="1:6" x14ac:dyDescent="0.25">
      <c r="A3582" s="21">
        <v>1011604</v>
      </c>
      <c r="B3582" s="1">
        <v>45383</v>
      </c>
      <c r="C3582" t="s">
        <v>29</v>
      </c>
      <c r="D3582" s="18">
        <v>25662</v>
      </c>
      <c r="E3582" s="32">
        <v>2052.96</v>
      </c>
      <c r="F3582" s="15">
        <f>IFERROR(PRD[[#This Row],[VALOR]]/PRD[[#This Row],[KGS]],"")</f>
        <v>0.08</v>
      </c>
    </row>
    <row r="3583" spans="1:6" x14ac:dyDescent="0.25">
      <c r="A3583" s="21">
        <v>1011700</v>
      </c>
      <c r="B3583" s="1">
        <v>45383</v>
      </c>
      <c r="C3583" t="s">
        <v>31</v>
      </c>
      <c r="D3583" s="18">
        <v>300.10000000000002</v>
      </c>
      <c r="E3583" s="32">
        <v>488.63</v>
      </c>
      <c r="F3583" s="15">
        <f>IFERROR(PRD[[#This Row],[VALOR]]/PRD[[#This Row],[KGS]],"")</f>
        <v>1.6282239253582138</v>
      </c>
    </row>
    <row r="3584" spans="1:6" x14ac:dyDescent="0.25">
      <c r="A3584" s="21">
        <v>1011800</v>
      </c>
      <c r="B3584" s="1">
        <v>45383</v>
      </c>
      <c r="C3584" t="s">
        <v>33</v>
      </c>
      <c r="D3584" s="18">
        <v>1989.425</v>
      </c>
      <c r="E3584" s="32">
        <v>3567.53</v>
      </c>
      <c r="F3584" s="15">
        <f>IFERROR(PRD[[#This Row],[VALOR]]/PRD[[#This Row],[KGS]],"")</f>
        <v>1.7932467924148938</v>
      </c>
    </row>
    <row r="3585" spans="1:6" x14ac:dyDescent="0.25">
      <c r="A3585" s="21">
        <v>1011801</v>
      </c>
      <c r="B3585" s="1">
        <v>45383</v>
      </c>
      <c r="C3585" t="s">
        <v>35</v>
      </c>
      <c r="D3585" s="18">
        <v>30.92</v>
      </c>
      <c r="E3585" s="32">
        <v>51.02</v>
      </c>
      <c r="F3585" s="15">
        <f>IFERROR(PRD[[#This Row],[VALOR]]/PRD[[#This Row],[KGS]],"")</f>
        <v>1.6500646830530401</v>
      </c>
    </row>
    <row r="3586" spans="1:6" x14ac:dyDescent="0.25">
      <c r="A3586" s="21">
        <v>1011802</v>
      </c>
      <c r="B3586" s="1">
        <v>45383</v>
      </c>
      <c r="C3586" t="s">
        <v>996</v>
      </c>
      <c r="D3586" s="18">
        <v>244.46</v>
      </c>
      <c r="E3586" s="32">
        <v>378.92</v>
      </c>
      <c r="F3586" s="15">
        <f>IFERROR(PRD[[#This Row],[VALOR]]/PRD[[#This Row],[KGS]],"")</f>
        <v>1.5500286345414382</v>
      </c>
    </row>
    <row r="3587" spans="1:6" x14ac:dyDescent="0.25">
      <c r="A3587" s="21">
        <v>1011901</v>
      </c>
      <c r="B3587" s="1">
        <v>45383</v>
      </c>
      <c r="C3587" t="s">
        <v>37</v>
      </c>
      <c r="D3587" s="18">
        <v>424.16</v>
      </c>
      <c r="E3587" s="32">
        <v>197.02</v>
      </c>
      <c r="F3587" s="15">
        <f>IFERROR(PRD[[#This Row],[VALOR]]/PRD[[#This Row],[KGS]],"")</f>
        <v>0.46449453036589966</v>
      </c>
    </row>
    <row r="3588" spans="1:6" x14ac:dyDescent="0.25">
      <c r="A3588" s="21">
        <v>1011902</v>
      </c>
      <c r="B3588" s="1">
        <v>45383</v>
      </c>
      <c r="C3588" t="s">
        <v>437</v>
      </c>
      <c r="D3588" s="18">
        <v>24.900000000000002</v>
      </c>
      <c r="E3588" s="32">
        <v>17.43</v>
      </c>
      <c r="F3588" s="15">
        <f>IFERROR(PRD[[#This Row],[VALOR]]/PRD[[#This Row],[KGS]],"")</f>
        <v>0.7</v>
      </c>
    </row>
    <row r="3589" spans="1:6" x14ac:dyDescent="0.25">
      <c r="A3589" s="21">
        <v>1012100</v>
      </c>
      <c r="B3589" s="1">
        <v>45383</v>
      </c>
      <c r="C3589" t="s">
        <v>302</v>
      </c>
      <c r="D3589" s="18">
        <v>492.6</v>
      </c>
      <c r="E3589" s="32">
        <v>1379.28</v>
      </c>
      <c r="F3589" s="15">
        <f>IFERROR(PRD[[#This Row],[VALOR]]/PRD[[#This Row],[KGS]],"")</f>
        <v>2.8</v>
      </c>
    </row>
    <row r="3590" spans="1:6" x14ac:dyDescent="0.25">
      <c r="A3590" s="21">
        <v>1012200</v>
      </c>
      <c r="B3590" s="1">
        <v>45383</v>
      </c>
      <c r="C3590" t="s">
        <v>39</v>
      </c>
      <c r="D3590" s="18">
        <v>1174.7</v>
      </c>
      <c r="E3590" s="32">
        <v>1997.99</v>
      </c>
      <c r="F3590" s="15">
        <f>IFERROR(PRD[[#This Row],[VALOR]]/PRD[[#This Row],[KGS]],"")</f>
        <v>1.7008512811781731</v>
      </c>
    </row>
    <row r="3591" spans="1:6" x14ac:dyDescent="0.25">
      <c r="A3591" s="21">
        <v>1012201</v>
      </c>
      <c r="B3591" s="1">
        <v>45383</v>
      </c>
      <c r="C3591" t="s">
        <v>41</v>
      </c>
      <c r="D3591" s="18">
        <v>3883.4</v>
      </c>
      <c r="E3591" s="32">
        <v>5995.24</v>
      </c>
      <c r="F3591" s="15">
        <f>IFERROR(PRD[[#This Row],[VALOR]]/PRD[[#This Row],[KGS]],"")</f>
        <v>1.5438121233970232</v>
      </c>
    </row>
    <row r="3592" spans="1:6" x14ac:dyDescent="0.25">
      <c r="A3592" s="21">
        <v>1012203</v>
      </c>
      <c r="B3592" s="1">
        <v>45383</v>
      </c>
      <c r="C3592" t="s">
        <v>43</v>
      </c>
      <c r="D3592" s="18">
        <v>1295.98</v>
      </c>
      <c r="E3592" s="32">
        <v>2380.92</v>
      </c>
      <c r="F3592" s="15">
        <f>IFERROR(PRD[[#This Row],[VALOR]]/PRD[[#This Row],[KGS]],"")</f>
        <v>1.8371579808330376</v>
      </c>
    </row>
    <row r="3593" spans="1:6" x14ac:dyDescent="0.25">
      <c r="A3593" s="21">
        <v>1012205</v>
      </c>
      <c r="B3593" s="1">
        <v>45383</v>
      </c>
      <c r="C3593" t="s">
        <v>741</v>
      </c>
      <c r="D3593" s="18">
        <v>3995.98</v>
      </c>
      <c r="E3593" s="32">
        <v>4582.5200000000004</v>
      </c>
      <c r="F3593" s="15">
        <f>IFERROR(PRD[[#This Row],[VALOR]]/PRD[[#This Row],[KGS]],"")</f>
        <v>1.1467825164290113</v>
      </c>
    </row>
    <row r="3594" spans="1:6" x14ac:dyDescent="0.25">
      <c r="A3594" s="21">
        <v>1012206</v>
      </c>
      <c r="B3594" s="1">
        <v>45383</v>
      </c>
      <c r="C3594" t="s">
        <v>763</v>
      </c>
      <c r="D3594" s="18">
        <v>1745.7</v>
      </c>
      <c r="E3594" s="32">
        <v>2443.9899999999998</v>
      </c>
      <c r="F3594" s="15">
        <f>IFERROR(PRD[[#This Row],[VALOR]]/PRD[[#This Row],[KGS]],"")</f>
        <v>1.4000057283611158</v>
      </c>
    </row>
    <row r="3595" spans="1:6" x14ac:dyDescent="0.25">
      <c r="A3595" s="21">
        <v>1012207</v>
      </c>
      <c r="B3595" s="1">
        <v>45383</v>
      </c>
      <c r="C3595" t="s">
        <v>810</v>
      </c>
      <c r="D3595" s="18">
        <v>50.95</v>
      </c>
      <c r="E3595" s="32">
        <v>92.94</v>
      </c>
      <c r="F3595" s="15">
        <f>IFERROR(PRD[[#This Row],[VALOR]]/PRD[[#This Row],[KGS]],"")</f>
        <v>1.8241413150147201</v>
      </c>
    </row>
    <row r="3596" spans="1:6" x14ac:dyDescent="0.25">
      <c r="A3596" s="21">
        <v>1012300</v>
      </c>
      <c r="B3596" s="1">
        <v>45383</v>
      </c>
      <c r="C3596" t="s">
        <v>45</v>
      </c>
      <c r="D3596" s="18">
        <v>363.6</v>
      </c>
      <c r="E3596" s="32">
        <v>537.80999999999995</v>
      </c>
      <c r="F3596" s="15">
        <f>IFERROR(PRD[[#This Row],[VALOR]]/PRD[[#This Row],[KGS]],"")</f>
        <v>1.4791254125412538</v>
      </c>
    </row>
    <row r="3597" spans="1:6" x14ac:dyDescent="0.25">
      <c r="A3597" s="21">
        <v>1012301</v>
      </c>
      <c r="B3597" s="1">
        <v>45383</v>
      </c>
      <c r="C3597" t="s">
        <v>47</v>
      </c>
      <c r="D3597" s="18">
        <v>110</v>
      </c>
      <c r="E3597" s="32">
        <v>137.5</v>
      </c>
      <c r="F3597" s="15">
        <f>IFERROR(PRD[[#This Row],[VALOR]]/PRD[[#This Row],[KGS]],"")</f>
        <v>1.25</v>
      </c>
    </row>
    <row r="3598" spans="1:6" x14ac:dyDescent="0.25">
      <c r="A3598" s="21">
        <v>1012400</v>
      </c>
      <c r="B3598" s="1">
        <v>45383</v>
      </c>
      <c r="C3598" t="s">
        <v>49</v>
      </c>
      <c r="D3598" s="18">
        <v>1059.42</v>
      </c>
      <c r="E3598" s="32">
        <v>1830.51</v>
      </c>
      <c r="F3598" s="15">
        <f>IFERROR(PRD[[#This Row],[VALOR]]/PRD[[#This Row],[KGS]],"")</f>
        <v>1.7278416492042814</v>
      </c>
    </row>
    <row r="3599" spans="1:6" x14ac:dyDescent="0.25">
      <c r="A3599" s="21">
        <v>1012401</v>
      </c>
      <c r="B3599" s="1">
        <v>45383</v>
      </c>
      <c r="C3599" t="s">
        <v>51</v>
      </c>
      <c r="D3599" s="18">
        <v>184.96</v>
      </c>
      <c r="E3599" s="32">
        <v>251.05</v>
      </c>
      <c r="F3599" s="15">
        <f>IFERROR(PRD[[#This Row],[VALOR]]/PRD[[#This Row],[KGS]],"")</f>
        <v>1.3573205017301038</v>
      </c>
    </row>
    <row r="3600" spans="1:6" x14ac:dyDescent="0.25">
      <c r="A3600" s="21">
        <v>1012500</v>
      </c>
      <c r="B3600" s="1">
        <v>45383</v>
      </c>
      <c r="C3600" t="s">
        <v>53</v>
      </c>
      <c r="D3600" s="18">
        <v>1365.3</v>
      </c>
      <c r="E3600" s="32">
        <v>346.7</v>
      </c>
      <c r="F3600" s="15">
        <f>IFERROR(PRD[[#This Row],[VALOR]]/PRD[[#This Row],[KGS]],"")</f>
        <v>0.25393686369296126</v>
      </c>
    </row>
    <row r="3601" spans="1:6" x14ac:dyDescent="0.25">
      <c r="A3601" s="21">
        <v>1012601</v>
      </c>
      <c r="B3601" s="1">
        <v>45383</v>
      </c>
      <c r="C3601" t="s">
        <v>55</v>
      </c>
      <c r="D3601" s="18">
        <v>77</v>
      </c>
      <c r="E3601" s="32">
        <v>77</v>
      </c>
      <c r="F3601" s="15">
        <f>IFERROR(PRD[[#This Row],[VALOR]]/PRD[[#This Row],[KGS]],"")</f>
        <v>1</v>
      </c>
    </row>
    <row r="3602" spans="1:6" x14ac:dyDescent="0.25">
      <c r="A3602" s="21">
        <v>1012801</v>
      </c>
      <c r="B3602" s="1">
        <v>45383</v>
      </c>
      <c r="C3602" t="s">
        <v>390</v>
      </c>
      <c r="D3602" s="18">
        <v>972</v>
      </c>
      <c r="E3602" s="32">
        <v>680.4</v>
      </c>
      <c r="F3602" s="15">
        <f>IFERROR(PRD[[#This Row],[VALOR]]/PRD[[#This Row],[KGS]],"")</f>
        <v>0.7</v>
      </c>
    </row>
    <row r="3603" spans="1:6" x14ac:dyDescent="0.25">
      <c r="A3603" s="21">
        <v>1013100</v>
      </c>
      <c r="B3603" s="1">
        <v>45383</v>
      </c>
      <c r="C3603" t="s">
        <v>57</v>
      </c>
      <c r="D3603" s="18">
        <v>51.5</v>
      </c>
      <c r="E3603" s="32">
        <v>68.790000000000006</v>
      </c>
      <c r="F3603" s="15">
        <f>IFERROR(PRD[[#This Row],[VALOR]]/PRD[[#This Row],[KGS]],"")</f>
        <v>1.3357281553398059</v>
      </c>
    </row>
    <row r="3604" spans="1:6" x14ac:dyDescent="0.25">
      <c r="A3604" s="21">
        <v>1013101</v>
      </c>
      <c r="B3604" s="1">
        <v>45383</v>
      </c>
      <c r="C3604" t="s">
        <v>346</v>
      </c>
      <c r="D3604" s="18">
        <v>4608</v>
      </c>
      <c r="E3604" s="32">
        <v>2764.8</v>
      </c>
      <c r="F3604" s="15">
        <f>IFERROR(PRD[[#This Row],[VALOR]]/PRD[[#This Row],[KGS]],"")</f>
        <v>0.60000000000000009</v>
      </c>
    </row>
    <row r="3605" spans="1:6" x14ac:dyDescent="0.25">
      <c r="A3605" s="21">
        <v>1013200</v>
      </c>
      <c r="B3605" s="1">
        <v>45383</v>
      </c>
      <c r="C3605" t="s">
        <v>59</v>
      </c>
      <c r="D3605" s="18">
        <v>930</v>
      </c>
      <c r="E3605" s="32">
        <v>945.68</v>
      </c>
      <c r="F3605" s="15">
        <f>IFERROR(PRD[[#This Row],[VALOR]]/PRD[[#This Row],[KGS]],"")</f>
        <v>1.0168602150537633</v>
      </c>
    </row>
    <row r="3606" spans="1:6" x14ac:dyDescent="0.25">
      <c r="A3606" s="21">
        <v>1013202</v>
      </c>
      <c r="B3606" s="1">
        <v>45383</v>
      </c>
      <c r="C3606" t="s">
        <v>443</v>
      </c>
      <c r="D3606" s="18">
        <v>71.400000000000006</v>
      </c>
      <c r="E3606" s="32">
        <v>78.540000000000006</v>
      </c>
      <c r="F3606" s="15">
        <f>IFERROR(PRD[[#This Row],[VALOR]]/PRD[[#This Row],[KGS]],"")</f>
        <v>1.1000000000000001</v>
      </c>
    </row>
    <row r="3607" spans="1:6" x14ac:dyDescent="0.25">
      <c r="A3607" s="21">
        <v>1013300</v>
      </c>
      <c r="B3607" s="1">
        <v>45383</v>
      </c>
      <c r="C3607" t="s">
        <v>348</v>
      </c>
      <c r="D3607" s="18">
        <v>831.77</v>
      </c>
      <c r="E3607" s="32">
        <v>249.53</v>
      </c>
      <c r="F3607" s="15">
        <f>IFERROR(PRD[[#This Row],[VALOR]]/PRD[[#This Row],[KGS]],"")</f>
        <v>0.29999879774456883</v>
      </c>
    </row>
    <row r="3608" spans="1:6" x14ac:dyDescent="0.25">
      <c r="A3608" s="21">
        <v>1013400</v>
      </c>
      <c r="B3608" s="1">
        <v>45383</v>
      </c>
      <c r="C3608" t="s">
        <v>788</v>
      </c>
      <c r="D3608" s="18">
        <v>1.3</v>
      </c>
      <c r="E3608" s="32">
        <v>0.65</v>
      </c>
      <c r="F3608" s="15">
        <f>IFERROR(PRD[[#This Row],[VALOR]]/PRD[[#This Row],[KGS]],"")</f>
        <v>0.5</v>
      </c>
    </row>
    <row r="3609" spans="1:6" x14ac:dyDescent="0.25">
      <c r="A3609" s="21">
        <v>1013500</v>
      </c>
      <c r="B3609" s="1">
        <v>45383</v>
      </c>
      <c r="C3609" t="s">
        <v>61</v>
      </c>
      <c r="D3609" s="18">
        <v>73</v>
      </c>
      <c r="E3609" s="32">
        <v>36.5</v>
      </c>
      <c r="F3609" s="15">
        <f>IFERROR(PRD[[#This Row],[VALOR]]/PRD[[#This Row],[KGS]],"")</f>
        <v>0.5</v>
      </c>
    </row>
    <row r="3610" spans="1:6" x14ac:dyDescent="0.25">
      <c r="A3610" s="21">
        <v>1100100</v>
      </c>
      <c r="B3610" s="1">
        <v>45383</v>
      </c>
      <c r="C3610" t="s">
        <v>63</v>
      </c>
      <c r="D3610" s="18">
        <v>76722.858999999997</v>
      </c>
      <c r="E3610" s="32">
        <v>209932.46</v>
      </c>
      <c r="F3610" s="15">
        <f>IFERROR(PRD[[#This Row],[VALOR]]/PRD[[#This Row],[KGS]],"")</f>
        <v>2.7362439660909925</v>
      </c>
    </row>
    <row r="3611" spans="1:6" x14ac:dyDescent="0.25">
      <c r="A3611" s="21">
        <v>1100101</v>
      </c>
      <c r="B3611" s="1">
        <v>45383</v>
      </c>
      <c r="C3611" t="s">
        <v>65</v>
      </c>
      <c r="D3611" s="18">
        <v>451.90000000000003</v>
      </c>
      <c r="E3611" s="32">
        <v>1242.73</v>
      </c>
      <c r="F3611" s="15">
        <f>IFERROR(PRD[[#This Row],[VALOR]]/PRD[[#This Row],[KGS]],"")</f>
        <v>2.7500110643947773</v>
      </c>
    </row>
    <row r="3612" spans="1:6" x14ac:dyDescent="0.25">
      <c r="A3612" s="21">
        <v>1100102</v>
      </c>
      <c r="B3612" s="1">
        <v>45383</v>
      </c>
      <c r="C3612" t="s">
        <v>789</v>
      </c>
      <c r="D3612" s="18">
        <v>993.80000000000007</v>
      </c>
      <c r="E3612" s="32">
        <v>2754.6</v>
      </c>
      <c r="F3612" s="15">
        <f>IFERROR(PRD[[#This Row],[VALOR]]/PRD[[#This Row],[KGS]],"")</f>
        <v>2.7717850674179911</v>
      </c>
    </row>
    <row r="3613" spans="1:6" x14ac:dyDescent="0.25">
      <c r="A3613" s="21">
        <v>1100103</v>
      </c>
      <c r="B3613" s="1">
        <v>45383</v>
      </c>
      <c r="C3613" t="s">
        <v>965</v>
      </c>
      <c r="D3613" s="18">
        <v>8</v>
      </c>
      <c r="E3613" s="32">
        <v>504</v>
      </c>
      <c r="F3613" s="15">
        <f>IFERROR(PRD[[#This Row],[VALOR]]/PRD[[#This Row],[KGS]],"")</f>
        <v>63</v>
      </c>
    </row>
    <row r="3614" spans="1:6" x14ac:dyDescent="0.25">
      <c r="A3614" s="21">
        <v>1100200</v>
      </c>
      <c r="B3614" s="1">
        <v>45383</v>
      </c>
      <c r="C3614" t="s">
        <v>67</v>
      </c>
      <c r="D3614" s="18">
        <v>13770.61</v>
      </c>
      <c r="E3614" s="32">
        <v>45120.81</v>
      </c>
      <c r="F3614" s="15">
        <f>IFERROR(PRD[[#This Row],[VALOR]]/PRD[[#This Row],[KGS]],"")</f>
        <v>3.276602125831753</v>
      </c>
    </row>
    <row r="3615" spans="1:6" x14ac:dyDescent="0.25">
      <c r="A3615" s="21">
        <v>1100202</v>
      </c>
      <c r="B3615" s="1">
        <v>45383</v>
      </c>
      <c r="C3615" t="s">
        <v>997</v>
      </c>
      <c r="D3615" s="18">
        <v>4623.58</v>
      </c>
      <c r="E3615" s="32">
        <v>14887.93</v>
      </c>
      <c r="F3615" s="15">
        <f>IFERROR(PRD[[#This Row],[VALOR]]/PRD[[#This Row],[KGS]],"")</f>
        <v>3.2200005190782899</v>
      </c>
    </row>
    <row r="3616" spans="1:6" x14ac:dyDescent="0.25">
      <c r="A3616" s="21">
        <v>1100300</v>
      </c>
      <c r="B3616" s="1">
        <v>45383</v>
      </c>
      <c r="C3616" t="s">
        <v>69</v>
      </c>
      <c r="D3616" s="18">
        <v>2145.15</v>
      </c>
      <c r="E3616" s="32">
        <v>6993.96</v>
      </c>
      <c r="F3616" s="15">
        <f>IFERROR(PRD[[#This Row],[VALOR]]/PRD[[#This Row],[KGS]],"")</f>
        <v>3.2603594154254947</v>
      </c>
    </row>
    <row r="3617" spans="1:6" x14ac:dyDescent="0.25">
      <c r="A3617" s="21">
        <v>1100301</v>
      </c>
      <c r="B3617" s="1">
        <v>45383</v>
      </c>
      <c r="C3617" t="s">
        <v>71</v>
      </c>
      <c r="D3617" s="18">
        <v>37.200000000000003</v>
      </c>
      <c r="E3617" s="32">
        <v>105.52</v>
      </c>
      <c r="F3617" s="15">
        <f>IFERROR(PRD[[#This Row],[VALOR]]/PRD[[#This Row],[KGS]],"")</f>
        <v>2.8365591397849461</v>
      </c>
    </row>
    <row r="3618" spans="1:6" x14ac:dyDescent="0.25">
      <c r="A3618" s="21">
        <v>1100400</v>
      </c>
      <c r="B3618" s="1">
        <v>45383</v>
      </c>
      <c r="C3618" t="s">
        <v>73</v>
      </c>
      <c r="D3618" s="18">
        <v>18690.38</v>
      </c>
      <c r="E3618" s="32">
        <v>52230.21</v>
      </c>
      <c r="F3618" s="15">
        <f>IFERROR(PRD[[#This Row],[VALOR]]/PRD[[#This Row],[KGS]],"")</f>
        <v>2.7944969551180874</v>
      </c>
    </row>
    <row r="3619" spans="1:6" x14ac:dyDescent="0.25">
      <c r="A3619" s="21">
        <v>1100401</v>
      </c>
      <c r="B3619" s="1">
        <v>45383</v>
      </c>
      <c r="C3619" t="s">
        <v>998</v>
      </c>
      <c r="D3619" s="18">
        <v>270.74</v>
      </c>
      <c r="E3619" s="32">
        <v>739.12</v>
      </c>
      <c r="F3619" s="15">
        <f>IFERROR(PRD[[#This Row],[VALOR]]/PRD[[#This Row],[KGS]],"")</f>
        <v>2.7299992612838886</v>
      </c>
    </row>
    <row r="3620" spans="1:6" x14ac:dyDescent="0.25">
      <c r="A3620" s="21">
        <v>1100500</v>
      </c>
      <c r="B3620" s="1">
        <v>45383</v>
      </c>
      <c r="C3620" t="s">
        <v>75</v>
      </c>
      <c r="D3620" s="18">
        <v>411.40000000000003</v>
      </c>
      <c r="E3620" s="32">
        <v>1181.83</v>
      </c>
      <c r="F3620" s="15">
        <f>IFERROR(PRD[[#This Row],[VALOR]]/PRD[[#This Row],[KGS]],"")</f>
        <v>2.8727029654837137</v>
      </c>
    </row>
    <row r="3621" spans="1:6" x14ac:dyDescent="0.25">
      <c r="A3621" s="21">
        <v>1100600</v>
      </c>
      <c r="B3621" s="1">
        <v>45383</v>
      </c>
      <c r="C3621" t="s">
        <v>77</v>
      </c>
      <c r="D3621" s="18">
        <v>19012.025000000001</v>
      </c>
      <c r="E3621" s="32">
        <v>65832.87</v>
      </c>
      <c r="F3621" s="15">
        <f>IFERROR(PRD[[#This Row],[VALOR]]/PRD[[#This Row],[KGS]],"")</f>
        <v>3.46269637242745</v>
      </c>
    </row>
    <row r="3622" spans="1:6" x14ac:dyDescent="0.25">
      <c r="A3622" s="21">
        <v>1100601</v>
      </c>
      <c r="B3622" s="1">
        <v>45383</v>
      </c>
      <c r="C3622" t="s">
        <v>999</v>
      </c>
      <c r="D3622" s="18">
        <v>72.790000000000006</v>
      </c>
      <c r="E3622" s="32">
        <v>294.07</v>
      </c>
      <c r="F3622" s="15">
        <f>IFERROR(PRD[[#This Row],[VALOR]]/PRD[[#This Row],[KGS]],"")</f>
        <v>4.0399780189586476</v>
      </c>
    </row>
    <row r="3623" spans="1:6" x14ac:dyDescent="0.25">
      <c r="A3623" s="21">
        <v>1100602</v>
      </c>
      <c r="B3623" s="1">
        <v>45383</v>
      </c>
      <c r="C3623" t="s">
        <v>79</v>
      </c>
      <c r="D3623" s="18">
        <v>1470.72</v>
      </c>
      <c r="E3623" s="32">
        <v>7937.34</v>
      </c>
      <c r="F3623" s="15">
        <f>IFERROR(PRD[[#This Row],[VALOR]]/PRD[[#This Row],[KGS]],"")</f>
        <v>5.3969076370757181</v>
      </c>
    </row>
    <row r="3624" spans="1:6" x14ac:dyDescent="0.25">
      <c r="A3624" s="21">
        <v>1100603</v>
      </c>
      <c r="B3624" s="1">
        <v>45383</v>
      </c>
      <c r="C3624" t="s">
        <v>304</v>
      </c>
      <c r="D3624" s="18">
        <v>1730</v>
      </c>
      <c r="E3624" s="32">
        <v>9267.1</v>
      </c>
      <c r="F3624" s="15">
        <f>IFERROR(PRD[[#This Row],[VALOR]]/PRD[[#This Row],[KGS]],"")</f>
        <v>5.3567052023121393</v>
      </c>
    </row>
    <row r="3625" spans="1:6" x14ac:dyDescent="0.25">
      <c r="A3625" s="21">
        <v>1100605</v>
      </c>
      <c r="B3625" s="1">
        <v>45383</v>
      </c>
      <c r="C3625" t="s">
        <v>631</v>
      </c>
      <c r="D3625" s="18">
        <v>7709.0360000000001</v>
      </c>
      <c r="E3625" s="32">
        <v>24190.44</v>
      </c>
      <c r="F3625" s="15">
        <f>IFERROR(PRD[[#This Row],[VALOR]]/PRD[[#This Row],[KGS]],"")</f>
        <v>3.1379331994298636</v>
      </c>
    </row>
    <row r="3626" spans="1:6" x14ac:dyDescent="0.25">
      <c r="A3626" s="21">
        <v>1100608</v>
      </c>
      <c r="B3626" s="1">
        <v>45383</v>
      </c>
      <c r="C3626" t="s">
        <v>349</v>
      </c>
      <c r="D3626" s="18">
        <v>9062.4699999999993</v>
      </c>
      <c r="E3626" s="32">
        <v>30707.97</v>
      </c>
      <c r="F3626" s="15">
        <f>IFERROR(PRD[[#This Row],[VALOR]]/PRD[[#This Row],[KGS]],"")</f>
        <v>3.3884768721993015</v>
      </c>
    </row>
    <row r="3627" spans="1:6" x14ac:dyDescent="0.25">
      <c r="A3627" s="21">
        <v>1100612</v>
      </c>
      <c r="B3627" s="1">
        <v>45383</v>
      </c>
      <c r="C3627" t="s">
        <v>1000</v>
      </c>
      <c r="D3627" s="18">
        <v>1938.758</v>
      </c>
      <c r="E3627" s="32">
        <v>7527.74</v>
      </c>
      <c r="F3627" s="15">
        <f>IFERROR(PRD[[#This Row],[VALOR]]/PRD[[#This Row],[KGS]],"")</f>
        <v>3.8827641201222636</v>
      </c>
    </row>
    <row r="3628" spans="1:6" x14ac:dyDescent="0.25">
      <c r="A3628" s="21">
        <v>1100613</v>
      </c>
      <c r="B3628" s="1">
        <v>45383</v>
      </c>
      <c r="C3628" t="s">
        <v>1001</v>
      </c>
      <c r="D3628" s="18">
        <v>1960.18</v>
      </c>
      <c r="E3628" s="32">
        <v>5978.55</v>
      </c>
      <c r="F3628" s="15">
        <f>IFERROR(PRD[[#This Row],[VALOR]]/PRD[[#This Row],[KGS]],"")</f>
        <v>3.0500005101572305</v>
      </c>
    </row>
    <row r="3629" spans="1:6" x14ac:dyDescent="0.25">
      <c r="A3629" s="21">
        <v>1100614</v>
      </c>
      <c r="B3629" s="1">
        <v>45383</v>
      </c>
      <c r="C3629" t="s">
        <v>1002</v>
      </c>
      <c r="D3629" s="18">
        <v>846.75</v>
      </c>
      <c r="E3629" s="32">
        <v>2794.27</v>
      </c>
      <c r="F3629" s="15">
        <f>IFERROR(PRD[[#This Row],[VALOR]]/PRD[[#This Row],[KGS]],"")</f>
        <v>3.2999940950693829</v>
      </c>
    </row>
    <row r="3630" spans="1:6" x14ac:dyDescent="0.25">
      <c r="A3630" s="21">
        <v>1100615</v>
      </c>
      <c r="B3630" s="1">
        <v>45383</v>
      </c>
      <c r="C3630" t="s">
        <v>1003</v>
      </c>
      <c r="D3630" s="18">
        <v>154.70000000000002</v>
      </c>
      <c r="E3630" s="32">
        <v>629.63</v>
      </c>
      <c r="F3630" s="15">
        <f>IFERROR(PRD[[#This Row],[VALOR]]/PRD[[#This Row],[KGS]],"")</f>
        <v>4.0700064641241109</v>
      </c>
    </row>
    <row r="3631" spans="1:6" x14ac:dyDescent="0.25">
      <c r="A3631" s="21">
        <v>1100700</v>
      </c>
      <c r="B3631" s="1">
        <v>45383</v>
      </c>
      <c r="C3631" t="s">
        <v>83</v>
      </c>
      <c r="D3631" s="18">
        <v>7082.47</v>
      </c>
      <c r="E3631" s="32">
        <v>24826.400000000001</v>
      </c>
      <c r="F3631" s="15">
        <f>IFERROR(PRD[[#This Row],[VALOR]]/PRD[[#This Row],[KGS]],"")</f>
        <v>3.5053307673735294</v>
      </c>
    </row>
    <row r="3632" spans="1:6" x14ac:dyDescent="0.25">
      <c r="A3632" s="21">
        <v>1100701</v>
      </c>
      <c r="B3632" s="1">
        <v>45383</v>
      </c>
      <c r="C3632" t="s">
        <v>84</v>
      </c>
      <c r="D3632" s="18">
        <v>1033.7</v>
      </c>
      <c r="E3632" s="32">
        <v>4072.75</v>
      </c>
      <c r="F3632" s="15">
        <f>IFERROR(PRD[[#This Row],[VALOR]]/PRD[[#This Row],[KGS]],"")</f>
        <v>3.9399729128373799</v>
      </c>
    </row>
    <row r="3633" spans="1:6" x14ac:dyDescent="0.25">
      <c r="A3633" s="21">
        <v>1100703</v>
      </c>
      <c r="B3633" s="1">
        <v>45383</v>
      </c>
      <c r="C3633" t="s">
        <v>86</v>
      </c>
      <c r="D3633" s="18">
        <v>1792.4</v>
      </c>
      <c r="E3633" s="32">
        <v>6937.82</v>
      </c>
      <c r="F3633" s="15">
        <f>IFERROR(PRD[[#This Row],[VALOR]]/PRD[[#This Row],[KGS]],"")</f>
        <v>3.8706873465744249</v>
      </c>
    </row>
    <row r="3634" spans="1:6" x14ac:dyDescent="0.25">
      <c r="A3634" s="21">
        <v>1100704</v>
      </c>
      <c r="B3634" s="1">
        <v>45383</v>
      </c>
      <c r="C3634" t="s">
        <v>718</v>
      </c>
      <c r="D3634" s="18">
        <v>49.5</v>
      </c>
      <c r="E3634" s="32">
        <v>225.89</v>
      </c>
      <c r="F3634" s="15">
        <f>IFERROR(PRD[[#This Row],[VALOR]]/PRD[[#This Row],[KGS]],"")</f>
        <v>4.5634343434343432</v>
      </c>
    </row>
    <row r="3635" spans="1:6" x14ac:dyDescent="0.25">
      <c r="A3635" s="21">
        <v>1100705</v>
      </c>
      <c r="B3635" s="1">
        <v>45383</v>
      </c>
      <c r="C3635" t="s">
        <v>88</v>
      </c>
      <c r="D3635" s="18">
        <v>298.60000000000002</v>
      </c>
      <c r="E3635" s="32">
        <v>625.13</v>
      </c>
      <c r="F3635" s="15">
        <f>IFERROR(PRD[[#This Row],[VALOR]]/PRD[[#This Row],[KGS]],"")</f>
        <v>2.093536503683858</v>
      </c>
    </row>
    <row r="3636" spans="1:6" x14ac:dyDescent="0.25">
      <c r="A3636" s="21">
        <v>1100707</v>
      </c>
      <c r="B3636" s="1">
        <v>45383</v>
      </c>
      <c r="C3636" t="s">
        <v>686</v>
      </c>
      <c r="D3636" s="18">
        <v>11884.64</v>
      </c>
      <c r="E3636" s="32">
        <v>46346.79</v>
      </c>
      <c r="F3636" s="15">
        <f>IFERROR(PRD[[#This Row],[VALOR]]/PRD[[#This Row],[KGS]],"")</f>
        <v>3.8997218258188724</v>
      </c>
    </row>
    <row r="3637" spans="1:6" x14ac:dyDescent="0.25">
      <c r="A3637" s="21">
        <v>1100708</v>
      </c>
      <c r="B3637" s="1">
        <v>45383</v>
      </c>
      <c r="C3637" t="s">
        <v>790</v>
      </c>
      <c r="D3637" s="18">
        <v>2251.4250000000002</v>
      </c>
      <c r="E3637" s="32">
        <v>9220.11</v>
      </c>
      <c r="F3637" s="15">
        <f>IFERROR(PRD[[#This Row],[VALOR]]/PRD[[#This Row],[KGS]],"")</f>
        <v>4.0952330190879112</v>
      </c>
    </row>
    <row r="3638" spans="1:6" x14ac:dyDescent="0.25">
      <c r="A3638" s="21">
        <v>1100709</v>
      </c>
      <c r="B3638" s="1">
        <v>45383</v>
      </c>
      <c r="C3638" t="s">
        <v>764</v>
      </c>
      <c r="D3638" s="18">
        <v>-4.09</v>
      </c>
      <c r="E3638" s="32">
        <v>-15.75</v>
      </c>
      <c r="F3638" s="15">
        <f>IFERROR(PRD[[#This Row],[VALOR]]/PRD[[#This Row],[KGS]],"")</f>
        <v>3.8508557457212715</v>
      </c>
    </row>
    <row r="3639" spans="1:6" x14ac:dyDescent="0.25">
      <c r="A3639" s="21">
        <v>1100714</v>
      </c>
      <c r="B3639" s="1">
        <v>45383</v>
      </c>
      <c r="C3639" t="s">
        <v>1004</v>
      </c>
      <c r="D3639" s="18">
        <v>583.56000000000006</v>
      </c>
      <c r="E3639" s="32">
        <v>1826.55</v>
      </c>
      <c r="F3639" s="15">
        <f>IFERROR(PRD[[#This Row],[VALOR]]/PRD[[#This Row],[KGS]],"")</f>
        <v>3.1300123380629237</v>
      </c>
    </row>
    <row r="3640" spans="1:6" x14ac:dyDescent="0.25">
      <c r="A3640" s="21">
        <v>1100715</v>
      </c>
      <c r="B3640" s="1">
        <v>45383</v>
      </c>
      <c r="C3640" t="s">
        <v>1005</v>
      </c>
      <c r="D3640" s="18">
        <v>13.290000000000001</v>
      </c>
      <c r="E3640" s="32">
        <v>50.9</v>
      </c>
      <c r="F3640" s="15">
        <f>IFERROR(PRD[[#This Row],[VALOR]]/PRD[[#This Row],[KGS]],"")</f>
        <v>3.8299473288186601</v>
      </c>
    </row>
    <row r="3641" spans="1:6" x14ac:dyDescent="0.25">
      <c r="A3641" s="21">
        <v>1100800</v>
      </c>
      <c r="B3641" s="1">
        <v>45383</v>
      </c>
      <c r="C3641" t="s">
        <v>90</v>
      </c>
      <c r="D3641" s="18">
        <v>18047.38</v>
      </c>
      <c r="E3641" s="32">
        <v>57835.839999999997</v>
      </c>
      <c r="F3641" s="15">
        <f>IFERROR(PRD[[#This Row],[VALOR]]/PRD[[#This Row],[KGS]],"")</f>
        <v>3.2046668269854126</v>
      </c>
    </row>
    <row r="3642" spans="1:6" x14ac:dyDescent="0.25">
      <c r="A3642" s="21">
        <v>1100801</v>
      </c>
      <c r="B3642" s="1">
        <v>45383</v>
      </c>
      <c r="C3642" t="s">
        <v>92</v>
      </c>
      <c r="D3642" s="18">
        <v>4982.5</v>
      </c>
      <c r="E3642" s="32">
        <v>14947.5</v>
      </c>
      <c r="F3642" s="15">
        <f>IFERROR(PRD[[#This Row],[VALOR]]/PRD[[#This Row],[KGS]],"")</f>
        <v>3</v>
      </c>
    </row>
    <row r="3643" spans="1:6" x14ac:dyDescent="0.25">
      <c r="A3643" s="21">
        <v>1100802</v>
      </c>
      <c r="B3643" s="1">
        <v>45383</v>
      </c>
      <c r="C3643" t="s">
        <v>306</v>
      </c>
      <c r="D3643" s="18">
        <v>910.2</v>
      </c>
      <c r="E3643" s="32">
        <v>2969.49</v>
      </c>
      <c r="F3643" s="15">
        <f>IFERROR(PRD[[#This Row],[VALOR]]/PRD[[#This Row],[KGS]],"")</f>
        <v>3.2624588002636781</v>
      </c>
    </row>
    <row r="3644" spans="1:6" x14ac:dyDescent="0.25">
      <c r="A3644" s="21">
        <v>1100900</v>
      </c>
      <c r="B3644" s="1">
        <v>45383</v>
      </c>
      <c r="C3644" t="s">
        <v>94</v>
      </c>
      <c r="D3644" s="18">
        <v>1304.04</v>
      </c>
      <c r="E3644" s="32">
        <v>6991.68</v>
      </c>
      <c r="F3644" s="15">
        <f>IFERROR(PRD[[#This Row],[VALOR]]/PRD[[#This Row],[KGS]],"")</f>
        <v>5.3615533265850743</v>
      </c>
    </row>
    <row r="3645" spans="1:6" x14ac:dyDescent="0.25">
      <c r="A3645" s="21">
        <v>1100901</v>
      </c>
      <c r="B3645" s="1">
        <v>45383</v>
      </c>
      <c r="C3645" t="s">
        <v>791</v>
      </c>
      <c r="D3645" s="18">
        <v>482</v>
      </c>
      <c r="E3645" s="32">
        <v>1998.26</v>
      </c>
      <c r="F3645" s="15">
        <f>IFERROR(PRD[[#This Row],[VALOR]]/PRD[[#This Row],[KGS]],"")</f>
        <v>4.1457676348547716</v>
      </c>
    </row>
    <row r="3646" spans="1:6" x14ac:dyDescent="0.25">
      <c r="A3646" s="21">
        <v>1101000</v>
      </c>
      <c r="B3646" s="1">
        <v>45383</v>
      </c>
      <c r="C3646" t="s">
        <v>96</v>
      </c>
      <c r="D3646" s="18">
        <v>14753.130000000001</v>
      </c>
      <c r="E3646" s="32">
        <v>54324.98</v>
      </c>
      <c r="F3646" s="15">
        <f>IFERROR(PRD[[#This Row],[VALOR]]/PRD[[#This Row],[KGS]],"")</f>
        <v>3.6822681017519674</v>
      </c>
    </row>
    <row r="3647" spans="1:6" x14ac:dyDescent="0.25">
      <c r="A3647" s="21">
        <v>1101001</v>
      </c>
      <c r="B3647" s="1">
        <v>45383</v>
      </c>
      <c r="C3647" t="s">
        <v>98</v>
      </c>
      <c r="D3647" s="18">
        <v>1100.19</v>
      </c>
      <c r="E3647" s="32">
        <v>4641.37</v>
      </c>
      <c r="F3647" s="15">
        <f>IFERROR(PRD[[#This Row],[VALOR]]/PRD[[#This Row],[KGS]],"")</f>
        <v>4.2186985884256352</v>
      </c>
    </row>
    <row r="3648" spans="1:6" x14ac:dyDescent="0.25">
      <c r="A3648" s="21">
        <v>1101002</v>
      </c>
      <c r="B3648" s="1">
        <v>45383</v>
      </c>
      <c r="C3648" t="s">
        <v>687</v>
      </c>
      <c r="D3648" s="18">
        <v>372.3</v>
      </c>
      <c r="E3648" s="32">
        <v>1508.41</v>
      </c>
      <c r="F3648" s="15">
        <f>IFERROR(PRD[[#This Row],[VALOR]]/PRD[[#This Row],[KGS]],"")</f>
        <v>4.0515981735159814</v>
      </c>
    </row>
    <row r="3649" spans="1:6" x14ac:dyDescent="0.25">
      <c r="A3649" s="21">
        <v>1101003</v>
      </c>
      <c r="B3649" s="1">
        <v>45383</v>
      </c>
      <c r="C3649" t="s">
        <v>779</v>
      </c>
      <c r="D3649" s="18">
        <v>60</v>
      </c>
      <c r="E3649" s="32">
        <v>213</v>
      </c>
      <c r="F3649" s="15">
        <f>IFERROR(PRD[[#This Row],[VALOR]]/PRD[[#This Row],[KGS]],"")</f>
        <v>3.55</v>
      </c>
    </row>
    <row r="3650" spans="1:6" x14ac:dyDescent="0.25">
      <c r="A3650" s="21">
        <v>1101004</v>
      </c>
      <c r="B3650" s="1">
        <v>45383</v>
      </c>
      <c r="C3650" t="s">
        <v>1006</v>
      </c>
      <c r="D3650" s="18">
        <v>13.27</v>
      </c>
      <c r="E3650" s="32">
        <v>45.52</v>
      </c>
      <c r="F3650" s="15">
        <f>IFERROR(PRD[[#This Row],[VALOR]]/PRD[[#This Row],[KGS]],"")</f>
        <v>3.4302938960060292</v>
      </c>
    </row>
    <row r="3651" spans="1:6" x14ac:dyDescent="0.25">
      <c r="A3651" s="21">
        <v>1101100</v>
      </c>
      <c r="B3651" s="1">
        <v>45383</v>
      </c>
      <c r="C3651" t="s">
        <v>100</v>
      </c>
      <c r="D3651" s="18">
        <v>31442.38</v>
      </c>
      <c r="E3651" s="32">
        <v>109373.33</v>
      </c>
      <c r="F3651" s="15">
        <f>IFERROR(PRD[[#This Row],[VALOR]]/PRD[[#This Row],[KGS]],"")</f>
        <v>3.4785321594612113</v>
      </c>
    </row>
    <row r="3652" spans="1:6" x14ac:dyDescent="0.25">
      <c r="A3652" s="21">
        <v>1101102</v>
      </c>
      <c r="B3652" s="1">
        <v>45383</v>
      </c>
      <c r="C3652" t="s">
        <v>742</v>
      </c>
      <c r="D3652" s="18">
        <v>2833.3</v>
      </c>
      <c r="E3652" s="32">
        <v>10044.32</v>
      </c>
      <c r="F3652" s="15">
        <f>IFERROR(PRD[[#This Row],[VALOR]]/PRD[[#This Row],[KGS]],"")</f>
        <v>3.5450958246567605</v>
      </c>
    </row>
    <row r="3653" spans="1:6" x14ac:dyDescent="0.25">
      <c r="A3653" s="21">
        <v>1101103</v>
      </c>
      <c r="B3653" s="1">
        <v>45383</v>
      </c>
      <c r="C3653" t="s">
        <v>350</v>
      </c>
      <c r="D3653" s="18">
        <v>1583.9</v>
      </c>
      <c r="E3653" s="32">
        <v>5261.09</v>
      </c>
      <c r="F3653" s="15">
        <f>IFERROR(PRD[[#This Row],[VALOR]]/PRD[[#This Row],[KGS]],"")</f>
        <v>3.321604899299198</v>
      </c>
    </row>
    <row r="3654" spans="1:6" x14ac:dyDescent="0.25">
      <c r="A3654" s="21">
        <v>1101104</v>
      </c>
      <c r="B3654" s="1">
        <v>45383</v>
      </c>
      <c r="C3654" t="s">
        <v>1007</v>
      </c>
      <c r="D3654" s="18">
        <v>12.535</v>
      </c>
      <c r="E3654" s="32">
        <v>49.51</v>
      </c>
      <c r="F3654" s="15">
        <f>IFERROR(PRD[[#This Row],[VALOR]]/PRD[[#This Row],[KGS]],"")</f>
        <v>3.9497407259672914</v>
      </c>
    </row>
    <row r="3655" spans="1:6" x14ac:dyDescent="0.25">
      <c r="A3655" s="21">
        <v>1101106</v>
      </c>
      <c r="B3655" s="1">
        <v>45383</v>
      </c>
      <c r="C3655" t="s">
        <v>780</v>
      </c>
      <c r="D3655" s="18">
        <v>10525.73</v>
      </c>
      <c r="E3655" s="32">
        <v>36034.980000000003</v>
      </c>
      <c r="F3655" s="15">
        <f>IFERROR(PRD[[#This Row],[VALOR]]/PRD[[#This Row],[KGS]],"")</f>
        <v>3.4235136185328718</v>
      </c>
    </row>
    <row r="3656" spans="1:6" x14ac:dyDescent="0.25">
      <c r="A3656" s="21">
        <v>1101108</v>
      </c>
      <c r="B3656" s="1">
        <v>45383</v>
      </c>
      <c r="C3656" t="s">
        <v>743</v>
      </c>
      <c r="D3656" s="18">
        <v>550.75</v>
      </c>
      <c r="E3656" s="32">
        <v>2161.02</v>
      </c>
      <c r="F3656" s="15">
        <f>IFERROR(PRD[[#This Row],[VALOR]]/PRD[[#This Row],[KGS]],"")</f>
        <v>3.9237766681797548</v>
      </c>
    </row>
    <row r="3657" spans="1:6" x14ac:dyDescent="0.25">
      <c r="A3657" s="21">
        <v>1101109</v>
      </c>
      <c r="B3657" s="1">
        <v>45383</v>
      </c>
      <c r="C3657" t="s">
        <v>1008</v>
      </c>
      <c r="D3657" s="18">
        <v>3834.53</v>
      </c>
      <c r="E3657" s="32">
        <v>11654.91</v>
      </c>
      <c r="F3657" s="15">
        <f>IFERROR(PRD[[#This Row],[VALOR]]/PRD[[#This Row],[KGS]],"")</f>
        <v>3.0394624634570597</v>
      </c>
    </row>
    <row r="3658" spans="1:6" x14ac:dyDescent="0.25">
      <c r="A3658" s="21">
        <v>1101110</v>
      </c>
      <c r="B3658" s="1">
        <v>45383</v>
      </c>
      <c r="C3658" t="s">
        <v>1009</v>
      </c>
      <c r="D3658" s="18">
        <v>89.725000000000009</v>
      </c>
      <c r="E3658" s="32">
        <v>345.45</v>
      </c>
      <c r="F3658" s="15">
        <f>IFERROR(PRD[[#This Row],[VALOR]]/PRD[[#This Row],[KGS]],"")</f>
        <v>3.8500975202006127</v>
      </c>
    </row>
    <row r="3659" spans="1:6" x14ac:dyDescent="0.25">
      <c r="A3659" s="21">
        <v>1101111</v>
      </c>
      <c r="B3659" s="1">
        <v>45383</v>
      </c>
      <c r="C3659" t="s">
        <v>1010</v>
      </c>
      <c r="D3659" s="18">
        <v>267.81</v>
      </c>
      <c r="E3659" s="32">
        <v>1057.8399999999999</v>
      </c>
      <c r="F3659" s="15">
        <f>IFERROR(PRD[[#This Row],[VALOR]]/PRD[[#This Row],[KGS]],"")</f>
        <v>3.9499645270901009</v>
      </c>
    </row>
    <row r="3660" spans="1:6" x14ac:dyDescent="0.25">
      <c r="A3660" s="21">
        <v>1101112</v>
      </c>
      <c r="B3660" s="1">
        <v>45383</v>
      </c>
      <c r="C3660" t="s">
        <v>1011</v>
      </c>
      <c r="D3660" s="18">
        <v>74.33</v>
      </c>
      <c r="E3660" s="32">
        <v>267.58999999999997</v>
      </c>
      <c r="F3660" s="15">
        <f>IFERROR(PRD[[#This Row],[VALOR]]/PRD[[#This Row],[KGS]],"")</f>
        <v>3.6000269070361899</v>
      </c>
    </row>
    <row r="3661" spans="1:6" x14ac:dyDescent="0.25">
      <c r="A3661" s="21">
        <v>1101300</v>
      </c>
      <c r="B3661" s="1">
        <v>45383</v>
      </c>
      <c r="C3661" t="s">
        <v>102</v>
      </c>
      <c r="D3661" s="18">
        <v>859.6</v>
      </c>
      <c r="E3661" s="32">
        <v>2715.99</v>
      </c>
      <c r="F3661" s="15">
        <f>IFERROR(PRD[[#This Row],[VALOR]]/PRD[[#This Row],[KGS]],"")</f>
        <v>3.1595974872033499</v>
      </c>
    </row>
    <row r="3662" spans="1:6" x14ac:dyDescent="0.25">
      <c r="A3662" s="21">
        <v>1101400</v>
      </c>
      <c r="B3662" s="1">
        <v>45383</v>
      </c>
      <c r="C3662" t="s">
        <v>104</v>
      </c>
      <c r="D3662" s="18">
        <v>11972</v>
      </c>
      <c r="E3662" s="32">
        <v>34987.480000000003</v>
      </c>
      <c r="F3662" s="15">
        <f>IFERROR(PRD[[#This Row],[VALOR]]/PRD[[#This Row],[KGS]],"")</f>
        <v>2.9224423655195459</v>
      </c>
    </row>
    <row r="3663" spans="1:6" x14ac:dyDescent="0.25">
      <c r="A3663" s="21">
        <v>1101500</v>
      </c>
      <c r="B3663" s="1">
        <v>45383</v>
      </c>
      <c r="C3663" t="s">
        <v>106</v>
      </c>
      <c r="D3663" s="18">
        <v>621.55000000000007</v>
      </c>
      <c r="E3663" s="32">
        <v>1882.58</v>
      </c>
      <c r="F3663" s="15">
        <f>IFERROR(PRD[[#This Row],[VALOR]]/PRD[[#This Row],[KGS]],"")</f>
        <v>3.028847236746842</v>
      </c>
    </row>
    <row r="3664" spans="1:6" x14ac:dyDescent="0.25">
      <c r="A3664" s="21">
        <v>1101600</v>
      </c>
      <c r="B3664" s="1">
        <v>45383</v>
      </c>
      <c r="C3664" t="s">
        <v>108</v>
      </c>
      <c r="D3664" s="18">
        <v>57.9</v>
      </c>
      <c r="E3664" s="32">
        <v>171.85</v>
      </c>
      <c r="F3664" s="15">
        <f>IFERROR(PRD[[#This Row],[VALOR]]/PRD[[#This Row],[KGS]],"")</f>
        <v>2.9680483592400693</v>
      </c>
    </row>
    <row r="3665" spans="1:6" x14ac:dyDescent="0.25">
      <c r="A3665" s="21">
        <v>1101700</v>
      </c>
      <c r="B3665" s="1">
        <v>45383</v>
      </c>
      <c r="C3665" t="s">
        <v>110</v>
      </c>
      <c r="D3665" s="18">
        <v>62.800000000000004</v>
      </c>
      <c r="E3665" s="32">
        <v>182.12</v>
      </c>
      <c r="F3665" s="15">
        <f>IFERROR(PRD[[#This Row],[VALOR]]/PRD[[#This Row],[KGS]],"")</f>
        <v>2.9</v>
      </c>
    </row>
    <row r="3666" spans="1:6" x14ac:dyDescent="0.25">
      <c r="A3666" s="21">
        <v>1101701</v>
      </c>
      <c r="B3666" s="1">
        <v>45383</v>
      </c>
      <c r="C3666" t="s">
        <v>1021</v>
      </c>
      <c r="D3666" s="18">
        <v>131.53</v>
      </c>
      <c r="E3666" s="32">
        <v>332.77</v>
      </c>
      <c r="F3666" s="15">
        <f>IFERROR(PRD[[#This Row],[VALOR]]/PRD[[#This Row],[KGS]],"")</f>
        <v>2.5299931574545731</v>
      </c>
    </row>
    <row r="3667" spans="1:6" x14ac:dyDescent="0.25">
      <c r="A3667" s="21">
        <v>1101801</v>
      </c>
      <c r="B3667" s="1">
        <v>45383</v>
      </c>
      <c r="C3667" t="s">
        <v>112</v>
      </c>
      <c r="D3667" s="18">
        <v>482.7</v>
      </c>
      <c r="E3667" s="32">
        <v>1399.89</v>
      </c>
      <c r="F3667" s="15">
        <f>IFERROR(PRD[[#This Row],[VALOR]]/PRD[[#This Row],[KGS]],"")</f>
        <v>2.9001243008079554</v>
      </c>
    </row>
    <row r="3668" spans="1:6" x14ac:dyDescent="0.25">
      <c r="A3668" s="21">
        <v>1101900</v>
      </c>
      <c r="B3668" s="1">
        <v>45383</v>
      </c>
      <c r="C3668" t="s">
        <v>114</v>
      </c>
      <c r="D3668" s="18">
        <v>1425.46</v>
      </c>
      <c r="E3668" s="32">
        <v>5406.47</v>
      </c>
      <c r="F3668" s="15">
        <f>IFERROR(PRD[[#This Row],[VALOR]]/PRD[[#This Row],[KGS]],"")</f>
        <v>3.7927896959577962</v>
      </c>
    </row>
    <row r="3669" spans="1:6" x14ac:dyDescent="0.25">
      <c r="A3669" s="21">
        <v>1101901</v>
      </c>
      <c r="B3669" s="1">
        <v>45383</v>
      </c>
      <c r="C3669" t="s">
        <v>448</v>
      </c>
      <c r="D3669" s="18">
        <v>2444.33</v>
      </c>
      <c r="E3669" s="32">
        <v>8595.64</v>
      </c>
      <c r="F3669" s="15">
        <f>IFERROR(PRD[[#This Row],[VALOR]]/PRD[[#This Row],[KGS]],"")</f>
        <v>3.5165628208957056</v>
      </c>
    </row>
    <row r="3670" spans="1:6" x14ac:dyDescent="0.25">
      <c r="A3670" s="21">
        <v>1101902</v>
      </c>
      <c r="B3670" s="1">
        <v>45383</v>
      </c>
      <c r="C3670" t="s">
        <v>351</v>
      </c>
      <c r="D3670" s="18">
        <v>3449.4659999999999</v>
      </c>
      <c r="E3670" s="32">
        <v>13886.96</v>
      </c>
      <c r="F3670" s="15">
        <f>IFERROR(PRD[[#This Row],[VALOR]]/PRD[[#This Row],[KGS]],"")</f>
        <v>4.025828925404686</v>
      </c>
    </row>
    <row r="3671" spans="1:6" x14ac:dyDescent="0.25">
      <c r="A3671" s="21">
        <v>1101908</v>
      </c>
      <c r="B3671" s="1">
        <v>45383</v>
      </c>
      <c r="C3671" t="s">
        <v>1022</v>
      </c>
      <c r="D3671" s="18">
        <v>19.04</v>
      </c>
      <c r="E3671" s="32">
        <v>54.84</v>
      </c>
      <c r="F3671" s="15">
        <f>IFERROR(PRD[[#This Row],[VALOR]]/PRD[[#This Row],[KGS]],"")</f>
        <v>2.8802521008403366</v>
      </c>
    </row>
    <row r="3672" spans="1:6" x14ac:dyDescent="0.25">
      <c r="A3672" s="21">
        <v>1102000</v>
      </c>
      <c r="B3672" s="1">
        <v>45383</v>
      </c>
      <c r="C3672" t="s">
        <v>115</v>
      </c>
      <c r="D3672" s="18">
        <v>244.3</v>
      </c>
      <c r="E3672" s="32">
        <v>1095.23</v>
      </c>
      <c r="F3672" s="15">
        <f>IFERROR(PRD[[#This Row],[VALOR]]/PRD[[#This Row],[KGS]],"")</f>
        <v>4.4831354891526809</v>
      </c>
    </row>
    <row r="3673" spans="1:6" x14ac:dyDescent="0.25">
      <c r="A3673" s="21">
        <v>1102100</v>
      </c>
      <c r="B3673" s="1">
        <v>45383</v>
      </c>
      <c r="C3673" t="s">
        <v>688</v>
      </c>
      <c r="D3673" s="18">
        <v>74.3</v>
      </c>
      <c r="E3673" s="32">
        <v>257.08</v>
      </c>
      <c r="F3673" s="15">
        <f>IFERROR(PRD[[#This Row],[VALOR]]/PRD[[#This Row],[KGS]],"")</f>
        <v>3.4600269179004037</v>
      </c>
    </row>
    <row r="3674" spans="1:6" x14ac:dyDescent="0.25">
      <c r="A3674" s="21">
        <v>1102200</v>
      </c>
      <c r="B3674" s="1">
        <v>45383</v>
      </c>
      <c r="C3674" t="s">
        <v>117</v>
      </c>
      <c r="D3674" s="18">
        <v>14.9</v>
      </c>
      <c r="E3674" s="32">
        <v>52.21</v>
      </c>
      <c r="F3674" s="15">
        <f>IFERROR(PRD[[#This Row],[VALOR]]/PRD[[#This Row],[KGS]],"")</f>
        <v>3.504026845637584</v>
      </c>
    </row>
    <row r="3675" spans="1:6" x14ac:dyDescent="0.25">
      <c r="A3675" s="21">
        <v>1102300</v>
      </c>
      <c r="B3675" s="1">
        <v>45383</v>
      </c>
      <c r="C3675" t="s">
        <v>119</v>
      </c>
      <c r="D3675" s="18">
        <v>6720.3600000000006</v>
      </c>
      <c r="E3675" s="32">
        <v>20118.75</v>
      </c>
      <c r="F3675" s="15">
        <f>IFERROR(PRD[[#This Row],[VALOR]]/PRD[[#This Row],[KGS]],"")</f>
        <v>2.9937012302912342</v>
      </c>
    </row>
    <row r="3676" spans="1:6" x14ac:dyDescent="0.25">
      <c r="A3676" s="21">
        <v>1103000</v>
      </c>
      <c r="B3676" s="1">
        <v>45383</v>
      </c>
      <c r="C3676" t="s">
        <v>121</v>
      </c>
      <c r="D3676" s="18">
        <v>921.75</v>
      </c>
      <c r="E3676" s="32">
        <v>1982.8</v>
      </c>
      <c r="F3676" s="15">
        <f>IFERROR(PRD[[#This Row],[VALOR]]/PRD[[#This Row],[KGS]],"")</f>
        <v>2.1511255763493353</v>
      </c>
    </row>
    <row r="3677" spans="1:6" x14ac:dyDescent="0.25">
      <c r="A3677" s="21">
        <v>1103001</v>
      </c>
      <c r="B3677" s="1">
        <v>45383</v>
      </c>
      <c r="C3677" t="s">
        <v>123</v>
      </c>
      <c r="D3677" s="18">
        <v>275.7</v>
      </c>
      <c r="E3677" s="32">
        <v>578.97</v>
      </c>
      <c r="F3677" s="15">
        <f>IFERROR(PRD[[#This Row],[VALOR]]/PRD[[#This Row],[KGS]],"")</f>
        <v>2.1</v>
      </c>
    </row>
    <row r="3678" spans="1:6" x14ac:dyDescent="0.25">
      <c r="A3678" s="21">
        <v>2010902</v>
      </c>
      <c r="B3678" s="1">
        <v>45383</v>
      </c>
      <c r="C3678" t="s">
        <v>127</v>
      </c>
      <c r="D3678" s="18">
        <v>300</v>
      </c>
      <c r="E3678" s="32">
        <v>180</v>
      </c>
      <c r="F3678" s="15">
        <f>IFERROR(PRD[[#This Row],[VALOR]]/PRD[[#This Row],[KGS]],"")</f>
        <v>0.6</v>
      </c>
    </row>
    <row r="3679" spans="1:6" x14ac:dyDescent="0.25">
      <c r="A3679" s="21">
        <v>2010904</v>
      </c>
      <c r="B3679" s="1">
        <v>45383</v>
      </c>
      <c r="C3679" t="s">
        <v>633</v>
      </c>
      <c r="D3679" s="18">
        <v>1020</v>
      </c>
      <c r="E3679" s="32">
        <v>2745</v>
      </c>
      <c r="F3679" s="15">
        <f>IFERROR(PRD[[#This Row],[VALOR]]/PRD[[#This Row],[KGS]],"")</f>
        <v>2.6911764705882355</v>
      </c>
    </row>
    <row r="3680" spans="1:6" x14ac:dyDescent="0.25">
      <c r="A3680" s="21">
        <v>2010905</v>
      </c>
      <c r="B3680" s="1">
        <v>45383</v>
      </c>
      <c r="C3680" t="s">
        <v>544</v>
      </c>
      <c r="D3680" s="18">
        <v>3185</v>
      </c>
      <c r="E3680" s="32">
        <v>2173</v>
      </c>
      <c r="F3680" s="15">
        <f>IFERROR(PRD[[#This Row],[VALOR]]/PRD[[#This Row],[KGS]],"")</f>
        <v>0.68226059654631088</v>
      </c>
    </row>
    <row r="3681" spans="1:6" x14ac:dyDescent="0.25">
      <c r="A3681" s="21">
        <v>2011700</v>
      </c>
      <c r="B3681" s="1">
        <v>45383</v>
      </c>
      <c r="C3681" t="s">
        <v>129</v>
      </c>
      <c r="D3681" s="18">
        <v>292.5</v>
      </c>
      <c r="E3681" s="32">
        <v>659.81</v>
      </c>
      <c r="F3681" s="15">
        <f>IFERROR(PRD[[#This Row],[VALOR]]/PRD[[#This Row],[KGS]],"")</f>
        <v>2.2557606837606836</v>
      </c>
    </row>
    <row r="3682" spans="1:6" x14ac:dyDescent="0.25">
      <c r="A3682" s="21">
        <v>2090001</v>
      </c>
      <c r="B3682" s="1">
        <v>45383</v>
      </c>
      <c r="C3682" t="s">
        <v>908</v>
      </c>
      <c r="D3682" s="18">
        <v>7.22</v>
      </c>
      <c r="E3682" s="32">
        <v>37.54</v>
      </c>
      <c r="F3682" s="15">
        <f>IFERROR(PRD[[#This Row],[VALOR]]/PRD[[#This Row],[KGS]],"")</f>
        <v>5.1994459833795013</v>
      </c>
    </row>
    <row r="3683" spans="1:6" x14ac:dyDescent="0.25">
      <c r="A3683" s="21">
        <v>2090002</v>
      </c>
      <c r="B3683" s="1">
        <v>45383</v>
      </c>
      <c r="C3683" t="s">
        <v>451</v>
      </c>
      <c r="D3683" s="18">
        <v>36.369999999999997</v>
      </c>
      <c r="E3683" s="32">
        <v>189.85</v>
      </c>
      <c r="F3683" s="15">
        <f>IFERROR(PRD[[#This Row],[VALOR]]/PRD[[#This Row],[KGS]],"")</f>
        <v>5.219961506736321</v>
      </c>
    </row>
    <row r="3684" spans="1:6" x14ac:dyDescent="0.25">
      <c r="A3684" s="21">
        <v>2101100</v>
      </c>
      <c r="B3684" s="1">
        <v>45383</v>
      </c>
      <c r="C3684" t="s">
        <v>453</v>
      </c>
      <c r="D3684" s="18">
        <v>141.30000000000001</v>
      </c>
      <c r="E3684" s="32">
        <v>545.74</v>
      </c>
      <c r="F3684" s="15">
        <f>IFERROR(PRD[[#This Row],[VALOR]]/PRD[[#This Row],[KGS]],"")</f>
        <v>3.8622788393489027</v>
      </c>
    </row>
    <row r="3685" spans="1:6" x14ac:dyDescent="0.25">
      <c r="A3685" s="21">
        <v>3020103</v>
      </c>
      <c r="B3685" s="1">
        <v>45383</v>
      </c>
      <c r="C3685" t="s">
        <v>131</v>
      </c>
      <c r="D3685" s="18">
        <v>6026.7560000000003</v>
      </c>
      <c r="E3685" s="32">
        <v>20172.669999999998</v>
      </c>
      <c r="F3685" s="15">
        <f>IFERROR(PRD[[#This Row],[VALOR]]/PRD[[#This Row],[KGS]],"")</f>
        <v>3.3471854510121193</v>
      </c>
    </row>
    <row r="3686" spans="1:6" x14ac:dyDescent="0.25">
      <c r="A3686" s="21">
        <v>3020212</v>
      </c>
      <c r="B3686" s="1">
        <v>45383</v>
      </c>
      <c r="C3686" t="s">
        <v>133</v>
      </c>
      <c r="D3686" s="18">
        <v>1911.7049999999999</v>
      </c>
      <c r="E3686" s="32">
        <v>7318.63</v>
      </c>
      <c r="F3686" s="15">
        <f>IFERROR(PRD[[#This Row],[VALOR]]/PRD[[#This Row],[KGS]],"")</f>
        <v>3.8283260231050296</v>
      </c>
    </row>
    <row r="3687" spans="1:6" x14ac:dyDescent="0.25">
      <c r="A3687" s="21">
        <v>3020214</v>
      </c>
      <c r="B3687" s="1">
        <v>45383</v>
      </c>
      <c r="C3687" t="s">
        <v>135</v>
      </c>
      <c r="D3687" s="18">
        <v>795.13300000000004</v>
      </c>
      <c r="E3687" s="32">
        <v>2878.04</v>
      </c>
      <c r="F3687" s="15">
        <f>IFERROR(PRD[[#This Row],[VALOR]]/PRD[[#This Row],[KGS]],"")</f>
        <v>3.6195705624090557</v>
      </c>
    </row>
    <row r="3688" spans="1:6" x14ac:dyDescent="0.25">
      <c r="A3688" s="21">
        <v>3020315</v>
      </c>
      <c r="B3688" s="1">
        <v>45383</v>
      </c>
      <c r="C3688" t="s">
        <v>137</v>
      </c>
      <c r="D3688" s="18">
        <v>3193.7359999999999</v>
      </c>
      <c r="E3688" s="32">
        <v>11629</v>
      </c>
      <c r="F3688" s="15">
        <f>IFERROR(PRD[[#This Row],[VALOR]]/PRD[[#This Row],[KGS]],"")</f>
        <v>3.6411901296788467</v>
      </c>
    </row>
    <row r="3689" spans="1:6" x14ac:dyDescent="0.25">
      <c r="A3689" s="21">
        <v>3020316</v>
      </c>
      <c r="B3689" s="1">
        <v>45383</v>
      </c>
      <c r="C3689" t="s">
        <v>139</v>
      </c>
      <c r="D3689" s="18">
        <v>171.934</v>
      </c>
      <c r="E3689" s="32">
        <v>558.79999999999995</v>
      </c>
      <c r="F3689" s="15">
        <f>IFERROR(PRD[[#This Row],[VALOR]]/PRD[[#This Row],[KGS]],"")</f>
        <v>3.2500843346865658</v>
      </c>
    </row>
    <row r="3690" spans="1:6" x14ac:dyDescent="0.25">
      <c r="A3690" s="21">
        <v>3020317</v>
      </c>
      <c r="B3690" s="1">
        <v>45383</v>
      </c>
      <c r="C3690" t="s">
        <v>845</v>
      </c>
      <c r="D3690" s="18">
        <v>103.5</v>
      </c>
      <c r="E3690" s="32">
        <v>362.25</v>
      </c>
      <c r="F3690" s="15">
        <f>IFERROR(PRD[[#This Row],[VALOR]]/PRD[[#This Row],[KGS]],"")</f>
        <v>3.5</v>
      </c>
    </row>
    <row r="3691" spans="1:6" x14ac:dyDescent="0.25">
      <c r="A3691" s="21">
        <v>3020318</v>
      </c>
      <c r="B3691" s="1">
        <v>45383</v>
      </c>
      <c r="C3691" t="s">
        <v>847</v>
      </c>
      <c r="D3691" s="18">
        <v>34.5</v>
      </c>
      <c r="E3691" s="32">
        <v>120.75</v>
      </c>
      <c r="F3691" s="15">
        <f>IFERROR(PRD[[#This Row],[VALOR]]/PRD[[#This Row],[KGS]],"")</f>
        <v>3.5</v>
      </c>
    </row>
    <row r="3692" spans="1:6" x14ac:dyDescent="0.25">
      <c r="A3692" s="21">
        <v>3020319</v>
      </c>
      <c r="B3692" s="1">
        <v>45383</v>
      </c>
      <c r="C3692" t="s">
        <v>1012</v>
      </c>
      <c r="D3692" s="18">
        <v>113.24000000000001</v>
      </c>
      <c r="E3692" s="32">
        <v>396.34</v>
      </c>
      <c r="F3692" s="15">
        <f>IFERROR(PRD[[#This Row],[VALOR]]/PRD[[#This Row],[KGS]],"")</f>
        <v>3.4999999999999996</v>
      </c>
    </row>
    <row r="3693" spans="1:6" x14ac:dyDescent="0.25">
      <c r="A3693" s="21">
        <v>3020402</v>
      </c>
      <c r="B3693" s="1">
        <v>45383</v>
      </c>
      <c r="C3693" t="s">
        <v>141</v>
      </c>
      <c r="D3693" s="18">
        <v>1767.336</v>
      </c>
      <c r="E3693" s="32">
        <v>6462.2</v>
      </c>
      <c r="F3693" s="15">
        <f>IFERROR(PRD[[#This Row],[VALOR]]/PRD[[#This Row],[KGS]],"")</f>
        <v>3.6564637397755715</v>
      </c>
    </row>
    <row r="3694" spans="1:6" x14ac:dyDescent="0.25">
      <c r="A3694" s="21">
        <v>3020504</v>
      </c>
      <c r="B3694" s="1">
        <v>45383</v>
      </c>
      <c r="C3694" t="s">
        <v>143</v>
      </c>
      <c r="D3694" s="18">
        <v>635.18000000000006</v>
      </c>
      <c r="E3694" s="32">
        <v>2438.86</v>
      </c>
      <c r="F3694" s="15">
        <f>IFERROR(PRD[[#This Row],[VALOR]]/PRD[[#This Row],[KGS]],"")</f>
        <v>3.8396360086904497</v>
      </c>
    </row>
    <row r="3695" spans="1:6" x14ac:dyDescent="0.25">
      <c r="A3695" s="21">
        <v>3020622</v>
      </c>
      <c r="B3695" s="1">
        <v>45383</v>
      </c>
      <c r="C3695" t="s">
        <v>145</v>
      </c>
      <c r="D3695" s="18">
        <v>7549.902</v>
      </c>
      <c r="E3695" s="32">
        <v>27728.45</v>
      </c>
      <c r="F3695" s="15">
        <f>IFERROR(PRD[[#This Row],[VALOR]]/PRD[[#This Row],[KGS]],"")</f>
        <v>3.6726900561093379</v>
      </c>
    </row>
    <row r="3696" spans="1:6" x14ac:dyDescent="0.25">
      <c r="A3696" s="21">
        <v>3020623</v>
      </c>
      <c r="B3696" s="1">
        <v>45383</v>
      </c>
      <c r="C3696" t="s">
        <v>147</v>
      </c>
      <c r="D3696" s="18">
        <v>656.99</v>
      </c>
      <c r="E3696" s="32">
        <v>2540.9299999999998</v>
      </c>
      <c r="F3696" s="15">
        <f>IFERROR(PRD[[#This Row],[VALOR]]/PRD[[#This Row],[KGS]],"")</f>
        <v>3.8675322303231399</v>
      </c>
    </row>
    <row r="3697" spans="1:6" x14ac:dyDescent="0.25">
      <c r="A3697" s="21">
        <v>3020725</v>
      </c>
      <c r="B3697" s="1">
        <v>45383</v>
      </c>
      <c r="C3697" t="s">
        <v>149</v>
      </c>
      <c r="D3697" s="18">
        <v>472.13</v>
      </c>
      <c r="E3697" s="32">
        <v>1779.57</v>
      </c>
      <c r="F3697" s="15">
        <f>IFERROR(PRD[[#This Row],[VALOR]]/PRD[[#This Row],[KGS]],"")</f>
        <v>3.7692372863406263</v>
      </c>
    </row>
    <row r="3698" spans="1:6" x14ac:dyDescent="0.25">
      <c r="A3698" s="21">
        <v>3020823</v>
      </c>
      <c r="B3698" s="1">
        <v>45383</v>
      </c>
      <c r="C3698" t="s">
        <v>151</v>
      </c>
      <c r="D3698" s="18">
        <v>2190.915</v>
      </c>
      <c r="E3698" s="32">
        <v>8461.07</v>
      </c>
      <c r="F3698" s="15">
        <f>IFERROR(PRD[[#This Row],[VALOR]]/PRD[[#This Row],[KGS]],"")</f>
        <v>3.8618887542419489</v>
      </c>
    </row>
    <row r="3699" spans="1:6" x14ac:dyDescent="0.25">
      <c r="A3699" s="21">
        <v>3020824</v>
      </c>
      <c r="B3699" s="1">
        <v>45383</v>
      </c>
      <c r="C3699" t="s">
        <v>153</v>
      </c>
      <c r="D3699" s="18">
        <v>1488.318</v>
      </c>
      <c r="E3699" s="32">
        <v>5539.89</v>
      </c>
      <c r="F3699" s="15">
        <f>IFERROR(PRD[[#This Row],[VALOR]]/PRD[[#This Row],[KGS]],"")</f>
        <v>3.7222488742325233</v>
      </c>
    </row>
    <row r="3700" spans="1:6" x14ac:dyDescent="0.25">
      <c r="A3700" s="21">
        <v>3020825</v>
      </c>
      <c r="B3700" s="1">
        <v>45383</v>
      </c>
      <c r="C3700" t="s">
        <v>455</v>
      </c>
      <c r="D3700" s="18">
        <v>148.91400000000002</v>
      </c>
      <c r="E3700" s="32">
        <v>610.54999999999995</v>
      </c>
      <c r="F3700" s="15">
        <f>IFERROR(PRD[[#This Row],[VALOR]]/PRD[[#This Row],[KGS]],"")</f>
        <v>4.1000174597418635</v>
      </c>
    </row>
    <row r="3701" spans="1:6" x14ac:dyDescent="0.25">
      <c r="A3701" s="21">
        <v>3020924</v>
      </c>
      <c r="B3701" s="1">
        <v>45383</v>
      </c>
      <c r="C3701" t="s">
        <v>155</v>
      </c>
      <c r="D3701" s="18">
        <v>1200.3</v>
      </c>
      <c r="E3701" s="32">
        <v>4537.99</v>
      </c>
      <c r="F3701" s="15">
        <f>IFERROR(PRD[[#This Row],[VALOR]]/PRD[[#This Row],[KGS]],"")</f>
        <v>3.7807131550445723</v>
      </c>
    </row>
    <row r="3702" spans="1:6" x14ac:dyDescent="0.25">
      <c r="A3702" s="21">
        <v>3020925</v>
      </c>
      <c r="B3702" s="1">
        <v>45383</v>
      </c>
      <c r="C3702" t="s">
        <v>157</v>
      </c>
      <c r="D3702" s="18">
        <v>1210.1279999999999</v>
      </c>
      <c r="E3702" s="32">
        <v>4483.6499999999996</v>
      </c>
      <c r="F3702" s="15">
        <f>IFERROR(PRD[[#This Row],[VALOR]]/PRD[[#This Row],[KGS]],"")</f>
        <v>3.7051039228908014</v>
      </c>
    </row>
    <row r="3703" spans="1:6" x14ac:dyDescent="0.25">
      <c r="A3703" s="21">
        <v>3021436</v>
      </c>
      <c r="B3703" s="1">
        <v>45383</v>
      </c>
      <c r="C3703" t="s">
        <v>546</v>
      </c>
      <c r="D3703" s="18">
        <v>486.09000000000003</v>
      </c>
      <c r="E3703" s="32">
        <v>1589.73</v>
      </c>
      <c r="F3703" s="15">
        <f>IFERROR(PRD[[#This Row],[VALOR]]/PRD[[#This Row],[KGS]],"")</f>
        <v>3.2704437449854962</v>
      </c>
    </row>
    <row r="3704" spans="1:6" x14ac:dyDescent="0.25">
      <c r="A3704" s="21">
        <v>3021538</v>
      </c>
      <c r="B3704" s="1">
        <v>45383</v>
      </c>
      <c r="C3704" t="s">
        <v>548</v>
      </c>
      <c r="D3704" s="18">
        <v>256.37</v>
      </c>
      <c r="E3704" s="32">
        <v>745.69</v>
      </c>
      <c r="F3704" s="15">
        <f>IFERROR(PRD[[#This Row],[VALOR]]/PRD[[#This Row],[KGS]],"")</f>
        <v>2.9086476576822564</v>
      </c>
    </row>
    <row r="3705" spans="1:6" x14ac:dyDescent="0.25">
      <c r="A3705" s="21">
        <v>3021639</v>
      </c>
      <c r="B3705" s="1">
        <v>45383</v>
      </c>
      <c r="C3705" t="s">
        <v>457</v>
      </c>
      <c r="D3705" s="18">
        <v>35.96</v>
      </c>
      <c r="E3705" s="32">
        <v>111.89</v>
      </c>
      <c r="F3705" s="15">
        <f>IFERROR(PRD[[#This Row],[VALOR]]/PRD[[#This Row],[KGS]],"")</f>
        <v>3.111512791991101</v>
      </c>
    </row>
    <row r="3706" spans="1:6" x14ac:dyDescent="0.25">
      <c r="A3706" s="21">
        <v>3021740</v>
      </c>
      <c r="B3706" s="1">
        <v>45383</v>
      </c>
      <c r="C3706" t="s">
        <v>459</v>
      </c>
      <c r="D3706" s="18">
        <v>379.81799999999998</v>
      </c>
      <c r="E3706" s="32">
        <v>1074.47</v>
      </c>
      <c r="F3706" s="15">
        <f>IFERROR(PRD[[#This Row],[VALOR]]/PRD[[#This Row],[KGS]],"")</f>
        <v>2.828907529395658</v>
      </c>
    </row>
    <row r="3707" spans="1:6" x14ac:dyDescent="0.25">
      <c r="A3707" s="21">
        <v>3021760</v>
      </c>
      <c r="B3707" s="1">
        <v>45383</v>
      </c>
      <c r="C3707" t="s">
        <v>167</v>
      </c>
      <c r="D3707" s="18">
        <v>5263.2390000000005</v>
      </c>
      <c r="E3707" s="32">
        <v>10146.14</v>
      </c>
      <c r="F3707" s="15">
        <f>IFERROR(PRD[[#This Row],[VALOR]]/PRD[[#This Row],[KGS]],"")</f>
        <v>1.9277368935744696</v>
      </c>
    </row>
    <row r="3708" spans="1:6" x14ac:dyDescent="0.25">
      <c r="A3708" s="21">
        <v>3021811</v>
      </c>
      <c r="B3708" s="1">
        <v>45383</v>
      </c>
      <c r="C3708" t="s">
        <v>169</v>
      </c>
      <c r="D3708" s="18">
        <v>1912.64</v>
      </c>
      <c r="E3708" s="32">
        <v>3919.59</v>
      </c>
      <c r="F3708" s="15">
        <f>IFERROR(PRD[[#This Row],[VALOR]]/PRD[[#This Row],[KGS]],"")</f>
        <v>2.04930880876694</v>
      </c>
    </row>
    <row r="3709" spans="1:6" x14ac:dyDescent="0.25">
      <c r="A3709" s="21">
        <v>3021812</v>
      </c>
      <c r="B3709" s="1">
        <v>45383</v>
      </c>
      <c r="C3709" t="s">
        <v>171</v>
      </c>
      <c r="D3709" s="18">
        <v>-305.74599999999998</v>
      </c>
      <c r="E3709" s="32">
        <v>-714.86</v>
      </c>
      <c r="F3709" s="15">
        <f>IFERROR(PRD[[#This Row],[VALOR]]/PRD[[#This Row],[KGS]],"")</f>
        <v>2.338084553845349</v>
      </c>
    </row>
    <row r="3710" spans="1:6" x14ac:dyDescent="0.25">
      <c r="A3710" s="21">
        <v>3022100</v>
      </c>
      <c r="B3710" s="1">
        <v>45383</v>
      </c>
      <c r="C3710" t="s">
        <v>173</v>
      </c>
      <c r="D3710" s="18">
        <v>182.41</v>
      </c>
      <c r="E3710" s="32">
        <v>713.17</v>
      </c>
      <c r="F3710" s="15">
        <f>IFERROR(PRD[[#This Row],[VALOR]]/PRD[[#This Row],[KGS]],"")</f>
        <v>3.9097088975385121</v>
      </c>
    </row>
    <row r="3711" spans="1:6" x14ac:dyDescent="0.25">
      <c r="A3711" s="21">
        <v>3022208</v>
      </c>
      <c r="B3711" s="1">
        <v>45383</v>
      </c>
      <c r="C3711" t="s">
        <v>307</v>
      </c>
      <c r="D3711" s="18">
        <v>227.37</v>
      </c>
      <c r="E3711" s="32">
        <v>876.91</v>
      </c>
      <c r="F3711" s="15">
        <f>IFERROR(PRD[[#This Row],[VALOR]]/PRD[[#This Row],[KGS]],"")</f>
        <v>3.8567533095834978</v>
      </c>
    </row>
    <row r="3712" spans="1:6" x14ac:dyDescent="0.25">
      <c r="A3712" s="21">
        <v>3022311</v>
      </c>
      <c r="B3712" s="1">
        <v>45383</v>
      </c>
      <c r="C3712" t="s">
        <v>176</v>
      </c>
      <c r="D3712" s="18">
        <v>2152.8850000000002</v>
      </c>
      <c r="E3712" s="32">
        <v>5372.64</v>
      </c>
      <c r="F3712" s="15">
        <f>IFERROR(PRD[[#This Row],[VALOR]]/PRD[[#This Row],[KGS]],"")</f>
        <v>2.4955536408122123</v>
      </c>
    </row>
    <row r="3713" spans="1:6" x14ac:dyDescent="0.25">
      <c r="A3713" s="21">
        <v>3022411</v>
      </c>
      <c r="B3713" s="1">
        <v>45383</v>
      </c>
      <c r="C3713" t="s">
        <v>178</v>
      </c>
      <c r="D3713" s="18">
        <v>86.466999999999999</v>
      </c>
      <c r="E3713" s="32">
        <v>247.76</v>
      </c>
      <c r="F3713" s="15">
        <f>IFERROR(PRD[[#This Row],[VALOR]]/PRD[[#This Row],[KGS]],"")</f>
        <v>2.865370603814172</v>
      </c>
    </row>
    <row r="3714" spans="1:6" x14ac:dyDescent="0.25">
      <c r="A3714" s="21">
        <v>3022511</v>
      </c>
      <c r="B3714" s="1">
        <v>45383</v>
      </c>
      <c r="C3714" t="s">
        <v>180</v>
      </c>
      <c r="D3714" s="18">
        <v>3.71</v>
      </c>
      <c r="E3714" s="32">
        <v>10.35</v>
      </c>
      <c r="F3714" s="15">
        <f>IFERROR(PRD[[#This Row],[VALOR]]/PRD[[#This Row],[KGS]],"")</f>
        <v>2.7897574123989219</v>
      </c>
    </row>
    <row r="3715" spans="1:6" x14ac:dyDescent="0.25">
      <c r="A3715" s="21">
        <v>3022601</v>
      </c>
      <c r="B3715" s="1">
        <v>45383</v>
      </c>
      <c r="C3715" t="s">
        <v>182</v>
      </c>
      <c r="D3715" s="18">
        <v>313</v>
      </c>
      <c r="E3715" s="32">
        <v>1202.31</v>
      </c>
      <c r="F3715" s="15">
        <f>IFERROR(PRD[[#This Row],[VALOR]]/PRD[[#This Row],[KGS]],"")</f>
        <v>3.8412460063897762</v>
      </c>
    </row>
    <row r="3716" spans="1:6" x14ac:dyDescent="0.25">
      <c r="A3716" s="21">
        <v>3022703</v>
      </c>
      <c r="B3716" s="1">
        <v>45383</v>
      </c>
      <c r="C3716" t="s">
        <v>309</v>
      </c>
      <c r="D3716" s="18">
        <v>575</v>
      </c>
      <c r="E3716" s="32">
        <v>1603.5</v>
      </c>
      <c r="F3716" s="15">
        <f>IFERROR(PRD[[#This Row],[VALOR]]/PRD[[#This Row],[KGS]],"")</f>
        <v>2.7886956521739132</v>
      </c>
    </row>
    <row r="3717" spans="1:6" x14ac:dyDescent="0.25">
      <c r="A3717" s="21">
        <v>3022805</v>
      </c>
      <c r="B3717" s="1">
        <v>45383</v>
      </c>
      <c r="C3717" t="s">
        <v>186</v>
      </c>
      <c r="D3717" s="18">
        <v>1415</v>
      </c>
      <c r="E3717" s="32">
        <v>2971.39</v>
      </c>
      <c r="F3717" s="15">
        <f>IFERROR(PRD[[#This Row],[VALOR]]/PRD[[#This Row],[KGS]],"")</f>
        <v>2.0999222614840987</v>
      </c>
    </row>
    <row r="3718" spans="1:6" x14ac:dyDescent="0.25">
      <c r="A3718" s="21">
        <v>3022906</v>
      </c>
      <c r="B3718" s="1">
        <v>45383</v>
      </c>
      <c r="C3718" t="s">
        <v>188</v>
      </c>
      <c r="D3718" s="18">
        <v>3740</v>
      </c>
      <c r="E3718" s="32">
        <v>7639.13</v>
      </c>
      <c r="F3718" s="15">
        <f>IFERROR(PRD[[#This Row],[VALOR]]/PRD[[#This Row],[KGS]],"")</f>
        <v>2.0425481283422462</v>
      </c>
    </row>
    <row r="3719" spans="1:6" x14ac:dyDescent="0.25">
      <c r="A3719" s="21">
        <v>3023007</v>
      </c>
      <c r="B3719" s="1">
        <v>45383</v>
      </c>
      <c r="C3719" t="s">
        <v>190</v>
      </c>
      <c r="D3719" s="18">
        <v>720</v>
      </c>
      <c r="E3719" s="32">
        <v>1458.7</v>
      </c>
      <c r="F3719" s="15">
        <f>IFERROR(PRD[[#This Row],[VALOR]]/PRD[[#This Row],[KGS]],"")</f>
        <v>2.0259722222222223</v>
      </c>
    </row>
    <row r="3720" spans="1:6" x14ac:dyDescent="0.25">
      <c r="A3720" s="21">
        <v>3024001</v>
      </c>
      <c r="B3720" s="1">
        <v>45383</v>
      </c>
      <c r="C3720" t="s">
        <v>192</v>
      </c>
      <c r="D3720" s="18">
        <v>1358.91</v>
      </c>
      <c r="E3720" s="32">
        <v>5167.8500000000004</v>
      </c>
      <c r="F3720" s="15">
        <f>IFERROR(PRD[[#This Row],[VALOR]]/PRD[[#This Row],[KGS]],"")</f>
        <v>3.8029376485565636</v>
      </c>
    </row>
    <row r="3721" spans="1:6" x14ac:dyDescent="0.25">
      <c r="A3721" s="21">
        <v>3024003</v>
      </c>
      <c r="B3721" s="1">
        <v>45383</v>
      </c>
      <c r="C3721" t="s">
        <v>196</v>
      </c>
      <c r="D3721" s="18">
        <v>248.98000000000002</v>
      </c>
      <c r="E3721" s="32">
        <v>705.36</v>
      </c>
      <c r="F3721" s="15">
        <f>IFERROR(PRD[[#This Row],[VALOR]]/PRD[[#This Row],[KGS]],"")</f>
        <v>2.8329986344284679</v>
      </c>
    </row>
    <row r="3722" spans="1:6" x14ac:dyDescent="0.25">
      <c r="A3722" s="21">
        <v>3024004</v>
      </c>
      <c r="B3722" s="1">
        <v>45383</v>
      </c>
      <c r="C3722" t="s">
        <v>198</v>
      </c>
      <c r="D3722" s="18">
        <v>1321.6000000000001</v>
      </c>
      <c r="E3722" s="32">
        <v>1371.73</v>
      </c>
      <c r="F3722" s="15">
        <f>IFERROR(PRD[[#This Row],[VALOR]]/PRD[[#This Row],[KGS]],"")</f>
        <v>1.0379312953995157</v>
      </c>
    </row>
    <row r="3723" spans="1:6" x14ac:dyDescent="0.25">
      <c r="A3723" s="21">
        <v>4030100</v>
      </c>
      <c r="B3723" s="1">
        <v>45383</v>
      </c>
      <c r="C3723" t="s">
        <v>200</v>
      </c>
      <c r="D3723" s="18">
        <v>215.3</v>
      </c>
      <c r="E3723" s="32">
        <v>1326.03</v>
      </c>
      <c r="F3723" s="15">
        <f>IFERROR(PRD[[#This Row],[VALOR]]/PRD[[#This Row],[KGS]],"")</f>
        <v>6.1589874593590332</v>
      </c>
    </row>
    <row r="3724" spans="1:6" x14ac:dyDescent="0.25">
      <c r="A3724" s="21">
        <v>4030211</v>
      </c>
      <c r="B3724" s="1">
        <v>45383</v>
      </c>
      <c r="C3724" t="s">
        <v>202</v>
      </c>
      <c r="D3724" s="18">
        <v>995.44799999999998</v>
      </c>
      <c r="E3724" s="32">
        <v>5714.37</v>
      </c>
      <c r="F3724" s="15">
        <f>IFERROR(PRD[[#This Row],[VALOR]]/PRD[[#This Row],[KGS]],"")</f>
        <v>5.7405007594570483</v>
      </c>
    </row>
    <row r="3725" spans="1:6" x14ac:dyDescent="0.25">
      <c r="A3725" s="21">
        <v>4030311</v>
      </c>
      <c r="B3725" s="1">
        <v>45383</v>
      </c>
      <c r="C3725" t="s">
        <v>311</v>
      </c>
      <c r="D3725" s="18">
        <v>486.30400000000003</v>
      </c>
      <c r="E3725" s="32">
        <v>3150.02</v>
      </c>
      <c r="F3725" s="15">
        <f>IFERROR(PRD[[#This Row],[VALOR]]/PRD[[#This Row],[KGS]],"")</f>
        <v>6.4774708824110014</v>
      </c>
    </row>
    <row r="3726" spans="1:6" x14ac:dyDescent="0.25">
      <c r="A3726" s="21">
        <v>4030401</v>
      </c>
      <c r="B3726" s="1">
        <v>45383</v>
      </c>
      <c r="C3726" t="s">
        <v>461</v>
      </c>
      <c r="D3726" s="18">
        <v>215.3</v>
      </c>
      <c r="E3726" s="32">
        <v>1085.82</v>
      </c>
      <c r="F3726" s="15">
        <f>IFERROR(PRD[[#This Row],[VALOR]]/PRD[[#This Row],[KGS]],"")</f>
        <v>5.0432884347422196</v>
      </c>
    </row>
    <row r="3727" spans="1:6" x14ac:dyDescent="0.25">
      <c r="A3727" s="21">
        <v>4030532</v>
      </c>
      <c r="B3727" s="1">
        <v>45383</v>
      </c>
      <c r="C3727" t="s">
        <v>210</v>
      </c>
      <c r="D3727" s="18">
        <v>281.41000000000003</v>
      </c>
      <c r="E3727" s="32">
        <v>1358.33</v>
      </c>
      <c r="F3727" s="15">
        <f>IFERROR(PRD[[#This Row],[VALOR]]/PRD[[#This Row],[KGS]],"")</f>
        <v>4.8268718240289958</v>
      </c>
    </row>
    <row r="3728" spans="1:6" x14ac:dyDescent="0.25">
      <c r="A3728" s="21">
        <v>4030600</v>
      </c>
      <c r="B3728" s="1">
        <v>45383</v>
      </c>
      <c r="C3728" t="s">
        <v>212</v>
      </c>
      <c r="D3728" s="18">
        <v>549.81000000000006</v>
      </c>
      <c r="E3728" s="32">
        <v>1726.75</v>
      </c>
      <c r="F3728" s="15">
        <f>IFERROR(PRD[[#This Row],[VALOR]]/PRD[[#This Row],[KGS]],"")</f>
        <v>3.1406303995925864</v>
      </c>
    </row>
    <row r="3729" spans="1:6" x14ac:dyDescent="0.25">
      <c r="A3729" s="21">
        <v>4030711</v>
      </c>
      <c r="B3729" s="1">
        <v>45383</v>
      </c>
      <c r="C3729" t="s">
        <v>214</v>
      </c>
      <c r="D3729" s="18">
        <v>1328.6020000000001</v>
      </c>
      <c r="E3729" s="32">
        <v>4364.04</v>
      </c>
      <c r="F3729" s="15">
        <f>IFERROR(PRD[[#This Row],[VALOR]]/PRD[[#This Row],[KGS]],"")</f>
        <v>3.284685707232113</v>
      </c>
    </row>
    <row r="3730" spans="1:6" x14ac:dyDescent="0.25">
      <c r="A3730" s="21">
        <v>4030811</v>
      </c>
      <c r="B3730" s="1">
        <v>45383</v>
      </c>
      <c r="C3730" t="s">
        <v>216</v>
      </c>
      <c r="D3730" s="18">
        <v>1643.0820000000001</v>
      </c>
      <c r="E3730" s="32">
        <v>5402.39</v>
      </c>
      <c r="F3730" s="15">
        <f>IFERROR(PRD[[#This Row],[VALOR]]/PRD[[#This Row],[KGS]],"")</f>
        <v>3.2879612825166364</v>
      </c>
    </row>
    <row r="3731" spans="1:6" x14ac:dyDescent="0.25">
      <c r="A3731" s="21">
        <v>4030813</v>
      </c>
      <c r="B3731" s="1">
        <v>45383</v>
      </c>
      <c r="C3731" t="s">
        <v>218</v>
      </c>
      <c r="D3731" s="18">
        <v>431.09000000000003</v>
      </c>
      <c r="E3731" s="32">
        <v>1241.54</v>
      </c>
      <c r="F3731" s="15">
        <f>IFERROR(PRD[[#This Row],[VALOR]]/PRD[[#This Row],[KGS]],"")</f>
        <v>2.8800018557609777</v>
      </c>
    </row>
    <row r="3732" spans="1:6" x14ac:dyDescent="0.25">
      <c r="A3732" s="21">
        <v>4030900</v>
      </c>
      <c r="B3732" s="1">
        <v>45383</v>
      </c>
      <c r="C3732" t="s">
        <v>220</v>
      </c>
      <c r="D3732" s="18">
        <v>4827.03</v>
      </c>
      <c r="E3732" s="32">
        <v>14990.21</v>
      </c>
      <c r="F3732" s="15">
        <f>IFERROR(PRD[[#This Row],[VALOR]]/PRD[[#This Row],[KGS]],"")</f>
        <v>3.1054727233930595</v>
      </c>
    </row>
    <row r="3733" spans="1:6" x14ac:dyDescent="0.25">
      <c r="A3733" s="21">
        <v>4030910</v>
      </c>
      <c r="B3733" s="1">
        <v>45383</v>
      </c>
      <c r="C3733" t="s">
        <v>222</v>
      </c>
      <c r="D3733" s="18">
        <v>26.77</v>
      </c>
      <c r="E3733" s="32">
        <v>87.68</v>
      </c>
      <c r="F3733" s="15">
        <f>IFERROR(PRD[[#This Row],[VALOR]]/PRD[[#This Row],[KGS]],"")</f>
        <v>3.2753081807994024</v>
      </c>
    </row>
    <row r="3734" spans="1:6" x14ac:dyDescent="0.25">
      <c r="A3734" s="21">
        <v>4031012</v>
      </c>
      <c r="B3734" s="1">
        <v>45383</v>
      </c>
      <c r="C3734" t="s">
        <v>224</v>
      </c>
      <c r="D3734" s="18">
        <v>851.24599999999998</v>
      </c>
      <c r="E3734" s="32">
        <v>2729.04</v>
      </c>
      <c r="F3734" s="15">
        <f>IFERROR(PRD[[#This Row],[VALOR]]/PRD[[#This Row],[KGS]],"")</f>
        <v>3.2059357694485495</v>
      </c>
    </row>
    <row r="3735" spans="1:6" x14ac:dyDescent="0.25">
      <c r="A3735" s="21">
        <v>4031013</v>
      </c>
      <c r="B3735" s="1">
        <v>45383</v>
      </c>
      <c r="C3735" t="s">
        <v>1013</v>
      </c>
      <c r="D3735" s="18">
        <v>0.9</v>
      </c>
      <c r="E3735" s="32">
        <v>5.04</v>
      </c>
      <c r="F3735" s="15">
        <f>IFERROR(PRD[[#This Row],[VALOR]]/PRD[[#This Row],[KGS]],"")</f>
        <v>5.6</v>
      </c>
    </row>
    <row r="3736" spans="1:6" x14ac:dyDescent="0.25">
      <c r="A3736" s="21">
        <v>4031017</v>
      </c>
      <c r="B3736" s="1">
        <v>45383</v>
      </c>
      <c r="C3736" t="s">
        <v>226</v>
      </c>
      <c r="D3736" s="18">
        <v>349.8</v>
      </c>
      <c r="E3736" s="32">
        <v>251.87</v>
      </c>
      <c r="F3736" s="15">
        <f>IFERROR(PRD[[#This Row],[VALOR]]/PRD[[#This Row],[KGS]],"")</f>
        <v>0.72004002287021152</v>
      </c>
    </row>
    <row r="3737" spans="1:6" x14ac:dyDescent="0.25">
      <c r="A3737" s="21">
        <v>4031019</v>
      </c>
      <c r="B3737" s="1">
        <v>45383</v>
      </c>
      <c r="C3737" t="s">
        <v>226</v>
      </c>
      <c r="D3737" s="18">
        <v>1855</v>
      </c>
      <c r="E3737" s="32">
        <v>1242.8499999999999</v>
      </c>
      <c r="F3737" s="15">
        <f>IFERROR(PRD[[#This Row],[VALOR]]/PRD[[#This Row],[KGS]],"")</f>
        <v>0.66999999999999993</v>
      </c>
    </row>
    <row r="3738" spans="1:6" x14ac:dyDescent="0.25">
      <c r="A3738" s="21">
        <v>4031102</v>
      </c>
      <c r="B3738" s="1">
        <v>45383</v>
      </c>
      <c r="C3738" t="s">
        <v>228</v>
      </c>
      <c r="D3738" s="18">
        <v>10165.419</v>
      </c>
      <c r="E3738" s="32">
        <v>30285.5</v>
      </c>
      <c r="F3738" s="15">
        <f>IFERROR(PRD[[#This Row],[VALOR]]/PRD[[#This Row],[KGS]],"")</f>
        <v>2.9792672589295139</v>
      </c>
    </row>
    <row r="3739" spans="1:6" x14ac:dyDescent="0.25">
      <c r="A3739" s="21">
        <v>4031103</v>
      </c>
      <c r="B3739" s="1">
        <v>45383</v>
      </c>
      <c r="C3739" t="s">
        <v>980</v>
      </c>
      <c r="D3739" s="18">
        <v>434.94</v>
      </c>
      <c r="E3739" s="32">
        <v>1391.81</v>
      </c>
      <c r="F3739" s="15">
        <f>IFERROR(PRD[[#This Row],[VALOR]]/PRD[[#This Row],[KGS]],"")</f>
        <v>3.2000045983354024</v>
      </c>
    </row>
    <row r="3740" spans="1:6" x14ac:dyDescent="0.25">
      <c r="A3740" s="21">
        <v>4031200</v>
      </c>
      <c r="B3740" s="1">
        <v>45383</v>
      </c>
      <c r="C3740" t="s">
        <v>230</v>
      </c>
      <c r="D3740" s="18">
        <v>821.92000000000007</v>
      </c>
      <c r="E3740" s="32">
        <v>2568.56</v>
      </c>
      <c r="F3740" s="15">
        <f>IFERROR(PRD[[#This Row],[VALOR]]/PRD[[#This Row],[KGS]],"")</f>
        <v>3.1250729998053335</v>
      </c>
    </row>
    <row r="3741" spans="1:6" x14ac:dyDescent="0.25">
      <c r="A3741" s="21">
        <v>4031304</v>
      </c>
      <c r="B3741" s="1">
        <v>45383</v>
      </c>
      <c r="C3741" t="s">
        <v>232</v>
      </c>
      <c r="D3741" s="18">
        <v>1404.7950000000001</v>
      </c>
      <c r="E3741" s="32">
        <v>4251.7299999999996</v>
      </c>
      <c r="F3741" s="15">
        <f>IFERROR(PRD[[#This Row],[VALOR]]/PRD[[#This Row],[KGS]],"")</f>
        <v>3.0265839499713478</v>
      </c>
    </row>
    <row r="3742" spans="1:6" x14ac:dyDescent="0.25">
      <c r="A3742" s="21">
        <v>4031411</v>
      </c>
      <c r="B3742" s="1">
        <v>45383</v>
      </c>
      <c r="C3742" t="s">
        <v>234</v>
      </c>
      <c r="D3742" s="18">
        <v>67.554000000000002</v>
      </c>
      <c r="E3742" s="32">
        <v>208.96</v>
      </c>
      <c r="F3742" s="15">
        <f>IFERROR(PRD[[#This Row],[VALOR]]/PRD[[#This Row],[KGS]],"")</f>
        <v>3.0932291204073779</v>
      </c>
    </row>
    <row r="3743" spans="1:6" x14ac:dyDescent="0.25">
      <c r="A3743" s="21">
        <v>4031500</v>
      </c>
      <c r="B3743" s="1">
        <v>45383</v>
      </c>
      <c r="C3743" t="s">
        <v>236</v>
      </c>
      <c r="D3743" s="18">
        <v>5121.41</v>
      </c>
      <c r="E3743" s="32">
        <v>15029.9</v>
      </c>
      <c r="F3743" s="15">
        <f>IFERROR(PRD[[#This Row],[VALOR]]/PRD[[#This Row],[KGS]],"")</f>
        <v>2.9347191496091898</v>
      </c>
    </row>
    <row r="3744" spans="1:6" x14ac:dyDescent="0.25">
      <c r="A3744" s="21">
        <v>4031604</v>
      </c>
      <c r="B3744" s="1">
        <v>45383</v>
      </c>
      <c r="C3744" t="s">
        <v>238</v>
      </c>
      <c r="D3744" s="18">
        <v>5322.9710000000005</v>
      </c>
      <c r="E3744" s="32">
        <v>14986.04</v>
      </c>
      <c r="F3744" s="15">
        <f>IFERROR(PRD[[#This Row],[VALOR]]/PRD[[#This Row],[KGS]],"")</f>
        <v>2.8153525540529905</v>
      </c>
    </row>
    <row r="3745" spans="1:6" x14ac:dyDescent="0.25">
      <c r="A3745" s="21">
        <v>4031605</v>
      </c>
      <c r="B3745" s="1">
        <v>45383</v>
      </c>
      <c r="C3745" t="s">
        <v>240</v>
      </c>
      <c r="D3745" s="18">
        <v>13.08</v>
      </c>
      <c r="E3745" s="32">
        <v>44.59</v>
      </c>
      <c r="F3745" s="15">
        <f>IFERROR(PRD[[#This Row],[VALOR]]/PRD[[#This Row],[KGS]],"")</f>
        <v>3.4090214067278288</v>
      </c>
    </row>
    <row r="3746" spans="1:6" x14ac:dyDescent="0.25">
      <c r="A3746" s="21">
        <v>4031700</v>
      </c>
      <c r="B3746" s="1">
        <v>45383</v>
      </c>
      <c r="C3746" t="s">
        <v>242</v>
      </c>
      <c r="D3746" s="18">
        <v>564.71</v>
      </c>
      <c r="E3746" s="32">
        <v>1734.75</v>
      </c>
      <c r="F3746" s="15">
        <f>IFERROR(PRD[[#This Row],[VALOR]]/PRD[[#This Row],[KGS]],"")</f>
        <v>3.0719307255051262</v>
      </c>
    </row>
    <row r="3747" spans="1:6" x14ac:dyDescent="0.25">
      <c r="A3747" s="21">
        <v>4031812</v>
      </c>
      <c r="B3747" s="1">
        <v>45383</v>
      </c>
      <c r="C3747" t="s">
        <v>244</v>
      </c>
      <c r="D3747" s="18">
        <v>480.44200000000001</v>
      </c>
      <c r="E3747" s="32">
        <v>1534.33</v>
      </c>
      <c r="F3747" s="15">
        <f>IFERROR(PRD[[#This Row],[VALOR]]/PRD[[#This Row],[KGS]],"")</f>
        <v>3.1935800783445241</v>
      </c>
    </row>
    <row r="3748" spans="1:6" x14ac:dyDescent="0.25">
      <c r="A3748" s="21">
        <v>4031813</v>
      </c>
      <c r="B3748" s="1">
        <v>45383</v>
      </c>
      <c r="C3748" t="s">
        <v>464</v>
      </c>
      <c r="D3748" s="18">
        <v>350</v>
      </c>
      <c r="E3748" s="32">
        <v>245</v>
      </c>
      <c r="F3748" s="15">
        <f>IFERROR(PRD[[#This Row],[VALOR]]/PRD[[#This Row],[KGS]],"")</f>
        <v>0.7</v>
      </c>
    </row>
    <row r="3749" spans="1:6" x14ac:dyDescent="0.25">
      <c r="A3749" s="21">
        <v>4031904</v>
      </c>
      <c r="B3749" s="1">
        <v>45383</v>
      </c>
      <c r="C3749" t="s">
        <v>246</v>
      </c>
      <c r="D3749" s="18">
        <v>1033.7</v>
      </c>
      <c r="E3749" s="32">
        <v>3133.57</v>
      </c>
      <c r="F3749" s="15">
        <f>IFERROR(PRD[[#This Row],[VALOR]]/PRD[[#This Row],[KGS]],"")</f>
        <v>3.0314114346522203</v>
      </c>
    </row>
    <row r="3750" spans="1:6" x14ac:dyDescent="0.25">
      <c r="A3750" s="21">
        <v>4032000</v>
      </c>
      <c r="B3750" s="1">
        <v>45383</v>
      </c>
      <c r="C3750" t="s">
        <v>1014</v>
      </c>
      <c r="D3750" s="18">
        <v>0.2</v>
      </c>
      <c r="E3750" s="32">
        <v>1.1200000000000001</v>
      </c>
      <c r="F3750" s="15">
        <f>IFERROR(PRD[[#This Row],[VALOR]]/PRD[[#This Row],[KGS]],"")</f>
        <v>5.6000000000000005</v>
      </c>
    </row>
    <row r="3751" spans="1:6" x14ac:dyDescent="0.25">
      <c r="A3751" s="21">
        <v>4032205</v>
      </c>
      <c r="B3751" s="1">
        <v>45383</v>
      </c>
      <c r="C3751" t="s">
        <v>553</v>
      </c>
      <c r="D3751" s="18">
        <v>129.52500000000001</v>
      </c>
      <c r="E3751" s="32">
        <v>684.48</v>
      </c>
      <c r="F3751" s="15">
        <f>IFERROR(PRD[[#This Row],[VALOR]]/PRD[[#This Row],[KGS]],"")</f>
        <v>5.2845396641574984</v>
      </c>
    </row>
    <row r="3752" spans="1:6" x14ac:dyDescent="0.25">
      <c r="A3752" s="21">
        <v>4032206</v>
      </c>
      <c r="B3752" s="1">
        <v>45383</v>
      </c>
      <c r="C3752" t="s">
        <v>555</v>
      </c>
      <c r="D3752" s="18">
        <v>10.16</v>
      </c>
      <c r="E3752" s="32">
        <v>54.51</v>
      </c>
      <c r="F3752" s="15">
        <f>IFERROR(PRD[[#This Row],[VALOR]]/PRD[[#This Row],[KGS]],"")</f>
        <v>5.3651574803149602</v>
      </c>
    </row>
    <row r="3753" spans="1:6" x14ac:dyDescent="0.25">
      <c r="A3753" s="21">
        <v>4032312</v>
      </c>
      <c r="B3753" s="1">
        <v>45383</v>
      </c>
      <c r="C3753" t="s">
        <v>252</v>
      </c>
      <c r="D3753" s="18">
        <v>432.32</v>
      </c>
      <c r="E3753" s="32">
        <v>1889.32</v>
      </c>
      <c r="F3753" s="15">
        <f>IFERROR(PRD[[#This Row],[VALOR]]/PRD[[#This Row],[KGS]],"")</f>
        <v>4.3701887490747593</v>
      </c>
    </row>
    <row r="3754" spans="1:6" x14ac:dyDescent="0.25">
      <c r="A3754" s="21">
        <v>4032404</v>
      </c>
      <c r="B3754" s="1">
        <v>45383</v>
      </c>
      <c r="C3754" t="s">
        <v>254</v>
      </c>
      <c r="D3754" s="18">
        <v>209.94</v>
      </c>
      <c r="E3754" s="32">
        <v>944.63</v>
      </c>
      <c r="F3754" s="15">
        <f>IFERROR(PRD[[#This Row],[VALOR]]/PRD[[#This Row],[KGS]],"")</f>
        <v>4.4995236734305042</v>
      </c>
    </row>
    <row r="3755" spans="1:6" x14ac:dyDescent="0.25">
      <c r="A3755" s="21">
        <v>4032500</v>
      </c>
      <c r="B3755" s="1">
        <v>45383</v>
      </c>
      <c r="C3755" t="s">
        <v>256</v>
      </c>
      <c r="D3755" s="18">
        <v>87.51</v>
      </c>
      <c r="E3755" s="32">
        <v>257.87</v>
      </c>
      <c r="F3755" s="15">
        <f>IFERROR(PRD[[#This Row],[VALOR]]/PRD[[#This Row],[KGS]],"")</f>
        <v>2.9467489429779454</v>
      </c>
    </row>
    <row r="3756" spans="1:6" x14ac:dyDescent="0.25">
      <c r="A3756" s="21">
        <v>4032611</v>
      </c>
      <c r="B3756" s="1">
        <v>45383</v>
      </c>
      <c r="C3756" t="s">
        <v>258</v>
      </c>
      <c r="D3756" s="18">
        <v>75.67</v>
      </c>
      <c r="E3756" s="32">
        <v>228.72</v>
      </c>
      <c r="F3756" s="15">
        <f>IFERROR(PRD[[#This Row],[VALOR]]/PRD[[#This Row],[KGS]],"")</f>
        <v>3.0225981234306856</v>
      </c>
    </row>
    <row r="3757" spans="1:6" x14ac:dyDescent="0.25">
      <c r="A3757" s="21">
        <v>4032704</v>
      </c>
      <c r="B3757" s="1">
        <v>45383</v>
      </c>
      <c r="C3757" t="s">
        <v>260</v>
      </c>
      <c r="D3757" s="18">
        <v>214.85</v>
      </c>
      <c r="E3757" s="32">
        <v>675.3</v>
      </c>
      <c r="F3757" s="15">
        <f>IFERROR(PRD[[#This Row],[VALOR]]/PRD[[#This Row],[KGS]],"")</f>
        <v>3.1431231091459155</v>
      </c>
    </row>
    <row r="3758" spans="1:6" x14ac:dyDescent="0.25">
      <c r="A3758" s="21">
        <v>4032800</v>
      </c>
      <c r="B3758" s="1">
        <v>45383</v>
      </c>
      <c r="C3758" t="s">
        <v>262</v>
      </c>
      <c r="D3758" s="18">
        <v>134.12</v>
      </c>
      <c r="E3758" s="32">
        <v>703.79</v>
      </c>
      <c r="F3758" s="15">
        <f>IFERROR(PRD[[#This Row],[VALOR]]/PRD[[#This Row],[KGS]],"")</f>
        <v>5.2474649567551443</v>
      </c>
    </row>
    <row r="3759" spans="1:6" x14ac:dyDescent="0.25">
      <c r="A3759" s="21">
        <v>4032902</v>
      </c>
      <c r="B3759" s="1">
        <v>45383</v>
      </c>
      <c r="C3759" t="s">
        <v>264</v>
      </c>
      <c r="D3759" s="18">
        <v>150.41400000000002</v>
      </c>
      <c r="E3759" s="32">
        <v>781.74</v>
      </c>
      <c r="F3759" s="15">
        <f>IFERROR(PRD[[#This Row],[VALOR]]/PRD[[#This Row],[KGS]],"")</f>
        <v>5.197255574614065</v>
      </c>
    </row>
    <row r="3760" spans="1:6" x14ac:dyDescent="0.25">
      <c r="A3760" s="21">
        <v>4033011</v>
      </c>
      <c r="B3760" s="1">
        <v>45383</v>
      </c>
      <c r="C3760" t="s">
        <v>266</v>
      </c>
      <c r="D3760" s="18">
        <v>-52.061</v>
      </c>
      <c r="E3760" s="32">
        <v>-306.55</v>
      </c>
      <c r="F3760" s="15">
        <f>IFERROR(PRD[[#This Row],[VALOR]]/PRD[[#This Row],[KGS]],"")</f>
        <v>5.888284896563647</v>
      </c>
    </row>
    <row r="3761" spans="1:6" x14ac:dyDescent="0.25">
      <c r="A3761" s="21">
        <v>4033111</v>
      </c>
      <c r="B3761" s="1">
        <v>45383</v>
      </c>
      <c r="C3761" t="s">
        <v>268</v>
      </c>
      <c r="D3761" s="18">
        <v>137.80000000000001</v>
      </c>
      <c r="E3761" s="32">
        <v>611.04</v>
      </c>
      <c r="F3761" s="15">
        <f>IFERROR(PRD[[#This Row],[VALOR]]/PRD[[#This Row],[KGS]],"")</f>
        <v>4.4342525399129169</v>
      </c>
    </row>
    <row r="3762" spans="1:6" x14ac:dyDescent="0.25">
      <c r="A3762" s="21">
        <v>4033211</v>
      </c>
      <c r="B3762" s="1">
        <v>45383</v>
      </c>
      <c r="C3762" t="s">
        <v>270</v>
      </c>
      <c r="D3762" s="18">
        <v>69.89</v>
      </c>
      <c r="E3762" s="32">
        <v>298.67</v>
      </c>
      <c r="F3762" s="15">
        <f>IFERROR(PRD[[#This Row],[VALOR]]/PRD[[#This Row],[KGS]],"")</f>
        <v>4.2734296752038921</v>
      </c>
    </row>
    <row r="3763" spans="1:6" x14ac:dyDescent="0.25">
      <c r="A3763" s="21">
        <v>4033311</v>
      </c>
      <c r="B3763" s="1">
        <v>45383</v>
      </c>
      <c r="C3763" t="s">
        <v>272</v>
      </c>
      <c r="D3763" s="18">
        <v>11.23</v>
      </c>
      <c r="E3763" s="32">
        <v>70.099999999999994</v>
      </c>
      <c r="F3763" s="15">
        <f>IFERROR(PRD[[#This Row],[VALOR]]/PRD[[#This Row],[KGS]],"")</f>
        <v>6.2422083704363303</v>
      </c>
    </row>
    <row r="3764" spans="1:6" x14ac:dyDescent="0.25">
      <c r="A3764" s="21">
        <v>4033400</v>
      </c>
      <c r="B3764" s="1">
        <v>45383</v>
      </c>
      <c r="C3764" t="s">
        <v>274</v>
      </c>
      <c r="D3764" s="18">
        <v>539.06000000000006</v>
      </c>
      <c r="E3764" s="32">
        <v>1621.43</v>
      </c>
      <c r="F3764" s="15">
        <f>IFERROR(PRD[[#This Row],[VALOR]]/PRD[[#This Row],[KGS]],"")</f>
        <v>3.0078840945349308</v>
      </c>
    </row>
    <row r="3765" spans="1:6" x14ac:dyDescent="0.25">
      <c r="A3765" s="21">
        <v>4033511</v>
      </c>
      <c r="B3765" s="1">
        <v>45383</v>
      </c>
      <c r="C3765" t="s">
        <v>276</v>
      </c>
      <c r="D3765" s="18">
        <v>1161.32</v>
      </c>
      <c r="E3765" s="32">
        <v>3743.03</v>
      </c>
      <c r="F3765" s="15">
        <f>IFERROR(PRD[[#This Row],[VALOR]]/PRD[[#This Row],[KGS]],"")</f>
        <v>3.2230823545620506</v>
      </c>
    </row>
    <row r="3766" spans="1:6" x14ac:dyDescent="0.25">
      <c r="A3766" s="21">
        <v>4033900</v>
      </c>
      <c r="B3766" s="1">
        <v>45383</v>
      </c>
      <c r="C3766" t="s">
        <v>278</v>
      </c>
      <c r="D3766" s="18">
        <v>31.060000000000002</v>
      </c>
      <c r="E3766" s="32">
        <v>156.44</v>
      </c>
      <c r="F3766" s="15">
        <f>IFERROR(PRD[[#This Row],[VALOR]]/PRD[[#This Row],[KGS]],"")</f>
        <v>5.0367031551835151</v>
      </c>
    </row>
    <row r="3767" spans="1:6" x14ac:dyDescent="0.25">
      <c r="A3767" s="21">
        <v>4034011</v>
      </c>
      <c r="B3767" s="1">
        <v>45383</v>
      </c>
      <c r="C3767" t="s">
        <v>280</v>
      </c>
      <c r="D3767" s="18">
        <v>454.65800000000002</v>
      </c>
      <c r="E3767" s="32">
        <v>2433.09</v>
      </c>
      <c r="F3767" s="15">
        <f>IFERROR(PRD[[#This Row],[VALOR]]/PRD[[#This Row],[KGS]],"")</f>
        <v>5.3514729752913182</v>
      </c>
    </row>
    <row r="3768" spans="1:6" x14ac:dyDescent="0.25">
      <c r="A3768" s="21">
        <v>4034012</v>
      </c>
      <c r="B3768" s="1">
        <v>45383</v>
      </c>
      <c r="C3768" t="s">
        <v>863</v>
      </c>
      <c r="D3768" s="18">
        <v>1064.5</v>
      </c>
      <c r="E3768" s="32">
        <v>1379.66</v>
      </c>
      <c r="F3768" s="15">
        <f>IFERROR(PRD[[#This Row],[VALOR]]/PRD[[#This Row],[KGS]],"")</f>
        <v>1.296063879755754</v>
      </c>
    </row>
    <row r="3769" spans="1:6" x14ac:dyDescent="0.25">
      <c r="A3769" s="21">
        <v>4034211</v>
      </c>
      <c r="B3769" s="1">
        <v>45383</v>
      </c>
      <c r="C3769" t="s">
        <v>282</v>
      </c>
      <c r="D3769" s="18">
        <v>132.1</v>
      </c>
      <c r="E3769" s="32">
        <v>573.12</v>
      </c>
      <c r="F3769" s="15">
        <f>IFERROR(PRD[[#This Row],[VALOR]]/PRD[[#This Row],[KGS]],"")</f>
        <v>4.3385314155942467</v>
      </c>
    </row>
    <row r="3770" spans="1:6" x14ac:dyDescent="0.25">
      <c r="A3770" s="21">
        <v>4034400</v>
      </c>
      <c r="B3770" s="1">
        <v>45383</v>
      </c>
      <c r="C3770" t="s">
        <v>284</v>
      </c>
      <c r="D3770" s="18">
        <v>154.31</v>
      </c>
      <c r="E3770" s="32">
        <v>405.35</v>
      </c>
      <c r="F3770" s="15">
        <f>IFERROR(PRD[[#This Row],[VALOR]]/PRD[[#This Row],[KGS]],"")</f>
        <v>2.626855032078284</v>
      </c>
    </row>
    <row r="3771" spans="1:6" x14ac:dyDescent="0.25">
      <c r="A3771" s="21">
        <v>4034502</v>
      </c>
      <c r="B3771" s="1">
        <v>45383</v>
      </c>
      <c r="C3771" t="s">
        <v>286</v>
      </c>
      <c r="D3771" s="18">
        <v>134.22800000000001</v>
      </c>
      <c r="E3771" s="32">
        <v>371.46</v>
      </c>
      <c r="F3771" s="15">
        <f>IFERROR(PRD[[#This Row],[VALOR]]/PRD[[#This Row],[KGS]],"")</f>
        <v>2.7673808743332238</v>
      </c>
    </row>
    <row r="3772" spans="1:6" x14ac:dyDescent="0.25">
      <c r="A3772" s="21">
        <v>5020013</v>
      </c>
      <c r="B3772" s="1">
        <v>45383</v>
      </c>
      <c r="C3772" t="s">
        <v>12</v>
      </c>
      <c r="D3772" s="18">
        <v>7.7</v>
      </c>
      <c r="E3772" s="32">
        <v>11.55</v>
      </c>
      <c r="F3772" s="15">
        <f>IFERROR(PRD[[#This Row],[VALOR]]/PRD[[#This Row],[KGS]],"")</f>
        <v>1.5</v>
      </c>
    </row>
    <row r="3773" spans="1:6" x14ac:dyDescent="0.25">
      <c r="A3773" s="21">
        <v>5020031</v>
      </c>
      <c r="B3773" s="1">
        <v>45383</v>
      </c>
      <c r="C3773" t="s">
        <v>73</v>
      </c>
      <c r="D3773" s="18">
        <v>12</v>
      </c>
      <c r="E3773" s="32">
        <v>37.799999999999997</v>
      </c>
      <c r="F3773" s="15">
        <f>IFERROR(PRD[[#This Row],[VALOR]]/PRD[[#This Row],[KGS]],"")</f>
        <v>3.15</v>
      </c>
    </row>
    <row r="3774" spans="1:6" x14ac:dyDescent="0.25">
      <c r="A3774" s="21">
        <v>8030004</v>
      </c>
      <c r="B3774" s="1">
        <v>45383</v>
      </c>
      <c r="C3774" t="s">
        <v>697</v>
      </c>
      <c r="D3774" s="18">
        <v>8</v>
      </c>
      <c r="E3774" s="32">
        <v>80</v>
      </c>
      <c r="F3774" s="15">
        <f>IFERROR(PRD[[#This Row],[VALOR]]/PRD[[#This Row],[KGS]],"")</f>
        <v>10</v>
      </c>
    </row>
    <row r="3775" spans="1:6" x14ac:dyDescent="0.25">
      <c r="A3775" s="21">
        <v>8040008</v>
      </c>
      <c r="B3775" s="1">
        <v>45383</v>
      </c>
      <c r="C3775" t="s">
        <v>318</v>
      </c>
      <c r="D3775" s="18">
        <v>32</v>
      </c>
      <c r="E3775" s="32">
        <v>293.12</v>
      </c>
      <c r="F3775" s="15">
        <f>IFERROR(PRD[[#This Row],[VALOR]]/PRD[[#This Row],[KGS]],"")</f>
        <v>9.16</v>
      </c>
    </row>
    <row r="3776" spans="1:6" x14ac:dyDescent="0.25">
      <c r="A3776" s="21">
        <v>8040011</v>
      </c>
      <c r="B3776" s="1">
        <v>45383</v>
      </c>
      <c r="C3776" t="s">
        <v>560</v>
      </c>
      <c r="D3776" s="18">
        <v>92</v>
      </c>
      <c r="E3776" s="32">
        <v>412.78</v>
      </c>
      <c r="F3776" s="15">
        <f>IFERROR(PRD[[#This Row],[VALOR]]/PRD[[#This Row],[KGS]],"")</f>
        <v>4.4867391304347821</v>
      </c>
    </row>
    <row r="3777" spans="1:6" x14ac:dyDescent="0.25">
      <c r="A3777" s="21">
        <v>8040033</v>
      </c>
      <c r="B3777" s="1">
        <v>45383</v>
      </c>
      <c r="C3777" t="s">
        <v>1015</v>
      </c>
      <c r="D3777" s="18">
        <v>594</v>
      </c>
      <c r="E3777" s="32">
        <v>6949.8</v>
      </c>
      <c r="F3777" s="15">
        <f>IFERROR(PRD[[#This Row],[VALOR]]/PRD[[#This Row],[KGS]],"")</f>
        <v>11.700000000000001</v>
      </c>
    </row>
    <row r="3778" spans="1:6" x14ac:dyDescent="0.25">
      <c r="A3778" s="21">
        <v>8040041</v>
      </c>
      <c r="B3778" s="1">
        <v>45383</v>
      </c>
      <c r="C3778" t="s">
        <v>568</v>
      </c>
      <c r="D3778" s="18">
        <v>864</v>
      </c>
      <c r="E3778" s="32">
        <v>2376</v>
      </c>
      <c r="F3778" s="15">
        <f>IFERROR(PRD[[#This Row],[VALOR]]/PRD[[#This Row],[KGS]],"")</f>
        <v>2.75</v>
      </c>
    </row>
    <row r="3779" spans="1:6" x14ac:dyDescent="0.25">
      <c r="A3779" s="21">
        <v>8040048</v>
      </c>
      <c r="B3779" s="1">
        <v>45383</v>
      </c>
      <c r="C3779" t="s">
        <v>699</v>
      </c>
      <c r="D3779" s="18">
        <v>373</v>
      </c>
      <c r="E3779" s="32">
        <v>968.49</v>
      </c>
      <c r="F3779" s="15">
        <f>IFERROR(PRD[[#This Row],[VALOR]]/PRD[[#This Row],[KGS]],"")</f>
        <v>2.5964879356568367</v>
      </c>
    </row>
    <row r="3780" spans="1:6" x14ac:dyDescent="0.25">
      <c r="A3780" s="21">
        <v>8040049</v>
      </c>
      <c r="B3780" s="1">
        <v>45383</v>
      </c>
      <c r="C3780" t="s">
        <v>643</v>
      </c>
      <c r="D3780" s="18">
        <v>64</v>
      </c>
      <c r="E3780" s="32">
        <v>755.2</v>
      </c>
      <c r="F3780" s="15">
        <f>IFERROR(PRD[[#This Row],[VALOR]]/PRD[[#This Row],[KGS]],"")</f>
        <v>11.8</v>
      </c>
    </row>
    <row r="3781" spans="1:6" x14ac:dyDescent="0.25">
      <c r="A3781" s="21">
        <v>8040051</v>
      </c>
      <c r="B3781" s="1">
        <v>45383</v>
      </c>
      <c r="C3781" t="s">
        <v>644</v>
      </c>
      <c r="D3781" s="18">
        <v>1.8</v>
      </c>
      <c r="E3781" s="32">
        <v>19.350000000000001</v>
      </c>
      <c r="F3781" s="15">
        <f>IFERROR(PRD[[#This Row],[VALOR]]/PRD[[#This Row],[KGS]],"")</f>
        <v>10.75</v>
      </c>
    </row>
    <row r="3782" spans="1:6" x14ac:dyDescent="0.25">
      <c r="A3782" s="21">
        <v>8040053</v>
      </c>
      <c r="B3782" s="1">
        <v>45383</v>
      </c>
      <c r="C3782" t="s">
        <v>747</v>
      </c>
      <c r="D3782" s="18">
        <v>12.6</v>
      </c>
      <c r="E3782" s="32">
        <v>134.82</v>
      </c>
      <c r="F3782" s="15">
        <f>IFERROR(PRD[[#This Row],[VALOR]]/PRD[[#This Row],[KGS]],"")</f>
        <v>10.7</v>
      </c>
    </row>
    <row r="3783" spans="1:6" x14ac:dyDescent="0.25">
      <c r="A3783" s="21">
        <v>8040057</v>
      </c>
      <c r="B3783" s="1">
        <v>45383</v>
      </c>
      <c r="C3783" t="s">
        <v>734</v>
      </c>
      <c r="D3783" s="18">
        <v>0.4</v>
      </c>
      <c r="E3783" s="32">
        <v>1.92</v>
      </c>
      <c r="F3783" s="15">
        <f>IFERROR(PRD[[#This Row],[VALOR]]/PRD[[#This Row],[KGS]],"")</f>
        <v>4.8</v>
      </c>
    </row>
    <row r="3784" spans="1:6" x14ac:dyDescent="0.25">
      <c r="A3784" s="21">
        <v>8040060</v>
      </c>
      <c r="B3784" s="1">
        <v>45383</v>
      </c>
      <c r="C3784" t="s">
        <v>769</v>
      </c>
      <c r="D3784" s="18">
        <v>144</v>
      </c>
      <c r="E3784" s="32">
        <v>1872</v>
      </c>
      <c r="F3784" s="15">
        <f>IFERROR(PRD[[#This Row],[VALOR]]/PRD[[#This Row],[KGS]],"")</f>
        <v>13</v>
      </c>
    </row>
    <row r="3785" spans="1:6" x14ac:dyDescent="0.25">
      <c r="A3785" s="21">
        <v>8040067</v>
      </c>
      <c r="B3785" s="1">
        <v>45383</v>
      </c>
      <c r="C3785" t="s">
        <v>983</v>
      </c>
      <c r="D3785" s="18">
        <v>32</v>
      </c>
      <c r="E3785" s="32">
        <v>512</v>
      </c>
      <c r="F3785" s="15">
        <f>IFERROR(PRD[[#This Row],[VALOR]]/PRD[[#This Row],[KGS]],"")</f>
        <v>16</v>
      </c>
    </row>
    <row r="3786" spans="1:6" x14ac:dyDescent="0.25">
      <c r="A3786" s="21">
        <v>8040068</v>
      </c>
      <c r="B3786" s="1">
        <v>45383</v>
      </c>
      <c r="C3786" t="s">
        <v>1016</v>
      </c>
      <c r="D3786" s="18">
        <v>60</v>
      </c>
      <c r="E3786" s="32">
        <v>477</v>
      </c>
      <c r="F3786" s="15">
        <f>IFERROR(PRD[[#This Row],[VALOR]]/PRD[[#This Row],[KGS]],"")</f>
        <v>7.95</v>
      </c>
    </row>
    <row r="3787" spans="1:6" x14ac:dyDescent="0.25">
      <c r="A3787" s="21">
        <v>8050004</v>
      </c>
      <c r="B3787" s="1">
        <v>45383</v>
      </c>
      <c r="C3787" t="s">
        <v>324</v>
      </c>
      <c r="D3787" s="18">
        <v>4</v>
      </c>
      <c r="E3787" s="32">
        <v>21.8</v>
      </c>
      <c r="F3787" s="15">
        <f>IFERROR(PRD[[#This Row],[VALOR]]/PRD[[#This Row],[KGS]],"")</f>
        <v>5.45</v>
      </c>
    </row>
    <row r="3788" spans="1:6" x14ac:dyDescent="0.25">
      <c r="A3788" s="21">
        <v>8050008</v>
      </c>
      <c r="B3788" s="1">
        <v>45383</v>
      </c>
      <c r="C3788" t="s">
        <v>651</v>
      </c>
      <c r="D3788" s="18">
        <v>100</v>
      </c>
      <c r="E3788" s="32">
        <v>414.58</v>
      </c>
      <c r="F3788" s="15">
        <f>IFERROR(PRD[[#This Row],[VALOR]]/PRD[[#This Row],[KGS]],"")</f>
        <v>4.1457999999999995</v>
      </c>
    </row>
    <row r="3789" spans="1:6" x14ac:dyDescent="0.25">
      <c r="A3789" s="21">
        <v>8060003</v>
      </c>
      <c r="B3789" s="1">
        <v>45383</v>
      </c>
      <c r="C3789" t="s">
        <v>771</v>
      </c>
      <c r="D3789" s="18">
        <v>216</v>
      </c>
      <c r="E3789" s="32">
        <v>1058.4000000000001</v>
      </c>
      <c r="F3789" s="15">
        <f>IFERROR(PRD[[#This Row],[VALOR]]/PRD[[#This Row],[KGS]],"")</f>
        <v>4.9000000000000004</v>
      </c>
    </row>
    <row r="3790" spans="1:6" x14ac:dyDescent="0.25">
      <c r="A3790" s="21">
        <v>8070013</v>
      </c>
      <c r="B3790" s="1">
        <v>45383</v>
      </c>
      <c r="C3790" t="s">
        <v>986</v>
      </c>
      <c r="D3790" s="18">
        <v>6.38</v>
      </c>
      <c r="E3790" s="32">
        <v>37</v>
      </c>
      <c r="F3790" s="15">
        <f>IFERROR(PRD[[#This Row],[VALOR]]/PRD[[#This Row],[KGS]],"")</f>
        <v>5.7993730407523509</v>
      </c>
    </row>
    <row r="3791" spans="1:6" x14ac:dyDescent="0.25">
      <c r="A3791" s="21">
        <v>8070015</v>
      </c>
      <c r="B3791" s="1">
        <v>45383</v>
      </c>
      <c r="C3791" t="s">
        <v>373</v>
      </c>
      <c r="D3791" s="18">
        <v>5.6000000000000005</v>
      </c>
      <c r="E3791" s="32">
        <v>11.14</v>
      </c>
      <c r="F3791" s="15">
        <f>IFERROR(PRD[[#This Row],[VALOR]]/PRD[[#This Row],[KGS]],"")</f>
        <v>1.9892857142857141</v>
      </c>
    </row>
    <row r="3792" spans="1:6" x14ac:dyDescent="0.25">
      <c r="A3792" s="21">
        <v>8070016</v>
      </c>
      <c r="B3792" s="1">
        <v>45383</v>
      </c>
      <c r="C3792" t="s">
        <v>395</v>
      </c>
      <c r="D3792" s="18">
        <v>1800</v>
      </c>
      <c r="E3792" s="32">
        <v>10252.799999999999</v>
      </c>
      <c r="F3792" s="15">
        <f>IFERROR(PRD[[#This Row],[VALOR]]/PRD[[#This Row],[KGS]],"")</f>
        <v>5.6959999999999997</v>
      </c>
    </row>
    <row r="3793" spans="1:6" x14ac:dyDescent="0.25">
      <c r="A3793" s="21">
        <v>8070018</v>
      </c>
      <c r="B3793" s="1">
        <v>45383</v>
      </c>
      <c r="C3793" t="s">
        <v>397</v>
      </c>
      <c r="D3793" s="18">
        <v>9.7799999999999994</v>
      </c>
      <c r="E3793" s="32">
        <v>37.56</v>
      </c>
      <c r="F3793" s="15">
        <f>IFERROR(PRD[[#This Row],[VALOR]]/PRD[[#This Row],[KGS]],"")</f>
        <v>3.8404907975460127</v>
      </c>
    </row>
    <row r="3794" spans="1:6" x14ac:dyDescent="0.25">
      <c r="A3794" s="21">
        <v>8070026</v>
      </c>
      <c r="B3794" s="1">
        <v>45383</v>
      </c>
      <c r="C3794" t="s">
        <v>584</v>
      </c>
      <c r="D3794" s="18">
        <v>3080</v>
      </c>
      <c r="E3794" s="32">
        <v>9414</v>
      </c>
      <c r="F3794" s="15">
        <f>IFERROR(PRD[[#This Row],[VALOR]]/PRD[[#This Row],[KGS]],"")</f>
        <v>3.0564935064935064</v>
      </c>
    </row>
    <row r="3795" spans="1:6" x14ac:dyDescent="0.25">
      <c r="A3795" s="21">
        <v>8070052</v>
      </c>
      <c r="B3795" s="1">
        <v>45383</v>
      </c>
      <c r="C3795" t="s">
        <v>751</v>
      </c>
      <c r="D3795" s="18">
        <v>1.5</v>
      </c>
      <c r="E3795" s="32">
        <v>4.82</v>
      </c>
      <c r="F3795" s="15">
        <f>IFERROR(PRD[[#This Row],[VALOR]]/PRD[[#This Row],[KGS]],"")</f>
        <v>3.2133333333333334</v>
      </c>
    </row>
    <row r="3796" spans="1:6" x14ac:dyDescent="0.25">
      <c r="A3796" s="21">
        <v>8070054</v>
      </c>
      <c r="B3796" s="1">
        <v>45383</v>
      </c>
      <c r="C3796" t="s">
        <v>662</v>
      </c>
      <c r="D3796" s="18">
        <v>0.66</v>
      </c>
      <c r="E3796" s="32">
        <v>4.96</v>
      </c>
      <c r="F3796" s="15">
        <f>IFERROR(PRD[[#This Row],[VALOR]]/PRD[[#This Row],[KGS]],"")</f>
        <v>7.5151515151515147</v>
      </c>
    </row>
    <row r="3797" spans="1:6" x14ac:dyDescent="0.25">
      <c r="A3797" s="21">
        <v>8070060</v>
      </c>
      <c r="B3797" s="1">
        <v>45383</v>
      </c>
      <c r="C3797" t="s">
        <v>701</v>
      </c>
      <c r="D3797" s="18">
        <v>17788</v>
      </c>
      <c r="E3797" s="32">
        <v>35899</v>
      </c>
      <c r="F3797" s="15">
        <f>IFERROR(PRD[[#This Row],[VALOR]]/PRD[[#This Row],[KGS]],"")</f>
        <v>2.0181583089723407</v>
      </c>
    </row>
    <row r="3798" spans="1:6" x14ac:dyDescent="0.25">
      <c r="A3798" s="21">
        <v>8070061</v>
      </c>
      <c r="B3798" s="1">
        <v>45383</v>
      </c>
      <c r="C3798" t="s">
        <v>752</v>
      </c>
      <c r="D3798" s="18">
        <v>3370</v>
      </c>
      <c r="E3798" s="32">
        <v>7078</v>
      </c>
      <c r="F3798" s="15">
        <f>IFERROR(PRD[[#This Row],[VALOR]]/PRD[[#This Row],[KGS]],"")</f>
        <v>2.1002967359050446</v>
      </c>
    </row>
    <row r="3799" spans="1:6" x14ac:dyDescent="0.25">
      <c r="A3799" s="21">
        <v>8070063</v>
      </c>
      <c r="B3799" s="1">
        <v>45383</v>
      </c>
      <c r="C3799" t="s">
        <v>988</v>
      </c>
      <c r="D3799" s="18">
        <v>1490</v>
      </c>
      <c r="E3799" s="32">
        <v>4503.8</v>
      </c>
      <c r="F3799" s="15">
        <f>IFERROR(PRD[[#This Row],[VALOR]]/PRD[[#This Row],[KGS]],"")</f>
        <v>3.0226845637583892</v>
      </c>
    </row>
    <row r="3800" spans="1:6" x14ac:dyDescent="0.25">
      <c r="A3800" s="21">
        <v>8070069</v>
      </c>
      <c r="B3800" s="1">
        <v>45383</v>
      </c>
      <c r="C3800" t="s">
        <v>774</v>
      </c>
      <c r="D3800" s="18">
        <v>14</v>
      </c>
      <c r="E3800" s="32">
        <v>16.8</v>
      </c>
      <c r="F3800" s="15">
        <f>IFERROR(PRD[[#This Row],[VALOR]]/PRD[[#This Row],[KGS]],"")</f>
        <v>1.2</v>
      </c>
    </row>
    <row r="3801" spans="1:6" x14ac:dyDescent="0.25">
      <c r="A3801" s="21">
        <v>8120002</v>
      </c>
      <c r="B3801" s="1">
        <v>45383</v>
      </c>
      <c r="C3801" t="s">
        <v>501</v>
      </c>
      <c r="D3801" s="18">
        <v>2</v>
      </c>
      <c r="E3801" s="32">
        <v>8.1999999999999993</v>
      </c>
      <c r="F3801" s="15">
        <f>IFERROR(PRD[[#This Row],[VALOR]]/PRD[[#This Row],[KGS]],"")</f>
        <v>4.0999999999999996</v>
      </c>
    </row>
    <row r="3802" spans="1:6" x14ac:dyDescent="0.25">
      <c r="A3802" s="21">
        <v>8120003</v>
      </c>
      <c r="B3802" s="1">
        <v>45383</v>
      </c>
      <c r="C3802" t="s">
        <v>376</v>
      </c>
      <c r="D3802" s="18">
        <v>238</v>
      </c>
      <c r="E3802" s="32">
        <v>618.79999999999995</v>
      </c>
      <c r="F3802" s="15">
        <f>IFERROR(PRD[[#This Row],[VALOR]]/PRD[[#This Row],[KGS]],"")</f>
        <v>2.5999999999999996</v>
      </c>
    </row>
    <row r="3803" spans="1:6" x14ac:dyDescent="0.25">
      <c r="A3803" s="21">
        <v>8120004</v>
      </c>
      <c r="B3803" s="1">
        <v>45383</v>
      </c>
      <c r="C3803" t="s">
        <v>406</v>
      </c>
      <c r="D3803" s="18">
        <v>9.8000000000000007</v>
      </c>
      <c r="E3803" s="32">
        <v>60.07</v>
      </c>
      <c r="F3803" s="15">
        <f>IFERROR(PRD[[#This Row],[VALOR]]/PRD[[#This Row],[KGS]],"")</f>
        <v>6.1295918367346935</v>
      </c>
    </row>
    <row r="3804" spans="1:6" x14ac:dyDescent="0.25">
      <c r="A3804" s="21">
        <v>8120006</v>
      </c>
      <c r="B3804" s="1">
        <v>45383</v>
      </c>
      <c r="C3804" t="s">
        <v>408</v>
      </c>
      <c r="D3804" s="18">
        <v>15.83</v>
      </c>
      <c r="E3804" s="32">
        <v>125.06</v>
      </c>
      <c r="F3804" s="15">
        <f>IFERROR(PRD[[#This Row],[VALOR]]/PRD[[#This Row],[KGS]],"")</f>
        <v>7.9001895135818065</v>
      </c>
    </row>
    <row r="3805" spans="1:6" x14ac:dyDescent="0.25">
      <c r="A3805" s="21">
        <v>8120007</v>
      </c>
      <c r="B3805" s="1">
        <v>45383</v>
      </c>
      <c r="C3805" t="s">
        <v>377</v>
      </c>
      <c r="D3805" s="18">
        <v>-1063.1300000000001</v>
      </c>
      <c r="E3805" s="32">
        <v>-8499.68</v>
      </c>
      <c r="F3805" s="15">
        <f>IFERROR(PRD[[#This Row],[VALOR]]/PRD[[#This Row],[KGS]],"")</f>
        <v>7.9949582835589244</v>
      </c>
    </row>
    <row r="3806" spans="1:6" x14ac:dyDescent="0.25">
      <c r="A3806" s="21">
        <v>8120008</v>
      </c>
      <c r="B3806" s="1">
        <v>45383</v>
      </c>
      <c r="C3806" t="s">
        <v>409</v>
      </c>
      <c r="D3806" s="18">
        <v>-454.75</v>
      </c>
      <c r="E3806" s="32">
        <v>-4209.63</v>
      </c>
      <c r="F3806" s="15">
        <f>IFERROR(PRD[[#This Row],[VALOR]]/PRD[[#This Row],[KGS]],"")</f>
        <v>9.2570203408466192</v>
      </c>
    </row>
    <row r="3807" spans="1:6" x14ac:dyDescent="0.25">
      <c r="A3807" s="21">
        <v>8120031</v>
      </c>
      <c r="B3807" s="1">
        <v>45383</v>
      </c>
      <c r="C3807" t="s">
        <v>782</v>
      </c>
      <c r="D3807" s="18">
        <v>10</v>
      </c>
      <c r="E3807" s="32">
        <v>42</v>
      </c>
      <c r="F3807" s="15">
        <f>IFERROR(PRD[[#This Row],[VALOR]]/PRD[[#This Row],[KGS]],"")</f>
        <v>4.2</v>
      </c>
    </row>
    <row r="3808" spans="1:6" x14ac:dyDescent="0.25">
      <c r="A3808" s="21">
        <v>8120038</v>
      </c>
      <c r="B3808" s="1">
        <v>45383</v>
      </c>
      <c r="C3808" t="s">
        <v>1017</v>
      </c>
      <c r="D3808" s="18">
        <v>100</v>
      </c>
      <c r="E3808" s="32">
        <v>584</v>
      </c>
      <c r="F3808" s="15">
        <f>IFERROR(PRD[[#This Row],[VALOR]]/PRD[[#This Row],[KGS]],"")</f>
        <v>5.84</v>
      </c>
    </row>
    <row r="3809" spans="1:6" x14ac:dyDescent="0.25">
      <c r="A3809" s="21">
        <v>8120039</v>
      </c>
      <c r="B3809" s="1">
        <v>45383</v>
      </c>
      <c r="C3809" t="s">
        <v>755</v>
      </c>
      <c r="D3809" s="18">
        <v>100</v>
      </c>
      <c r="E3809" s="32">
        <v>470</v>
      </c>
      <c r="F3809" s="15">
        <f>IFERROR(PRD[[#This Row],[VALOR]]/PRD[[#This Row],[KGS]],"")</f>
        <v>4.7</v>
      </c>
    </row>
    <row r="3810" spans="1:6" x14ac:dyDescent="0.25">
      <c r="A3810" s="21">
        <v>8120040</v>
      </c>
      <c r="B3810" s="1">
        <v>45383</v>
      </c>
      <c r="C3810" t="s">
        <v>756</v>
      </c>
      <c r="D3810" s="18">
        <v>960</v>
      </c>
      <c r="E3810" s="32">
        <v>3936</v>
      </c>
      <c r="F3810" s="15">
        <f>IFERROR(PRD[[#This Row],[VALOR]]/PRD[[#This Row],[KGS]],"")</f>
        <v>4.0999999999999996</v>
      </c>
    </row>
    <row r="3811" spans="1:6" x14ac:dyDescent="0.25">
      <c r="A3811" s="21">
        <v>8120052</v>
      </c>
      <c r="B3811" s="1">
        <v>45383</v>
      </c>
      <c r="C3811" t="s">
        <v>783</v>
      </c>
      <c r="D3811" s="18">
        <v>28</v>
      </c>
      <c r="E3811" s="32">
        <v>96.6</v>
      </c>
      <c r="F3811" s="15">
        <f>IFERROR(PRD[[#This Row],[VALOR]]/PRD[[#This Row],[KGS]],"")</f>
        <v>3.4499999999999997</v>
      </c>
    </row>
    <row r="3812" spans="1:6" x14ac:dyDescent="0.25">
      <c r="A3812" s="21">
        <v>8130001</v>
      </c>
      <c r="B3812" s="1">
        <v>45383</v>
      </c>
      <c r="C3812" t="s">
        <v>380</v>
      </c>
      <c r="D3812" s="18">
        <v>1</v>
      </c>
      <c r="E3812" s="32">
        <v>2.2599999999999998</v>
      </c>
      <c r="F3812" s="15">
        <f>IFERROR(PRD[[#This Row],[VALOR]]/PRD[[#This Row],[KGS]],"")</f>
        <v>2.2599999999999998</v>
      </c>
    </row>
    <row r="3813" spans="1:6" x14ac:dyDescent="0.25">
      <c r="A3813" s="21">
        <v>8130009</v>
      </c>
      <c r="B3813" s="1">
        <v>45383</v>
      </c>
      <c r="C3813" t="s">
        <v>738</v>
      </c>
      <c r="D3813" s="18">
        <v>186</v>
      </c>
      <c r="E3813" s="32">
        <v>329.76</v>
      </c>
      <c r="F3813" s="15">
        <f>IFERROR(PRD[[#This Row],[VALOR]]/PRD[[#This Row],[KGS]],"")</f>
        <v>1.7729032258064517</v>
      </c>
    </row>
    <row r="3814" spans="1:6" x14ac:dyDescent="0.25">
      <c r="A3814" s="21">
        <v>8130014</v>
      </c>
      <c r="B3814" s="1">
        <v>45383</v>
      </c>
      <c r="C3814" t="s">
        <v>417</v>
      </c>
      <c r="D3814" s="18">
        <v>64</v>
      </c>
      <c r="E3814" s="32">
        <v>252</v>
      </c>
      <c r="F3814" s="15">
        <f>IFERROR(PRD[[#This Row],[VALOR]]/PRD[[#This Row],[KGS]],"")</f>
        <v>3.9375</v>
      </c>
    </row>
    <row r="3815" spans="1:6" x14ac:dyDescent="0.25">
      <c r="A3815" s="21">
        <v>8130015</v>
      </c>
      <c r="B3815" s="1">
        <v>45383</v>
      </c>
      <c r="C3815" t="s">
        <v>622</v>
      </c>
      <c r="D3815" s="18">
        <v>24</v>
      </c>
      <c r="E3815" s="32">
        <v>85.2</v>
      </c>
      <c r="F3815" s="15">
        <f>IFERROR(PRD[[#This Row],[VALOR]]/PRD[[#This Row],[KGS]],"")</f>
        <v>3.5500000000000003</v>
      </c>
    </row>
    <row r="3816" spans="1:6" x14ac:dyDescent="0.25">
      <c r="A3816" s="21">
        <v>8130017</v>
      </c>
      <c r="B3816" s="1">
        <v>45383</v>
      </c>
      <c r="C3816" t="s">
        <v>795</v>
      </c>
      <c r="D3816" s="18">
        <v>90</v>
      </c>
      <c r="E3816" s="32">
        <v>252.9</v>
      </c>
      <c r="F3816" s="15">
        <f>IFERROR(PRD[[#This Row],[VALOR]]/PRD[[#This Row],[KGS]],"")</f>
        <v>2.81</v>
      </c>
    </row>
    <row r="3817" spans="1:6" x14ac:dyDescent="0.25">
      <c r="A3817" s="21">
        <v>8140006</v>
      </c>
      <c r="B3817" s="1">
        <v>45383</v>
      </c>
      <c r="C3817" t="s">
        <v>423</v>
      </c>
      <c r="D3817" s="18">
        <v>5</v>
      </c>
      <c r="E3817" s="32">
        <v>11.6</v>
      </c>
      <c r="F3817" s="15">
        <f>IFERROR(PRD[[#This Row],[VALOR]]/PRD[[#This Row],[KGS]],"")</f>
        <v>2.3199999999999998</v>
      </c>
    </row>
    <row r="3818" spans="1:6" x14ac:dyDescent="0.25">
      <c r="A3818" s="21">
        <v>8140010</v>
      </c>
      <c r="B3818" s="1">
        <v>45383</v>
      </c>
      <c r="C3818" t="s">
        <v>424</v>
      </c>
      <c r="D3818" s="18">
        <v>5450</v>
      </c>
      <c r="E3818" s="32">
        <v>10738.5</v>
      </c>
      <c r="F3818" s="15">
        <f>IFERROR(PRD[[#This Row],[VALOR]]/PRD[[#This Row],[KGS]],"")</f>
        <v>1.9703669724770643</v>
      </c>
    </row>
    <row r="3819" spans="1:6" x14ac:dyDescent="0.25">
      <c r="A3819" s="21">
        <v>8140013</v>
      </c>
      <c r="B3819" s="1">
        <v>45383</v>
      </c>
      <c r="C3819" t="s">
        <v>674</v>
      </c>
      <c r="D3819" s="18">
        <v>1683</v>
      </c>
      <c r="E3819" s="32">
        <v>902.03</v>
      </c>
      <c r="F3819" s="15">
        <f>IFERROR(PRD[[#This Row],[VALOR]]/PRD[[#This Row],[KGS]],"")</f>
        <v>0.53596553773024358</v>
      </c>
    </row>
    <row r="3820" spans="1:6" x14ac:dyDescent="0.25">
      <c r="A3820" s="21">
        <v>8140014</v>
      </c>
      <c r="B3820" s="1">
        <v>45383</v>
      </c>
      <c r="C3820" t="s">
        <v>675</v>
      </c>
      <c r="D3820" s="18">
        <v>100</v>
      </c>
      <c r="E3820" s="32">
        <v>89</v>
      </c>
      <c r="F3820" s="15">
        <f>IFERROR(PRD[[#This Row],[VALOR]]/PRD[[#This Row],[KGS]],"")</f>
        <v>0.89</v>
      </c>
    </row>
    <row r="3821" spans="1:6" x14ac:dyDescent="0.25">
      <c r="A3821" s="21">
        <v>8140015</v>
      </c>
      <c r="B3821" s="1">
        <v>45383</v>
      </c>
      <c r="C3821" t="s">
        <v>676</v>
      </c>
      <c r="D3821" s="18">
        <v>1200</v>
      </c>
      <c r="E3821" s="32">
        <v>1082</v>
      </c>
      <c r="F3821" s="15">
        <f>IFERROR(PRD[[#This Row],[VALOR]]/PRD[[#This Row],[KGS]],"")</f>
        <v>0.90166666666666662</v>
      </c>
    </row>
    <row r="3822" spans="1:6" x14ac:dyDescent="0.25">
      <c r="A3822" s="21">
        <v>8140016</v>
      </c>
      <c r="B3822" s="1">
        <v>45383</v>
      </c>
      <c r="C3822" t="s">
        <v>677</v>
      </c>
      <c r="D3822" s="18">
        <v>1006</v>
      </c>
      <c r="E3822" s="32">
        <v>3475.54</v>
      </c>
      <c r="F3822" s="15">
        <f>IFERROR(PRD[[#This Row],[VALOR]]/PRD[[#This Row],[KGS]],"")</f>
        <v>3.4548111332007951</v>
      </c>
    </row>
    <row r="3823" spans="1:6" x14ac:dyDescent="0.25">
      <c r="A3823" s="21">
        <v>8140025</v>
      </c>
      <c r="B3823" s="1">
        <v>45383</v>
      </c>
      <c r="C3823" t="s">
        <v>1018</v>
      </c>
      <c r="D3823" s="18">
        <v>16.2</v>
      </c>
      <c r="E3823" s="32">
        <v>84.24</v>
      </c>
      <c r="F3823" s="15">
        <f>IFERROR(PRD[[#This Row],[VALOR]]/PRD[[#This Row],[KGS]],"")</f>
        <v>5.2</v>
      </c>
    </row>
    <row r="3824" spans="1:6" x14ac:dyDescent="0.25">
      <c r="A3824" s="21">
        <v>8140027</v>
      </c>
      <c r="B3824" s="1">
        <v>45383</v>
      </c>
      <c r="C3824" t="s">
        <v>1019</v>
      </c>
      <c r="D3824" s="18">
        <v>18</v>
      </c>
      <c r="E3824" s="32">
        <v>75.599999999999994</v>
      </c>
      <c r="F3824" s="15">
        <f>IFERROR(PRD[[#This Row],[VALOR]]/PRD[[#This Row],[KGS]],"")</f>
        <v>4.1999999999999993</v>
      </c>
    </row>
    <row r="3825" spans="1:6" x14ac:dyDescent="0.25">
      <c r="A3825" s="21">
        <v>8150001</v>
      </c>
      <c r="B3825" s="1">
        <v>45383</v>
      </c>
      <c r="C3825" t="s">
        <v>382</v>
      </c>
      <c r="D3825" s="18">
        <v>270</v>
      </c>
      <c r="E3825" s="32">
        <v>3280.5</v>
      </c>
      <c r="F3825" s="15">
        <f>IFERROR(PRD[[#This Row],[VALOR]]/PRD[[#This Row],[KGS]],"")</f>
        <v>12.15</v>
      </c>
    </row>
    <row r="3826" spans="1:6" x14ac:dyDescent="0.25">
      <c r="A3826" s="21">
        <v>8150002</v>
      </c>
      <c r="B3826" s="1">
        <v>45383</v>
      </c>
      <c r="C3826" t="s">
        <v>383</v>
      </c>
      <c r="D3826" s="18">
        <v>1173.75</v>
      </c>
      <c r="E3826" s="32">
        <v>9149.99</v>
      </c>
      <c r="F3826" s="15">
        <f>IFERROR(PRD[[#This Row],[VALOR]]/PRD[[#This Row],[KGS]],"")</f>
        <v>7.7955186368477101</v>
      </c>
    </row>
    <row r="3827" spans="1:6" x14ac:dyDescent="0.25">
      <c r="A3827" s="21">
        <v>8150004</v>
      </c>
      <c r="B3827" s="1">
        <v>45383</v>
      </c>
      <c r="C3827" t="s">
        <v>625</v>
      </c>
      <c r="D3827" s="18">
        <v>2320.75</v>
      </c>
      <c r="E3827" s="32">
        <v>13468.53</v>
      </c>
      <c r="F3827" s="15">
        <f>IFERROR(PRD[[#This Row],[VALOR]]/PRD[[#This Row],[KGS]],"")</f>
        <v>5.8035247226112254</v>
      </c>
    </row>
    <row r="3828" spans="1:6" x14ac:dyDescent="0.25">
      <c r="A3828" s="21">
        <v>8150005</v>
      </c>
      <c r="B3828" s="1">
        <v>45383</v>
      </c>
      <c r="C3828" t="s">
        <v>386</v>
      </c>
      <c r="D3828" s="18">
        <v>2240</v>
      </c>
      <c r="E3828" s="32">
        <v>11424</v>
      </c>
      <c r="F3828" s="15">
        <f>IFERROR(PRD[[#This Row],[VALOR]]/PRD[[#This Row],[KGS]],"")</f>
        <v>5.0999999999999996</v>
      </c>
    </row>
    <row r="3829" spans="1:6" x14ac:dyDescent="0.25">
      <c r="A3829" s="21">
        <v>8150012</v>
      </c>
      <c r="B3829" s="1">
        <v>45383</v>
      </c>
      <c r="C3829" t="s">
        <v>626</v>
      </c>
      <c r="D3829" s="18">
        <v>1</v>
      </c>
      <c r="E3829" s="32">
        <v>5.49</v>
      </c>
      <c r="F3829" s="15">
        <f>IFERROR(PRD[[#This Row],[VALOR]]/PRD[[#This Row],[KGS]],"")</f>
        <v>5.49</v>
      </c>
    </row>
    <row r="3830" spans="1:6" x14ac:dyDescent="0.25">
      <c r="A3830" s="21">
        <v>8150013</v>
      </c>
      <c r="B3830" s="1">
        <v>45383</v>
      </c>
      <c r="C3830" t="s">
        <v>536</v>
      </c>
      <c r="D3830" s="18">
        <v>1290</v>
      </c>
      <c r="E3830" s="32">
        <v>5293</v>
      </c>
      <c r="F3830" s="15">
        <f>IFERROR(PRD[[#This Row],[VALOR]]/PRD[[#This Row],[KGS]],"")</f>
        <v>4.1031007751937985</v>
      </c>
    </row>
    <row r="3831" spans="1:6" x14ac:dyDescent="0.25">
      <c r="A3831" s="21">
        <v>8150014</v>
      </c>
      <c r="B3831" s="1">
        <v>45383</v>
      </c>
      <c r="C3831" t="s">
        <v>538</v>
      </c>
      <c r="D3831" s="18">
        <v>37</v>
      </c>
      <c r="E3831" s="32">
        <v>149.85</v>
      </c>
      <c r="F3831" s="15">
        <f>IFERROR(PRD[[#This Row],[VALOR]]/PRD[[#This Row],[KGS]],"")</f>
        <v>4.05</v>
      </c>
    </row>
    <row r="3832" spans="1:6" x14ac:dyDescent="0.25">
      <c r="A3832" s="21">
        <v>8150015</v>
      </c>
      <c r="B3832" s="1">
        <v>45383</v>
      </c>
      <c r="C3832" t="s">
        <v>628</v>
      </c>
      <c r="D3832" s="18">
        <v>860</v>
      </c>
      <c r="E3832" s="32">
        <v>2838</v>
      </c>
      <c r="F3832" s="15">
        <f>IFERROR(PRD[[#This Row],[VALOR]]/PRD[[#This Row],[KGS]],"")</f>
        <v>3.3</v>
      </c>
    </row>
    <row r="3833" spans="1:6" x14ac:dyDescent="0.25">
      <c r="A3833" s="21">
        <v>8150020</v>
      </c>
      <c r="B3833" s="1">
        <v>45383</v>
      </c>
      <c r="C3833" t="s">
        <v>706</v>
      </c>
      <c r="D3833" s="18">
        <v>1171</v>
      </c>
      <c r="E3833" s="32">
        <v>9338.36</v>
      </c>
      <c r="F3833" s="15">
        <f>IFERROR(PRD[[#This Row],[VALOR]]/PRD[[#This Row],[KGS]],"")</f>
        <v>7.97468830059778</v>
      </c>
    </row>
    <row r="3834" spans="1:6" x14ac:dyDescent="0.25">
      <c r="A3834" s="21">
        <v>8150021</v>
      </c>
      <c r="B3834" s="1">
        <v>45383</v>
      </c>
      <c r="C3834" t="s">
        <v>739</v>
      </c>
      <c r="D3834" s="18">
        <v>1030</v>
      </c>
      <c r="E3834" s="32">
        <v>7467.5</v>
      </c>
      <c r="F3834" s="15">
        <f>IFERROR(PRD[[#This Row],[VALOR]]/PRD[[#This Row],[KGS]],"")</f>
        <v>7.25</v>
      </c>
    </row>
    <row r="3835" spans="1:6" x14ac:dyDescent="0.25">
      <c r="A3835" s="21">
        <v>8150027</v>
      </c>
      <c r="B3835" s="1">
        <v>45383</v>
      </c>
      <c r="C3835" t="s">
        <v>991</v>
      </c>
      <c r="D3835" s="18">
        <v>1120</v>
      </c>
      <c r="E3835" s="32">
        <v>4816</v>
      </c>
      <c r="F3835" s="15">
        <f>IFERROR(PRD[[#This Row],[VALOR]]/PRD[[#This Row],[KGS]],"")</f>
        <v>4.3</v>
      </c>
    </row>
  </sheetData>
  <conditionalFormatting sqref="L4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2:A318 A1855:A2802" numberStoredAsText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509252-BA60-4A66-829D-49045BD12296}">
          <x14:formula1>
            <xm:f>Prod!$C$4:$C$535</xm:f>
          </x14:formula1>
          <xm:sqref>H2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EEF4-45C0-488C-B9FC-8C2CA61E42CF}">
  <dimension ref="C3:D690"/>
  <sheetViews>
    <sheetView workbookViewId="0">
      <selection activeCell="C19" sqref="C19"/>
    </sheetView>
  </sheetViews>
  <sheetFormatPr defaultRowHeight="15" x14ac:dyDescent="0.25"/>
  <cols>
    <col min="3" max="3" width="41.5703125" bestFit="1" customWidth="1"/>
    <col min="4" max="4" width="8.85546875" style="25"/>
  </cols>
  <sheetData>
    <row r="3" spans="3:4" x14ac:dyDescent="0.25">
      <c r="C3" s="24" t="s">
        <v>897</v>
      </c>
      <c r="D3" s="25" t="s">
        <v>898</v>
      </c>
    </row>
    <row r="4" spans="3:4" x14ac:dyDescent="0.25">
      <c r="C4" t="str" cm="1">
        <f t="array" ref="C4:C690">_xlfn.UNIQUE(PRD[PRODUTO])</f>
        <v>BUCHO CRU</v>
      </c>
      <c r="D4" s="25" cm="1">
        <f t="array" ref="D4:D20">_xlfn.UNIQUE(PRD[DATA])</f>
        <v>44896</v>
      </c>
    </row>
    <row r="5" spans="3:4" x14ac:dyDescent="0.25">
      <c r="C5" t="str">
        <v>CABEÇA C/ OSSO</v>
      </c>
      <c r="D5" s="25">
        <v>44927</v>
      </c>
    </row>
    <row r="6" spans="3:4" x14ac:dyDescent="0.25">
      <c r="C6" t="str">
        <v>CABEÇA S/OSSO</v>
      </c>
      <c r="D6" s="25">
        <v>44958</v>
      </c>
    </row>
    <row r="7" spans="3:4" x14ac:dyDescent="0.25">
      <c r="C7" t="str">
        <v>BOCHECHAS</v>
      </c>
      <c r="D7" s="25">
        <v>44986</v>
      </c>
    </row>
    <row r="8" spans="3:4" x14ac:dyDescent="0.25">
      <c r="C8" t="str">
        <v>BOCHECHAS CONGELADAS</v>
      </c>
      <c r="D8" s="25">
        <v>45017</v>
      </c>
    </row>
    <row r="9" spans="3:4" x14ac:dyDescent="0.25">
      <c r="C9" t="str">
        <v>CHISPE CURTO MÃO</v>
      </c>
      <c r="D9" s="25">
        <v>45047</v>
      </c>
    </row>
    <row r="10" spans="3:4" x14ac:dyDescent="0.25">
      <c r="C10" t="str">
        <v>CHISPE CURTO DO PÉ</v>
      </c>
      <c r="D10" s="25">
        <v>45078</v>
      </c>
    </row>
    <row r="11" spans="3:4" x14ac:dyDescent="0.25">
      <c r="C11" t="str">
        <v>COLADAS C/ FIGADO</v>
      </c>
      <c r="D11" s="25">
        <v>45108</v>
      </c>
    </row>
    <row r="12" spans="3:4" x14ac:dyDescent="0.25">
      <c r="C12" t="str">
        <v>COLADAS S/FIGADO</v>
      </c>
      <c r="D12" s="25">
        <v>45139</v>
      </c>
    </row>
    <row r="13" spans="3:4" x14ac:dyDescent="0.25">
      <c r="C13" t="str">
        <v>CORAÇÃO</v>
      </c>
      <c r="D13" s="25">
        <v>45170</v>
      </c>
    </row>
    <row r="14" spans="3:4" x14ac:dyDescent="0.25">
      <c r="C14" t="str">
        <v>FATOS</v>
      </c>
      <c r="D14" s="25">
        <v>45200</v>
      </c>
    </row>
    <row r="15" spans="3:4" x14ac:dyDescent="0.25">
      <c r="C15" t="str">
        <v>FIGADO</v>
      </c>
      <c r="D15" s="25">
        <v>45231</v>
      </c>
    </row>
    <row r="16" spans="3:4" x14ac:dyDescent="0.25">
      <c r="C16" t="str">
        <v>GORDO</v>
      </c>
      <c r="D16" s="25">
        <v>45261</v>
      </c>
    </row>
    <row r="17" spans="3:4" x14ac:dyDescent="0.25">
      <c r="C17" t="str">
        <v>LINGUAS</v>
      </c>
      <c r="D17" s="25">
        <v>45292</v>
      </c>
    </row>
    <row r="18" spans="3:4" x14ac:dyDescent="0.25">
      <c r="C18" t="str">
        <v>MÃOS</v>
      </c>
      <c r="D18" s="25">
        <v>45323</v>
      </c>
    </row>
    <row r="19" spans="3:4" x14ac:dyDescent="0.25">
      <c r="C19" t="str">
        <v>MÃOS CONGELADAS</v>
      </c>
      <c r="D19" s="25">
        <v>45352</v>
      </c>
    </row>
    <row r="20" spans="3:4" x14ac:dyDescent="0.25">
      <c r="C20" t="str">
        <v>OSSOS ASSUÃ FRESCOS</v>
      </c>
      <c r="D20" s="25">
        <v>45383</v>
      </c>
    </row>
    <row r="21" spans="3:4" x14ac:dyDescent="0.25">
      <c r="C21" t="str">
        <v>PERNIL</v>
      </c>
    </row>
    <row r="22" spans="3:4" x14ac:dyDescent="0.25">
      <c r="C22" t="str">
        <v>TOCOS FRESCOS MÃO</v>
      </c>
    </row>
    <row r="23" spans="3:4" x14ac:dyDescent="0.25">
      <c r="C23" t="str">
        <v>TOCOS FRESCOS PÉ</v>
      </c>
    </row>
    <row r="24" spans="3:4" x14ac:dyDescent="0.25">
      <c r="C24" t="str">
        <v>RABOS</v>
      </c>
    </row>
    <row r="25" spans="3:4" x14ac:dyDescent="0.25">
      <c r="C25" t="str">
        <v>RABOS CONGELADO</v>
      </c>
    </row>
    <row r="26" spans="3:4" x14ac:dyDescent="0.25">
      <c r="C26" t="str">
        <v>REDENHO</v>
      </c>
    </row>
    <row r="27" spans="3:4" x14ac:dyDescent="0.25">
      <c r="C27" t="str">
        <v>REDENHO CONGELADO</v>
      </c>
    </row>
    <row r="28" spans="3:4" x14ac:dyDescent="0.25">
      <c r="C28" t="str">
        <v>RINS</v>
      </c>
    </row>
    <row r="29" spans="3:4" x14ac:dyDescent="0.25">
      <c r="C29" t="str">
        <v>SANGUE LIQUIDO 5LT</v>
      </c>
    </row>
    <row r="30" spans="3:4" x14ac:dyDescent="0.25">
      <c r="C30" t="str">
        <v>TRIPA FINA</v>
      </c>
    </row>
    <row r="31" spans="3:4" x14ac:dyDescent="0.25">
      <c r="C31" t="str">
        <v>TRIPA GROSSA</v>
      </c>
    </row>
    <row r="32" spans="3:4" x14ac:dyDescent="0.25">
      <c r="C32" t="str">
        <v>VEUS</v>
      </c>
    </row>
    <row r="33" spans="3:3" x14ac:dyDescent="0.25">
      <c r="C33" t="str">
        <v>CARCAÇA</v>
      </c>
    </row>
    <row r="34" spans="3:3" x14ac:dyDescent="0.25">
      <c r="C34" t="str">
        <v>CARCAÇA MACHO</v>
      </c>
    </row>
    <row r="35" spans="3:3" x14ac:dyDescent="0.25">
      <c r="C35" t="str">
        <v>LOMBADA</v>
      </c>
    </row>
    <row r="36" spans="3:3" x14ac:dyDescent="0.25">
      <c r="C36" t="str">
        <v>PERNA LOMBADA</v>
      </c>
    </row>
    <row r="37" spans="3:3" x14ac:dyDescent="0.25">
      <c r="C37" t="str">
        <v>PERNA YORK</v>
      </c>
    </row>
    <row r="38" spans="3:3" x14ac:dyDescent="0.25">
      <c r="C38" t="str">
        <v>PERNA P/PRESUNTO</v>
      </c>
    </row>
    <row r="39" spans="3:3" x14ac:dyDescent="0.25">
      <c r="C39" t="str">
        <v>PERNA P/PRESUNTO C/CHISPE</v>
      </c>
    </row>
    <row r="40" spans="3:3" x14ac:dyDescent="0.25">
      <c r="C40" t="str">
        <v>FEVERA PERNA</v>
      </c>
    </row>
    <row r="41" spans="3:3" x14ac:dyDescent="0.25">
      <c r="C41" t="str">
        <v>LOMBELOS</v>
      </c>
    </row>
    <row r="42" spans="3:3" x14ac:dyDescent="0.25">
      <c r="C42" t="str">
        <v>FEVERA PERNA VACUO</v>
      </c>
    </row>
    <row r="43" spans="3:3" x14ac:dyDescent="0.25">
      <c r="C43" t="str">
        <v>LOMBO</v>
      </c>
    </row>
    <row r="44" spans="3:3" x14ac:dyDescent="0.25">
      <c r="C44" t="str">
        <v>LOMBO S/OSSO</v>
      </c>
    </row>
    <row r="45" spans="3:3" x14ac:dyDescent="0.25">
      <c r="C45" t="str">
        <v>CINTA DO LOMBO</v>
      </c>
    </row>
    <row r="46" spans="3:3" x14ac:dyDescent="0.25">
      <c r="C46" t="str">
        <v>ROSARIOS</v>
      </c>
    </row>
    <row r="47" spans="3:3" x14ac:dyDescent="0.25">
      <c r="C47" t="str">
        <v>LOMBO S/CABEÇO</v>
      </c>
    </row>
    <row r="48" spans="3:3" x14ac:dyDescent="0.25">
      <c r="C48" t="str">
        <v>LOMBO S/CABEÇO CONGELADO</v>
      </c>
    </row>
    <row r="49" spans="3:3" x14ac:dyDescent="0.25">
      <c r="C49" t="str">
        <v>COSTELA LOMBO</v>
      </c>
    </row>
    <row r="50" spans="3:3" x14ac:dyDescent="0.25">
      <c r="C50" t="str">
        <v>CABEÇO LOMBO</v>
      </c>
    </row>
    <row r="51" spans="3:3" x14ac:dyDescent="0.25">
      <c r="C51" t="str">
        <v>CABEÇO LOMBO S/OSSO</v>
      </c>
    </row>
    <row r="52" spans="3:3" x14ac:dyDescent="0.25">
      <c r="C52" t="str">
        <v>BARRIGA</v>
      </c>
    </row>
    <row r="53" spans="3:3" x14ac:dyDescent="0.25">
      <c r="C53" t="str">
        <v>PÁ</v>
      </c>
    </row>
    <row r="54" spans="3:3" x14ac:dyDescent="0.25">
      <c r="C54" t="str">
        <v>PÁ S/COURO C/OSSO</v>
      </c>
    </row>
    <row r="55" spans="3:3" x14ac:dyDescent="0.25">
      <c r="C55" t="str">
        <v>PÁ C/COURO C/OSSO</v>
      </c>
    </row>
    <row r="56" spans="3:3" x14ac:dyDescent="0.25">
      <c r="C56" t="str">
        <v>PÁ C/COURO C/OSSO C/MÃO</v>
      </c>
    </row>
    <row r="57" spans="3:3" x14ac:dyDescent="0.25">
      <c r="C57" t="str">
        <v>PÁ YORK</v>
      </c>
    </row>
    <row r="58" spans="3:3" x14ac:dyDescent="0.25">
      <c r="C58" t="str">
        <v>PÁ YORK C/COURO</v>
      </c>
    </row>
    <row r="59" spans="3:3" x14ac:dyDescent="0.25">
      <c r="C59" t="str">
        <v>FEVERA PÁ</v>
      </c>
    </row>
    <row r="60" spans="3:3" x14ac:dyDescent="0.25">
      <c r="C60" t="str">
        <v>COSTELA</v>
      </c>
    </row>
    <row r="61" spans="3:3" x14ac:dyDescent="0.25">
      <c r="C61" t="str">
        <v>LOMBO C/COURO</v>
      </c>
    </row>
    <row r="62" spans="3:3" x14ac:dyDescent="0.25">
      <c r="C62" t="str">
        <v>CARCAÇA S/PÁ S/CABEÇA</v>
      </c>
    </row>
    <row r="63" spans="3:3" x14ac:dyDescent="0.25">
      <c r="C63" t="str">
        <v>PONTAS DE COSTELA</v>
      </c>
    </row>
    <row r="64" spans="3:3" x14ac:dyDescent="0.25">
      <c r="C64" t="str">
        <v>PONTAS DE COSTELA CONGELADAS</v>
      </c>
    </row>
    <row r="65" spans="3:3" x14ac:dyDescent="0.25">
      <c r="C65" t="str">
        <v>CHISPE CURTO MÃO CONGELADO</v>
      </c>
    </row>
    <row r="66" spans="3:3" x14ac:dyDescent="0.25">
      <c r="C66" t="str">
        <v>CHISPE CURTO PÉ CONGELADO</v>
      </c>
    </row>
    <row r="67" spans="3:3" x14ac:dyDescent="0.25">
      <c r="C67" t="str">
        <v>OUVIDOS CONGELADOS</v>
      </c>
    </row>
    <row r="68" spans="3:3" x14ac:dyDescent="0.25">
      <c r="C68" t="str">
        <v>CHOURIÇO CRIOLO 1 KG</v>
      </c>
    </row>
    <row r="69" spans="3:3" x14ac:dyDescent="0.25">
      <c r="C69" t="str">
        <v>CHOURIÇO CRIOLO PARES</v>
      </c>
    </row>
    <row r="70" spans="3:3" x14ac:dyDescent="0.25">
      <c r="C70" t="str">
        <v>CHOURIÇO CRIOLO PICANTE 4 UNID</v>
      </c>
    </row>
    <row r="71" spans="3:3" x14ac:dyDescent="0.25">
      <c r="C71" t="str">
        <v>CHOURIÇO CRIOLO 4 UNIDADES</v>
      </c>
    </row>
    <row r="72" spans="3:3" x14ac:dyDescent="0.25">
      <c r="C72" t="str">
        <v>CHOURIÇO CRIOLO MEDIO</v>
      </c>
    </row>
    <row r="73" spans="3:3" x14ac:dyDescent="0.25">
      <c r="C73" t="str">
        <v>CHOURIÇO CRIOLO CURTO</v>
      </c>
    </row>
    <row r="74" spans="3:3" x14ac:dyDescent="0.25">
      <c r="C74" t="str">
        <v>CHOURIÇO CRIOLO ESPECIAL</v>
      </c>
    </row>
    <row r="75" spans="3:3" x14ac:dyDescent="0.25">
      <c r="C75" t="str">
        <v>FIAMBRE PERNA PG</v>
      </c>
    </row>
    <row r="76" spans="3:3" x14ac:dyDescent="0.25">
      <c r="C76" t="str">
        <v>FIAMBRE PERNA PG S/COURO</v>
      </c>
    </row>
    <row r="77" spans="3:3" x14ac:dyDescent="0.25">
      <c r="C77" t="str">
        <v>FIAMBRE PERNA QUAD. GR</v>
      </c>
    </row>
    <row r="78" spans="3:3" x14ac:dyDescent="0.25">
      <c r="C78" t="str">
        <v>FIAMBRE PERNA MINI</v>
      </c>
    </row>
    <row r="79" spans="3:3" x14ac:dyDescent="0.25">
      <c r="C79" t="str">
        <v>FIAMBRE PERNA MINI S/COURO</v>
      </c>
    </row>
    <row r="80" spans="3:3" x14ac:dyDescent="0.25">
      <c r="C80" t="str">
        <v>FIAMBRE PERNA 1/2</v>
      </c>
    </row>
    <row r="81" spans="3:3" x14ac:dyDescent="0.25">
      <c r="C81" t="str">
        <v>FIAMBRE PERNA BARRA</v>
      </c>
    </row>
    <row r="82" spans="3:3" x14ac:dyDescent="0.25">
      <c r="C82" t="str">
        <v>FIAMBRE PÁ PG</v>
      </c>
    </row>
    <row r="83" spans="3:3" x14ac:dyDescent="0.25">
      <c r="C83" t="str">
        <v>FIAMBRE PÁ MINI</v>
      </c>
    </row>
    <row r="84" spans="3:3" x14ac:dyDescent="0.25">
      <c r="C84" t="str">
        <v>FIAMBRE PÁ 1/2</v>
      </c>
    </row>
    <row r="85" spans="3:3" x14ac:dyDescent="0.25">
      <c r="C85" t="str">
        <v>FIAMBRE PÁ BARRA</v>
      </c>
    </row>
    <row r="86" spans="3:3" x14ac:dyDescent="0.25">
      <c r="C86" t="str">
        <v>FIAMBRE SANDWICH</v>
      </c>
    </row>
    <row r="87" spans="3:3" x14ac:dyDescent="0.25">
      <c r="C87" t="str">
        <v>FILETE AFIAMBRADO</v>
      </c>
    </row>
    <row r="88" spans="3:3" x14ac:dyDescent="0.25">
      <c r="C88" t="str">
        <v>FILETE AFIAMBRADO BARRA</v>
      </c>
    </row>
    <row r="89" spans="3:3" x14ac:dyDescent="0.25">
      <c r="C89" t="str">
        <v>SALSICHA FRESCA PICANTE</v>
      </c>
    </row>
    <row r="90" spans="3:3" x14ac:dyDescent="0.25">
      <c r="C90" t="str">
        <v>MORTADELA</v>
      </c>
    </row>
    <row r="91" spans="3:3" x14ac:dyDescent="0.25">
      <c r="C91" t="str">
        <v>MORTADELA C/AZEITONA</v>
      </c>
    </row>
    <row r="92" spans="3:3" x14ac:dyDescent="0.25">
      <c r="C92" t="str">
        <v>MORTADELA MINI</v>
      </c>
    </row>
    <row r="93" spans="3:3" x14ac:dyDescent="0.25">
      <c r="C93" t="str">
        <v>BANHA 250 GR</v>
      </c>
    </row>
    <row r="94" spans="3:3" x14ac:dyDescent="0.25">
      <c r="C94" t="str">
        <v>BANHA 1 KG</v>
      </c>
    </row>
    <row r="95" spans="3:3" x14ac:dyDescent="0.25">
      <c r="C95" t="str">
        <v>BANHA 5 KG</v>
      </c>
    </row>
    <row r="96" spans="3:3" x14ac:dyDescent="0.25">
      <c r="C96" t="str">
        <v>BANHA 10 KG</v>
      </c>
    </row>
    <row r="97" spans="3:3" x14ac:dyDescent="0.25">
      <c r="C97" t="str">
        <v>BANHA 20 KG</v>
      </c>
    </row>
    <row r="98" spans="3:3" x14ac:dyDescent="0.25">
      <c r="C98" t="str">
        <v>TRIPAS ENFARINHADA S/</v>
      </c>
    </row>
    <row r="99" spans="3:3" x14ac:dyDescent="0.25">
      <c r="C99" t="str">
        <v>TRIPAS ENFARINHADA C/</v>
      </c>
    </row>
    <row r="100" spans="3:3" x14ac:dyDescent="0.25">
      <c r="C100" t="str">
        <v>BUCHO COZIDO</v>
      </c>
    </row>
    <row r="101" spans="3:3" x14ac:dyDescent="0.25">
      <c r="C101" t="str">
        <v>SANGUE COZIDO</v>
      </c>
    </row>
    <row r="102" spans="3:3" x14ac:dyDescent="0.25">
      <c r="C102" t="str">
        <v>BACON INTEIRO EXTRA NE</v>
      </c>
    </row>
    <row r="103" spans="3:3" x14ac:dyDescent="0.25">
      <c r="C103" t="str">
        <v>BACON 1/2 EXTRA SC IND</v>
      </c>
    </row>
    <row r="104" spans="3:3" x14ac:dyDescent="0.25">
      <c r="C104" t="str">
        <v>BACON FATIAS SC IND</v>
      </c>
    </row>
    <row r="105" spans="3:3" x14ac:dyDescent="0.25">
      <c r="C105" t="str">
        <v>BACON INTEIRO CORRENTE NE</v>
      </c>
    </row>
    <row r="106" spans="3:3" x14ac:dyDescent="0.25">
      <c r="C106" t="str">
        <v>BACON 1/2 GORDO SC IND</v>
      </c>
    </row>
    <row r="107" spans="3:3" x14ac:dyDescent="0.25">
      <c r="C107" t="str">
        <v>BACON 1/2 CORRENTE SC IND</v>
      </c>
    </row>
    <row r="108" spans="3:3" x14ac:dyDescent="0.25">
      <c r="C108" t="str">
        <v>CABEÇA FUMADA NE</v>
      </c>
    </row>
    <row r="109" spans="3:3" x14ac:dyDescent="0.25">
      <c r="C109" t="str">
        <v>CABEÇA FUMADA SC IND</v>
      </c>
    </row>
    <row r="110" spans="3:3" x14ac:dyDescent="0.25">
      <c r="C110" t="str">
        <v>CHOURIÇÃO</v>
      </c>
    </row>
    <row r="111" spans="3:3" x14ac:dyDescent="0.25">
      <c r="C111" t="str">
        <v>CHOURIÇÃO VINHO</v>
      </c>
    </row>
    <row r="112" spans="3:3" x14ac:dyDescent="0.25">
      <c r="C112" t="str">
        <v>CHOURIÇO COLORAU NE</v>
      </c>
    </row>
    <row r="113" spans="3:3" x14ac:dyDescent="0.25">
      <c r="C113" t="str">
        <v>CHOURIÇÃO BARRA</v>
      </c>
    </row>
    <row r="114" spans="3:3" x14ac:dyDescent="0.25">
      <c r="C114" t="str">
        <v>CHOURIÇO COLORAU PARES</v>
      </c>
    </row>
    <row r="115" spans="3:3" x14ac:dyDescent="0.25">
      <c r="C115" t="str">
        <v>CHOURIÇO COLORAU EMB.200 GR</v>
      </c>
    </row>
    <row r="116" spans="3:3" x14ac:dyDescent="0.25">
      <c r="C116" t="str">
        <v>CHOURIÇO COLORAU SC</v>
      </c>
    </row>
    <row r="117" spans="3:3" x14ac:dyDescent="0.25">
      <c r="C117" t="str">
        <v>CHOURIÇO VINHO ARGOLA NE</v>
      </c>
    </row>
    <row r="118" spans="3:3" x14ac:dyDescent="0.25">
      <c r="C118" t="str">
        <v>CHOURIÇO VINHO ARGOLA SC</v>
      </c>
    </row>
    <row r="119" spans="3:3" x14ac:dyDescent="0.25">
      <c r="C119" t="str">
        <v>CHOURIÇO VINHO ARGOLA SC IND</v>
      </c>
    </row>
    <row r="120" spans="3:3" x14ac:dyDescent="0.25">
      <c r="C120" t="str">
        <v>CHOURIÇO VINHO FINO NE</v>
      </c>
    </row>
    <row r="121" spans="3:3" x14ac:dyDescent="0.25">
      <c r="C121" t="str">
        <v>CHOURIÇO VINHO FINO SC</v>
      </c>
    </row>
    <row r="122" spans="3:3" x14ac:dyDescent="0.25">
      <c r="C122" t="str">
        <v>CHOURIÇO VINHO FINO PARES</v>
      </c>
    </row>
    <row r="123" spans="3:3" x14ac:dyDescent="0.25">
      <c r="C123" t="str">
        <v>CHOURIÇO VINHO GROSSO NE</v>
      </c>
    </row>
    <row r="124" spans="3:3" x14ac:dyDescent="0.25">
      <c r="C124" t="str">
        <v>CHOURIÇO VINHO GROSSO PARES</v>
      </c>
    </row>
    <row r="125" spans="3:3" x14ac:dyDescent="0.25">
      <c r="C125" t="str">
        <v>CHOURIÇO VINHO GROSSO SC</v>
      </c>
    </row>
    <row r="126" spans="3:3" x14ac:dyDescent="0.25">
      <c r="C126" t="str">
        <v>CHOURIÇO EXTRA SC IND.</v>
      </c>
    </row>
    <row r="127" spans="3:3" x14ac:dyDescent="0.25">
      <c r="C127" t="str">
        <v>CHOURIÇO EXTRA SC SC</v>
      </c>
    </row>
    <row r="128" spans="3:3" x14ac:dyDescent="0.25">
      <c r="C128" t="str">
        <v>LINGUIÇA PARES</v>
      </c>
    </row>
    <row r="129" spans="3:3" x14ac:dyDescent="0.25">
      <c r="C129" t="str">
        <v>LINGUIÇA SC</v>
      </c>
    </row>
    <row r="130" spans="3:3" x14ac:dyDescent="0.25">
      <c r="C130" t="str">
        <v>MORCELA NE</v>
      </c>
    </row>
    <row r="131" spans="3:3" x14ac:dyDescent="0.25">
      <c r="C131" t="str">
        <v>MORCELA SC IND</v>
      </c>
    </row>
    <row r="132" spans="3:3" x14ac:dyDescent="0.25">
      <c r="C132" t="str">
        <v>MORCELA SC</v>
      </c>
    </row>
    <row r="133" spans="3:3" x14ac:dyDescent="0.25">
      <c r="C133" t="str">
        <v>OUVIDOS FUMADOS NE</v>
      </c>
    </row>
    <row r="134" spans="3:3" x14ac:dyDescent="0.25">
      <c r="C134" t="str">
        <v>OUVIDOS FUMADOS SC</v>
      </c>
    </row>
    <row r="135" spans="3:3" x14ac:dyDescent="0.25">
      <c r="C135" t="str">
        <v>PÁ FUMADA FATIAS</v>
      </c>
    </row>
    <row r="136" spans="3:3" x14ac:dyDescent="0.25">
      <c r="C136" t="str">
        <v>PÁ FUMADA INTEIRA</v>
      </c>
    </row>
    <row r="137" spans="3:3" x14ac:dyDescent="0.25">
      <c r="C137" t="str">
        <v>PÁ FUMADA 1/2</v>
      </c>
    </row>
    <row r="138" spans="3:3" x14ac:dyDescent="0.25">
      <c r="C138" t="str">
        <v>PAIO LOMBO</v>
      </c>
    </row>
    <row r="139" spans="3:3" x14ac:dyDescent="0.25">
      <c r="C139" t="str">
        <v>PERNIL FUMADO NE</v>
      </c>
    </row>
    <row r="140" spans="3:3" x14ac:dyDescent="0.25">
      <c r="C140" t="str">
        <v>PERNIL FUMADO SC IND</v>
      </c>
    </row>
    <row r="141" spans="3:3" x14ac:dyDescent="0.25">
      <c r="C141" t="str">
        <v>SALPICÃO NE</v>
      </c>
    </row>
    <row r="142" spans="3:3" x14ac:dyDescent="0.25">
      <c r="C142" t="str">
        <v>SALPICÃO SC IND</v>
      </c>
    </row>
    <row r="143" spans="3:3" x14ac:dyDescent="0.25">
      <c r="C143" t="str">
        <v>SALSICHÃO</v>
      </c>
    </row>
    <row r="144" spans="3:3" x14ac:dyDescent="0.25">
      <c r="C144" t="str">
        <v>UNHAS FUMADAS NE</v>
      </c>
    </row>
    <row r="145" spans="3:3" x14ac:dyDescent="0.25">
      <c r="C145" t="str">
        <v>UNHAS FUMADAS SC</v>
      </c>
    </row>
    <row r="146" spans="3:3" x14ac:dyDescent="0.25">
      <c r="C146" t="str">
        <v>PESCADA FILTE</v>
      </c>
    </row>
    <row r="147" spans="3:3" x14ac:dyDescent="0.25">
      <c r="C147" t="str">
        <v>BACALHAU FIL.SV C/PELE MIX</v>
      </c>
    </row>
    <row r="148" spans="3:3" x14ac:dyDescent="0.25">
      <c r="C148" t="str">
        <v>BACALHAU FIL.SV C/P 100/200 2ª</v>
      </c>
    </row>
    <row r="149" spans="3:3" x14ac:dyDescent="0.25">
      <c r="C149" t="str">
        <v>BACALHAU FIL.SV C/P 100/200 1º</v>
      </c>
    </row>
    <row r="150" spans="3:3" x14ac:dyDescent="0.25">
      <c r="C150" t="str">
        <v>BACALHAU FIL.SV C/P 200/400 1ª</v>
      </c>
    </row>
    <row r="151" spans="3:3" x14ac:dyDescent="0.25">
      <c r="C151" t="str">
        <v>SAITHE MIGAS SALGADO VERDE</v>
      </c>
    </row>
    <row r="152" spans="3:3" x14ac:dyDescent="0.25">
      <c r="C152" t="str">
        <v>COURATOS</v>
      </c>
    </row>
    <row r="153" spans="3:3" x14ac:dyDescent="0.25">
      <c r="C153" t="str">
        <v>FIGADO CONGELADO</v>
      </c>
    </row>
    <row r="154" spans="3:3" x14ac:dyDescent="0.25">
      <c r="C154" t="str">
        <v>LINGUAS CONGELADAS</v>
      </c>
    </row>
    <row r="155" spans="3:3" x14ac:dyDescent="0.25">
      <c r="C155" t="str">
        <v xml:space="preserve">OSSOS </v>
      </c>
    </row>
    <row r="156" spans="3:3" x14ac:dyDescent="0.25">
      <c r="C156" t="str">
        <v>PANCREAS</v>
      </c>
    </row>
    <row r="157" spans="3:3" x14ac:dyDescent="0.25">
      <c r="C157" t="str">
        <v>LOMBELOS CONGELADOS</v>
      </c>
    </row>
    <row r="158" spans="3:3" x14ac:dyDescent="0.25">
      <c r="C158" t="str">
        <v>ROSARIOS CONGELADOS</v>
      </c>
    </row>
    <row r="159" spans="3:3" x14ac:dyDescent="0.25">
      <c r="C159" t="str">
        <v>LOMBO S/CABEÇO C/COURO</v>
      </c>
    </row>
    <row r="160" spans="3:3" x14ac:dyDescent="0.25">
      <c r="C160" t="str">
        <v>SALSICHA FRESCA</v>
      </c>
    </row>
    <row r="161" spans="3:3" x14ac:dyDescent="0.25">
      <c r="C161" t="str">
        <v>MORTADELA C/COGUMELOS</v>
      </c>
    </row>
    <row r="162" spans="3:3" x14ac:dyDescent="0.25">
      <c r="C162" t="str">
        <v>BACON 1/2 MOLDADO S/COURO</v>
      </c>
    </row>
    <row r="163" spans="3:3" x14ac:dyDescent="0.25">
      <c r="C163" t="str">
        <v>BACON INTEIRO GORDO NE</v>
      </c>
    </row>
    <row r="164" spans="3:3" x14ac:dyDescent="0.25">
      <c r="C164" t="str">
        <v>CHOURIÇO VINHO GROSSO BEM 200</v>
      </c>
    </row>
    <row r="165" spans="3:3" x14ac:dyDescent="0.25">
      <c r="C165" t="str">
        <v>CHOURIÇO EXTRA SC IND</v>
      </c>
    </row>
    <row r="166" spans="3:3" x14ac:dyDescent="0.25">
      <c r="C166" t="str">
        <v>CHOURIÇO EXTRA SC</v>
      </c>
    </row>
    <row r="167" spans="3:3" x14ac:dyDescent="0.25">
      <c r="C167" t="str">
        <v xml:space="preserve">DESFIADO IQF BACALHAU DEM.GRN </v>
      </c>
    </row>
    <row r="168" spans="3:3" x14ac:dyDescent="0.25">
      <c r="C168" t="str">
        <v>BACALHAU DE.LOMBO MEDIO 300/400</v>
      </c>
    </row>
    <row r="169" spans="3:3" x14ac:dyDescent="0.25">
      <c r="C169" t="str">
        <v>BACALHAU DEM.LOMBO MÉD.300/400</v>
      </c>
    </row>
    <row r="170" spans="3:3" x14ac:dyDescent="0.25">
      <c r="C170" t="str">
        <v xml:space="preserve">BACALHAU DEM.LOMBINHOS S/CALIB </v>
      </c>
    </row>
    <row r="171" spans="3:3" x14ac:dyDescent="0.25">
      <c r="C171" t="str">
        <v xml:space="preserve">BACALHAU DEM.LOMBINHOS </v>
      </c>
    </row>
    <row r="172" spans="3:3" x14ac:dyDescent="0.25">
      <c r="C172" t="str">
        <v>MOELAS DE FRANGO - SACO 1 KG</v>
      </c>
    </row>
    <row r="173" spans="3:3" x14ac:dyDescent="0.25">
      <c r="C173" t="str">
        <v>FILETES FRANGO PANADOS CONG.</v>
      </c>
    </row>
    <row r="174" spans="3:3" x14ac:dyDescent="0.25">
      <c r="C174" t="str">
        <v>NUGGETS DE FRANGO CONGELADOS</v>
      </c>
    </row>
    <row r="175" spans="3:3" x14ac:dyDescent="0.25">
      <c r="C175" t="str">
        <v>BIFES FRANGO PANADOS CONGEL.</v>
      </c>
    </row>
    <row r="176" spans="3:3" x14ac:dyDescent="0.25">
      <c r="C176" t="str">
        <v>PALOCO MIGAS SALG.SECO SC 5KG</v>
      </c>
    </row>
    <row r="177" spans="3:3" x14ac:dyDescent="0.25">
      <c r="C177" t="str">
        <v>SARDINHA INTEIRA SACO 900GR</v>
      </c>
    </row>
    <row r="178" spans="3:3" x14ac:dyDescent="0.25">
      <c r="C178" t="str">
        <v>ESPADARTE HGT 30/50</v>
      </c>
    </row>
    <row r="179" spans="3:3" x14ac:dyDescent="0.25">
      <c r="C179" t="str">
        <v>SALMÃO FIL C/P 400/1000 AV 10K</v>
      </c>
    </row>
    <row r="180" spans="3:3" x14ac:dyDescent="0.25">
      <c r="C180" t="str">
        <v xml:space="preserve">POLVO INTEIRO LIMPO -400GR HIG </v>
      </c>
    </row>
    <row r="181" spans="3:3" x14ac:dyDescent="0.25">
      <c r="C181" t="str">
        <v>BAÇOS</v>
      </c>
    </row>
    <row r="182" spans="3:3" x14ac:dyDescent="0.25">
      <c r="C182" t="str">
        <v>BOCHE</v>
      </c>
    </row>
    <row r="183" spans="3:3" x14ac:dyDescent="0.25">
      <c r="C183" t="str">
        <v>CHISPE CURTO DA MÃO</v>
      </c>
    </row>
    <row r="184" spans="3:3" x14ac:dyDescent="0.25">
      <c r="C184" t="str">
        <v>AORTA</v>
      </c>
    </row>
    <row r="185" spans="3:3" x14ac:dyDescent="0.25">
      <c r="C185" t="str">
        <v>TRAQUEIA</v>
      </c>
    </row>
    <row r="186" spans="3:3" x14ac:dyDescent="0.25">
      <c r="C186" t="str">
        <v>ESÓFAGO</v>
      </c>
    </row>
    <row r="187" spans="3:3" x14ac:dyDescent="0.25">
      <c r="C187" t="str">
        <v>PÉNIS</v>
      </c>
    </row>
    <row r="188" spans="3:3" x14ac:dyDescent="0.25">
      <c r="C188" t="str">
        <v>OSSOS</v>
      </c>
    </row>
    <row r="189" spans="3:3" x14ac:dyDescent="0.25">
      <c r="C189" t="str">
        <v>TRIPA FINA PARA CALIBRAÇÃO</v>
      </c>
    </row>
    <row r="190" spans="3:3" x14ac:dyDescent="0.25">
      <c r="C190" t="str">
        <v>TRIPA GROSSA CONGELADA</v>
      </c>
    </row>
    <row r="191" spans="3:3" x14ac:dyDescent="0.25">
      <c r="C191" t="str">
        <v>TUBAROS</v>
      </c>
    </row>
    <row r="192" spans="3:3" x14ac:dyDescent="0.25">
      <c r="C192" t="str">
        <v>FEVERA PERNA VÁCUO</v>
      </c>
    </row>
    <row r="193" spans="3:3" x14ac:dyDescent="0.25">
      <c r="C193" t="str">
        <v>BARRIGA SEM PONTA</v>
      </c>
    </row>
    <row r="194" spans="3:3" x14ac:dyDescent="0.25">
      <c r="C194" t="str">
        <v>BIFANAS FINAS</v>
      </c>
    </row>
    <row r="195" spans="3:3" x14ac:dyDescent="0.25">
      <c r="C195" t="str">
        <v>FEVERA PÁ VACUO</v>
      </c>
    </row>
    <row r="196" spans="3:3" x14ac:dyDescent="0.25">
      <c r="C196" t="str">
        <v>BACALHAU FIL 500/1000G MACROC.</v>
      </c>
    </row>
    <row r="197" spans="3:3" x14ac:dyDescent="0.25">
      <c r="C197" t="str">
        <v xml:space="preserve"> BACALHAU SV CORRENTE</v>
      </c>
    </row>
    <row r="198" spans="3:3" x14ac:dyDescent="0.25">
      <c r="C198" t="str">
        <v xml:space="preserve">BACALHAU SV CRESCIDO </v>
      </c>
    </row>
    <row r="199" spans="3:3" x14ac:dyDescent="0.25">
      <c r="C199" t="str">
        <v>BACALHAU SV CRESCIDO +</v>
      </c>
    </row>
    <row r="200" spans="3:3" x14ac:dyDescent="0.25">
      <c r="C200" t="str">
        <v>BACALHAU SV ESPECIAL</v>
      </c>
    </row>
    <row r="201" spans="3:3" x14ac:dyDescent="0.25">
      <c r="C201" t="str">
        <v xml:space="preserve">BACALHAU SV GRAÚDO </v>
      </c>
    </row>
    <row r="202" spans="3:3" x14ac:dyDescent="0.25">
      <c r="C202" t="str">
        <v>BACALHAU SV CORRENTE SORTIDO</v>
      </c>
    </row>
    <row r="203" spans="3:3" x14ac:dyDescent="0.25">
      <c r="C203" t="str">
        <v>BACALHAU SV CRESCIDO SORTIDO</v>
      </c>
    </row>
    <row r="204" spans="3:3" x14ac:dyDescent="0.25">
      <c r="C204" t="str">
        <v>BACALHAU SV CRESCIDO + SORTIDO</v>
      </c>
    </row>
    <row r="205" spans="3:3" x14ac:dyDescent="0.25">
      <c r="C205" t="str">
        <v>BACALHAU SV ESPECIAL SORTIDO</v>
      </c>
    </row>
    <row r="206" spans="3:3" x14ac:dyDescent="0.25">
      <c r="C206" t="str">
        <v>BACALHAU SV GRAÚDO SORTIDO</v>
      </c>
    </row>
    <row r="207" spans="3:3" x14ac:dyDescent="0.25">
      <c r="C207" t="str">
        <v>PALOCO FIL SACO 800G</v>
      </c>
    </row>
    <row r="208" spans="3:3" x14ac:dyDescent="0.25">
      <c r="C208" t="str">
        <v xml:space="preserve">SARDINHA FILETE SACO 700G </v>
      </c>
    </row>
    <row r="209" spans="3:3" x14ac:dyDescent="0.25">
      <c r="C209" t="str">
        <v>MARMOTA RABO NA BOCA SACO 800G</v>
      </c>
    </row>
    <row r="210" spans="3:3" x14ac:dyDescent="0.25">
      <c r="C210" t="str">
        <v>DOURADA FIL C/P 120/160 AV 5KG</v>
      </c>
    </row>
    <row r="211" spans="3:3" x14ac:dyDescent="0.25">
      <c r="C211" t="str">
        <v>ROBALO FIL C/P 120/160 AV 5KG</v>
      </c>
    </row>
    <row r="212" spans="3:3" x14ac:dyDescent="0.25">
      <c r="C212" t="str">
        <v xml:space="preserve">PEIXE-VERMELHO HG 200/300 AV </v>
      </c>
    </row>
    <row r="213" spans="3:3" x14ac:dyDescent="0.25">
      <c r="C213" t="str">
        <v>CAVALA FIL 90/130G AV 5KG</v>
      </c>
    </row>
    <row r="214" spans="3:3" x14ac:dyDescent="0.25">
      <c r="C214" t="str">
        <v>PESCADA CHOURIÇ RODEL. AV 6KG</v>
      </c>
    </row>
    <row r="215" spans="3:3" x14ac:dyDescent="0.25">
      <c r="C215" t="str">
        <v>TINTUREIRA POSTA S/P AV 8KG</v>
      </c>
    </row>
    <row r="216" spans="3:3" x14ac:dyDescent="0.25">
      <c r="C216" t="str">
        <v>SARDINHA 8/12 AV 10KG</v>
      </c>
    </row>
    <row r="217" spans="3:3" x14ac:dyDescent="0.25">
      <c r="C217" t="str">
        <v>POTA TENTAC COZ RODELAS SC 1KG</v>
      </c>
    </row>
    <row r="218" spans="3:3" x14ac:dyDescent="0.25">
      <c r="C218" t="str">
        <v xml:space="preserve">POTA TENTAC CUVETE 800G  </v>
      </c>
    </row>
    <row r="219" spans="3:3" x14ac:dyDescent="0.25">
      <c r="C219" t="str">
        <v>POTA TENTAC AV 7KG</v>
      </c>
    </row>
    <row r="220" spans="3:3" x14ac:dyDescent="0.25">
      <c r="C220" t="str">
        <v>POLVO 1500/2000 HIG</v>
      </c>
    </row>
    <row r="221" spans="3:3" x14ac:dyDescent="0.25">
      <c r="C221" t="str">
        <v>POLVO 4000/5000 HIG</v>
      </c>
    </row>
    <row r="222" spans="3:3" x14ac:dyDescent="0.25">
      <c r="C222" t="str">
        <v>POLVO 5000/6000 HIG</v>
      </c>
    </row>
    <row r="223" spans="3:3" x14ac:dyDescent="0.25">
      <c r="C223" t="str">
        <v>AMEIJOA BRC. VIET 40/60 VC 1KG</v>
      </c>
    </row>
    <row r="224" spans="3:3" x14ac:dyDescent="0.25">
      <c r="C224" t="str">
        <v>BARRITAS PESCADA SACO 1KG</v>
      </c>
    </row>
    <row r="225" spans="3:3" x14ac:dyDescent="0.25">
      <c r="C225" t="str">
        <v>CAMARAO BT 6/8 CX 10X0.75 KG</v>
      </c>
    </row>
    <row r="226" spans="3:3" x14ac:dyDescent="0.25">
      <c r="C226" t="str">
        <v>CAMARAO BT 8/12 CX 10X0.75KG</v>
      </c>
    </row>
    <row r="227" spans="3:3" x14ac:dyDescent="0.25">
      <c r="C227" t="str">
        <v>CAMARAO BT 13/15 CX 10X0.75KG</v>
      </c>
    </row>
    <row r="228" spans="3:3" x14ac:dyDescent="0.25">
      <c r="C228" t="str">
        <v xml:space="preserve">CAMARAO BT 16/20 CX 10X0.75KG </v>
      </c>
    </row>
    <row r="229" spans="3:3" x14ac:dyDescent="0.25">
      <c r="C229" t="str">
        <v>CAMARAO BT 21/30 CX 10X0.75KG</v>
      </c>
    </row>
    <row r="230" spans="3:3" x14ac:dyDescent="0.25">
      <c r="C230" t="str">
        <v>CAMARAO BT 31/40 CX 10X0.75KG</v>
      </c>
    </row>
    <row r="231" spans="3:3" x14ac:dyDescent="0.25">
      <c r="C231" t="str">
        <v>RINS CONGELADOS</v>
      </c>
    </row>
    <row r="232" spans="3:3" x14ac:dyDescent="0.25">
      <c r="C232" t="str">
        <v>TOUCINHO GORDO S/COURO</v>
      </c>
    </row>
    <row r="233" spans="3:3" x14ac:dyDescent="0.25">
      <c r="C233" t="str">
        <v>TOUCINHO GORDO CONGELADO</v>
      </c>
    </row>
    <row r="234" spans="3:3" x14ac:dyDescent="0.25">
      <c r="C234" t="str">
        <v>BACALHAU POSTINHAS SC 800GR</v>
      </c>
    </row>
    <row r="235" spans="3:3" x14ac:dyDescent="0.25">
      <c r="C235" t="str">
        <v>BACALHAU DEM.POSTA SUO 400/600</v>
      </c>
    </row>
    <row r="236" spans="3:3" x14ac:dyDescent="0.25">
      <c r="C236" t="str">
        <v>BACALHAU DEM. HG CRESCIDO</v>
      </c>
    </row>
    <row r="237" spans="3:3" x14ac:dyDescent="0.25">
      <c r="C237" t="str">
        <v>PESCADA HG ARG 3L 1200/1500 EN</v>
      </c>
    </row>
    <row r="238" spans="3:3" x14ac:dyDescent="0.25">
      <c r="C238" t="str">
        <v>PESCADA FIL S/P +200G AV</v>
      </c>
    </row>
    <row r="239" spans="3:3" x14ac:dyDescent="0.25">
      <c r="C239" t="str">
        <v>PESCADA CHOURIÇO ARG CB-CX14KG</v>
      </c>
    </row>
    <row r="240" spans="3:3" x14ac:dyDescent="0.25">
      <c r="C240" t="str">
        <v>PEIXE-VERMELHO HG 300/500 AV</v>
      </c>
    </row>
    <row r="241" spans="3:3" x14ac:dyDescent="0.25">
      <c r="C241" t="str">
        <v>PEIXE-VERMELHO HG 500/700 AV</v>
      </c>
    </row>
    <row r="242" spans="3:3" x14ac:dyDescent="0.25">
      <c r="C242" t="str">
        <v>ABROTEA FIL +300G SNG AV 8KG</v>
      </c>
    </row>
    <row r="243" spans="3:3" x14ac:dyDescent="0.25">
      <c r="C243" t="str">
        <v>SALMONETE FIL SNG AV 3KG</v>
      </c>
    </row>
    <row r="244" spans="3:3" x14ac:dyDescent="0.25">
      <c r="C244" t="str">
        <v>LINGUA FIL SNG AV 2KG</v>
      </c>
    </row>
    <row r="245" spans="3:3" x14ac:dyDescent="0.25">
      <c r="C245" t="str">
        <v>LINGUA S/C 150/300G SNG AV 8KG</v>
      </c>
    </row>
    <row r="246" spans="3:3" x14ac:dyDescent="0.25">
      <c r="C246" t="str">
        <v>ABROTEA FIL 100/200 SNG AV 8KG</v>
      </c>
    </row>
    <row r="247" spans="3:3" x14ac:dyDescent="0.25">
      <c r="C247" t="str">
        <v>ABROTEA FIL 200/300 SNG AV 8KG</v>
      </c>
    </row>
    <row r="248" spans="3:3" x14ac:dyDescent="0.25">
      <c r="C248" t="str">
        <v>ABROTEA FIL 70/100 SNG AV 8KG</v>
      </c>
    </row>
    <row r="249" spans="3:3" x14ac:dyDescent="0.25">
      <c r="C249" t="str">
        <v>LULA LIMPA IND 10/20 SC 800G</v>
      </c>
    </row>
    <row r="250" spans="3:3" x14ac:dyDescent="0.25">
      <c r="C250" t="str">
        <v>CHOCO LIMPO IND 20/40 SC 700G</v>
      </c>
    </row>
    <row r="251" spans="3:3" x14ac:dyDescent="0.25">
      <c r="C251" t="str">
        <v>POLVO 700/1500 HIG</v>
      </c>
    </row>
    <row r="252" spans="3:3" x14ac:dyDescent="0.25">
      <c r="C252" t="str">
        <v>POLVO 2000/3000 HIG</v>
      </c>
    </row>
    <row r="253" spans="3:3" x14ac:dyDescent="0.25">
      <c r="C253" t="str">
        <v>LULA INT 3/6CM ENTUBADO BL12KG</v>
      </c>
    </row>
    <row r="254" spans="3:3" x14ac:dyDescent="0.25">
      <c r="C254" t="str">
        <v>POLVO COZIDO 400/700 VC</v>
      </c>
    </row>
    <row r="255" spans="3:3" x14ac:dyDescent="0.25">
      <c r="C255" t="str">
        <v>POTA TENTÁCULO CUVETE 800G</v>
      </c>
    </row>
    <row r="256" spans="3:3" x14ac:dyDescent="0.25">
      <c r="C256" t="str">
        <v>AMEIJOA BRC. VIET 60/80 VC 1KG</v>
      </c>
    </row>
    <row r="257" spans="3:3" x14ac:dyDescent="0.25">
      <c r="C257" t="str">
        <v>MEXILHÃO INTEIRO 40/60 VC 1KG</v>
      </c>
    </row>
    <row r="258" spans="3:3" x14ac:dyDescent="0.25">
      <c r="C258" t="str">
        <v>MEXILHÃO INTEIRO 200/300 AV 10KG</v>
      </c>
    </row>
    <row r="259" spans="3:3" x14ac:dyDescent="0.25">
      <c r="C259" t="str">
        <v>AMEIJOA CAS. VIET 40/60 VC 1KG</v>
      </c>
    </row>
    <row r="260" spans="3:3" x14ac:dyDescent="0.25">
      <c r="C260" t="str">
        <v>MARISCADA S/GLUTEN AV 8KG</v>
      </c>
    </row>
    <row r="261" spans="3:3" x14ac:dyDescent="0.25">
      <c r="C261" t="str">
        <v>MARISCADA S/GLUTEN CV 6X0,8KG</v>
      </c>
    </row>
    <row r="262" spans="3:3" x14ac:dyDescent="0.25">
      <c r="C262" t="str">
        <v>RISSOIS BACALHAU 30G 12X360G</v>
      </c>
    </row>
    <row r="263" spans="3:3" x14ac:dyDescent="0.25">
      <c r="C263" t="str">
        <v>COROQUETES CARNE 30G 12X360G</v>
      </c>
    </row>
    <row r="264" spans="3:3" x14ac:dyDescent="0.25">
      <c r="C264" t="str">
        <v>BOLINHOS BACALHAU 30G 10X360G</v>
      </c>
    </row>
    <row r="265" spans="3:3" x14ac:dyDescent="0.25">
      <c r="C265" t="str">
        <v>RISSOIS CARNE 30G 10X360G</v>
      </c>
    </row>
    <row r="266" spans="3:3" x14ac:dyDescent="0.25">
      <c r="C266" t="str">
        <v>BOLINHOS BACALHAU 12X360G</v>
      </c>
    </row>
    <row r="267" spans="3:3" x14ac:dyDescent="0.25">
      <c r="C267" t="str">
        <v>DELICIAS DO MAR S/GLUTEN AV</v>
      </c>
    </row>
    <row r="268" spans="3:3" x14ac:dyDescent="0.25">
      <c r="C268" t="str">
        <v>SALMAO FUMADO PLACA 1KG APROX</v>
      </c>
    </row>
    <row r="269" spans="3:3" x14ac:dyDescent="0.25">
      <c r="C269" t="str">
        <v>CALUGA</v>
      </c>
    </row>
    <row r="270" spans="3:3" x14ac:dyDescent="0.25">
      <c r="C270" t="str">
        <v>UNHA MÃO</v>
      </c>
    </row>
    <row r="271" spans="3:3" x14ac:dyDescent="0.25">
      <c r="C271" t="str">
        <v>OSSOS ASSUÃ CONGELADOS</v>
      </c>
    </row>
    <row r="272" spans="3:3" x14ac:dyDescent="0.25">
      <c r="C272" t="str">
        <v>TOUCINHO GORDO S/ COURO</v>
      </c>
    </row>
    <row r="273" spans="3:3" x14ac:dyDescent="0.25">
      <c r="C273" t="str">
        <v>TRIPA CRUA GROSSA</v>
      </c>
    </row>
    <row r="274" spans="3:3" x14ac:dyDescent="0.25">
      <c r="C274" t="str">
        <v>PÁ C/COURO C/OSSO C/M?O</v>
      </c>
    </row>
    <row r="275" spans="3:3" x14ac:dyDescent="0.25">
      <c r="C275" t="str">
        <v>FEVERA PÁ CONGELADA</v>
      </c>
    </row>
    <row r="276" spans="3:3" x14ac:dyDescent="0.25">
      <c r="C276" t="str">
        <v>FIAMBRE DE PERU MINI</v>
      </c>
    </row>
    <row r="277" spans="3:3" x14ac:dyDescent="0.25">
      <c r="C277" t="str">
        <v>BARRIGA SEM OSSO CONGELADA</v>
      </c>
    </row>
    <row r="278" spans="3:3" x14ac:dyDescent="0.25">
      <c r="C278" t="str">
        <v>FIAMBRE PERNA EXTRA MINI</v>
      </c>
    </row>
    <row r="279" spans="3:3" x14ac:dyDescent="0.25">
      <c r="C279" t="str">
        <v>FIAMBRE ENCOSTA SOBREIRO 1/2</v>
      </c>
    </row>
    <row r="280" spans="3:3" x14ac:dyDescent="0.25">
      <c r="C280" t="str">
        <v>FIAMBRE ENCOSTA SOBREIRO BARRA</v>
      </c>
    </row>
    <row r="281" spans="3:3" x14ac:dyDescent="0.25">
      <c r="C281" t="str">
        <v>CHOUR.VINHO GROSSO EMB.200 GR.</v>
      </c>
    </row>
    <row r="282" spans="3:3" x14ac:dyDescent="0.25">
      <c r="C282" t="str">
        <v xml:space="preserve">BACALHAU POSTINHAS SC 800 GR </v>
      </c>
    </row>
    <row r="283" spans="3:3" x14ac:dyDescent="0.25">
      <c r="C283" t="str">
        <v xml:space="preserve">BACALHAU DEM. LOMBO MED CX900G   </v>
      </c>
    </row>
    <row r="284" spans="3:3" x14ac:dyDescent="0.25">
      <c r="C284" t="str">
        <v>BACALHAU LOMBO MED 200/300 HIG</v>
      </c>
    </row>
    <row r="285" spans="3:3" x14ac:dyDescent="0.25">
      <c r="C285" t="str">
        <v xml:space="preserve">BACALHAU DEM LOMBO 300/400 HIG </v>
      </c>
    </row>
    <row r="286" spans="3:3" x14ac:dyDescent="0.25">
      <c r="C286" t="str">
        <v xml:space="preserve">FILETES FRANGO PANADOS CONG.   </v>
      </c>
    </row>
    <row r="287" spans="3:3" x14ac:dyDescent="0.25">
      <c r="C287" t="str">
        <v xml:space="preserve">BIFES FRANGO PANADOS CONGEL.  </v>
      </c>
    </row>
    <row r="288" spans="3:3" x14ac:dyDescent="0.25">
      <c r="C288" t="str">
        <v xml:space="preserve">NUGGETS DE FRANGO CONG-LOJA      </v>
      </c>
    </row>
    <row r="289" spans="3:3" x14ac:dyDescent="0.25">
      <c r="C289" t="str">
        <v xml:space="preserve">SALMÃO FIL C/P 400/1000 AV 10K </v>
      </c>
    </row>
    <row r="290" spans="3:3" x14ac:dyDescent="0.25">
      <c r="C290" t="str">
        <v xml:space="preserve">ROBALO FIL C/P 120/160 AV 5KG  </v>
      </c>
    </row>
    <row r="291" spans="3:3" x14ac:dyDescent="0.25">
      <c r="C291" t="str">
        <v xml:space="preserve">TAMBORIL HG 300/500 CHN AV10KG  </v>
      </c>
    </row>
    <row r="292" spans="3:3" x14ac:dyDescent="0.25">
      <c r="C292" t="str">
        <v xml:space="preserve">TAMBORIL HG 500/700 CHN AV10KG </v>
      </c>
    </row>
    <row r="293" spans="3:3" x14ac:dyDescent="0.25">
      <c r="C293" t="str">
        <v>TAMBORIL HG 700/1000 CHNAV10K</v>
      </c>
    </row>
    <row r="294" spans="3:3" x14ac:dyDescent="0.25">
      <c r="C294" t="str">
        <v>TAMBORIL HG 1000/UP CHN AV10KG</v>
      </c>
    </row>
    <row r="295" spans="3:3" x14ac:dyDescent="0.25">
      <c r="C295" t="str">
        <v xml:space="preserve">ESPADARTE POSTA SC1KG INTERCON  </v>
      </c>
    </row>
    <row r="296" spans="3:3" x14ac:dyDescent="0.25">
      <c r="C296" t="str">
        <v>SALMAO HG 4/6LB GMC TOTE</v>
      </c>
    </row>
    <row r="297" spans="3:3" x14ac:dyDescent="0.25">
      <c r="C297" t="str">
        <v>ESPADARTE POSTA PREMIUM 10%GRN</v>
      </c>
    </row>
    <row r="298" spans="3:3" x14ac:dyDescent="0.25">
      <c r="C298" t="str">
        <v xml:space="preserve">POLVO INTEIRO LIMPO -400GR HIG   </v>
      </c>
    </row>
    <row r="299" spans="3:3" x14ac:dyDescent="0.25">
      <c r="C299" t="str">
        <v>POTA TENTAC CUVETE 800G</v>
      </c>
    </row>
    <row r="300" spans="3:3" x14ac:dyDescent="0.25">
      <c r="C300" t="str">
        <v>POLVO 3000/4000 HIG</v>
      </c>
    </row>
    <row r="301" spans="3:3" x14ac:dyDescent="0.25">
      <c r="C301" t="str">
        <v>POTA TENT?CULO CUVETE 800G</v>
      </c>
    </row>
    <row r="302" spans="3:3" x14ac:dyDescent="0.25">
      <c r="C302" t="str">
        <v>POLVO 700/1500 HIG MDP</v>
      </c>
    </row>
    <row r="303" spans="3:3" x14ac:dyDescent="0.25">
      <c r="C303" t="str">
        <v xml:space="preserve">POLVO COZ. FATIADO CV 10X 0.4KG </v>
      </c>
    </row>
    <row r="304" spans="3:3" x14ac:dyDescent="0.25">
      <c r="C304" t="str">
        <v>POLVO 2/3KG FAO 51 CV</v>
      </c>
    </row>
    <row r="305" spans="3:3" x14ac:dyDescent="0.25">
      <c r="C305" t="str">
        <v>MEXILHAO INTEIRO 40/60 VC 1KG</v>
      </c>
    </row>
    <row r="306" spans="3:3" x14ac:dyDescent="0.25">
      <c r="C306" t="str">
        <v>MEXILHAO MIOLO 200/300 AV 10KG</v>
      </c>
    </row>
    <row r="307" spans="3:3" x14ac:dyDescent="0.25">
      <c r="C307" t="str">
        <v xml:space="preserve">AMEIJOA BRC VIET 40/60 VC 900G   </v>
      </c>
    </row>
    <row r="308" spans="3:3" x14ac:dyDescent="0.25">
      <c r="C308" t="str">
        <v xml:space="preserve">CAMARAO BT 8/12 CX 10X0.75KG </v>
      </c>
    </row>
    <row r="309" spans="3:3" x14ac:dyDescent="0.25">
      <c r="C309" t="str">
        <v xml:space="preserve">CAMARAO BT 16/20 CX 10X0.75KG  </v>
      </c>
    </row>
    <row r="310" spans="3:3" x14ac:dyDescent="0.25">
      <c r="C310" t="str">
        <v xml:space="preserve">CAMARAO BT 21/30 CX 10X0.75KG  </v>
      </c>
    </row>
    <row r="311" spans="3:3" x14ac:dyDescent="0.25">
      <c r="C311" t="str">
        <v>CAM. MIOLO 30/50 SC 10X0.65KG</v>
      </c>
    </row>
    <row r="312" spans="3:3" x14ac:dyDescent="0.25">
      <c r="C312" t="str">
        <v xml:space="preserve">CAM. MIOLO 50/70 SC 10X0.65KG </v>
      </c>
    </row>
    <row r="313" spans="3:3" x14ac:dyDescent="0.25">
      <c r="C313" t="str">
        <v>CAM. MIOLO 70/100 SC 10X0.65KG</v>
      </c>
    </row>
    <row r="314" spans="3:3" x14ac:dyDescent="0.25">
      <c r="C314" t="str">
        <v>CAM. MIOLO 100/200 SC 10X0.65K</v>
      </c>
    </row>
    <row r="315" spans="3:3" x14ac:dyDescent="0.25">
      <c r="C315" t="str">
        <v>TIRAS ENTRECOSTO ALTO CONG.</v>
      </c>
    </row>
    <row r="316" spans="3:3" x14ac:dyDescent="0.25">
      <c r="C316" t="str">
        <v>UNHA PÉ CONGELADO</v>
      </c>
    </row>
    <row r="317" spans="3:3" x14ac:dyDescent="0.25">
      <c r="C317" t="str">
        <v>FIAMBRE ENCOSTA SOBREIRO PG</v>
      </c>
    </row>
    <row r="318" spans="3:3" x14ac:dyDescent="0.25">
      <c r="C318" t="str">
        <v>FIAMBRE ENCOSTA SOBREIRO MINI</v>
      </c>
    </row>
    <row r="319" spans="3:3" x14ac:dyDescent="0.25">
      <c r="C319" t="str">
        <v>CH. VINHO GROSSO EMB. 200 GR</v>
      </c>
    </row>
    <row r="320" spans="3:3" x14ac:dyDescent="0.25">
      <c r="C320" t="str">
        <v>CHOURIÇO VINHO GROSSO EMB. 200 GR.</v>
      </c>
    </row>
    <row r="321" spans="3:3" x14ac:dyDescent="0.25">
      <c r="C321" t="str">
        <v>CHOURIÇO DE CARNE EXTRA SC</v>
      </c>
    </row>
    <row r="322" spans="3:3" x14ac:dyDescent="0.25">
      <c r="C322" t="str">
        <v>CHOURIÇO DE CARNE EXTRA SC IND</v>
      </c>
    </row>
    <row r="323" spans="3:3" x14ac:dyDescent="0.25">
      <c r="C323" t="str">
        <v>PESCADA FILETE</v>
      </c>
    </row>
    <row r="324" spans="3:3" x14ac:dyDescent="0.25">
      <c r="C324" t="str">
        <v>BACALHAU DEM.POSTA SC 700 GR</v>
      </c>
    </row>
    <row r="325" spans="3:3" x14ac:dyDescent="0.25">
      <c r="C325" t="str">
        <v>BACALHAU POSTINHAS SC 800 GR</v>
      </c>
    </row>
    <row r="326" spans="3:3" x14ac:dyDescent="0.25">
      <c r="C326" t="str">
        <v>BACALHAUBACALHAU DEM LOMBO 300/400 HIG</v>
      </c>
    </row>
    <row r="327" spans="3:3" x14ac:dyDescent="0.25">
      <c r="C327" t="str">
        <v>BACALHAU POSTA EXT 400/600 HIG</v>
      </c>
    </row>
    <row r="328" spans="3:3" x14ac:dyDescent="0.25">
      <c r="C328" t="str">
        <v xml:space="preserve">BACALHAU DEM. POSTA -300G AV </v>
      </c>
    </row>
    <row r="329" spans="3:3" x14ac:dyDescent="0.25">
      <c r="C329" t="str">
        <v>BACALHAU POSTINHA SC800G FR/NL</v>
      </c>
    </row>
    <row r="330" spans="3:3" x14ac:dyDescent="0.25">
      <c r="C330" t="str">
        <v xml:space="preserve">BACALHAU DEM. POSTA -300G HIG </v>
      </c>
    </row>
    <row r="331" spans="3:3" x14ac:dyDescent="0.25">
      <c r="C331" t="str">
        <v xml:space="preserve">BACALHAU DEM.POSTA TRAD VC800G </v>
      </c>
    </row>
    <row r="332" spans="3:3" x14ac:dyDescent="0.25">
      <c r="C332" t="str">
        <v>BACALHAU LOMBO MED 400/500 HIG</v>
      </c>
    </row>
    <row r="333" spans="3:3" x14ac:dyDescent="0.25">
      <c r="C333" t="str">
        <v xml:space="preserve">BACALHAU LOMBO MED 200/300 AV </v>
      </c>
    </row>
    <row r="334" spans="3:3" x14ac:dyDescent="0.25">
      <c r="C334" t="str">
        <v xml:space="preserve">BACALHAU LOMBO 300/400 AV   </v>
      </c>
    </row>
    <row r="335" spans="3:3" x14ac:dyDescent="0.25">
      <c r="C335" t="str">
        <v xml:space="preserve">BIFES FRANGO PANADOS CONGEL. </v>
      </c>
    </row>
    <row r="336" spans="3:3" x14ac:dyDescent="0.25">
      <c r="C336" t="str">
        <v>PEIXE-VERMELHO HG 200/300 AV</v>
      </c>
    </row>
    <row r="337" spans="3:3" x14ac:dyDescent="0.25">
      <c r="C337" t="str">
        <v xml:space="preserve">PEIXE GATO FILETE SC 6X0.8KG </v>
      </c>
    </row>
    <row r="338" spans="3:3" x14ac:dyDescent="0.25">
      <c r="C338" t="str">
        <v>TAMBORIL HG 300/500 CHN AV10KG</v>
      </c>
    </row>
    <row r="339" spans="3:3" x14ac:dyDescent="0.25">
      <c r="C339" t="str">
        <v xml:space="preserve">ESPADARTE POSTA P GRN </v>
      </c>
    </row>
    <row r="340" spans="3:3" x14ac:dyDescent="0.25">
      <c r="C340" t="str">
        <v>SARDINHA 8/14 FAO 34 AV 20KG</v>
      </c>
    </row>
    <row r="341" spans="3:3" x14ac:dyDescent="0.25">
      <c r="C341" t="str">
        <v>CORVINA PRATA HG IND 4/6 ENV</v>
      </c>
    </row>
    <row r="342" spans="3:3" x14ac:dyDescent="0.25">
      <c r="C342" t="str">
        <v xml:space="preserve">POTA TENTAC AV 7KG </v>
      </c>
    </row>
    <row r="343" spans="3:3" x14ac:dyDescent="0.25">
      <c r="C343" t="str">
        <v xml:space="preserve">POLVO 4000/5000 HIG  </v>
      </c>
    </row>
    <row r="344" spans="3:3" x14ac:dyDescent="0.25">
      <c r="C344" t="str">
        <v xml:space="preserve">POLVO 2/3KG HIG MDP </v>
      </c>
    </row>
    <row r="345" spans="3:3" x14ac:dyDescent="0.25">
      <c r="C345" t="str">
        <v xml:space="preserve">POLVO 2/3KG FAO 51 CV </v>
      </c>
    </row>
    <row r="346" spans="3:3" x14ac:dyDescent="0.25">
      <c r="C346" t="str">
        <v>LULA INT /10CM ENTUBADO BL12KG</v>
      </c>
    </row>
    <row r="347" spans="3:3" x14ac:dyDescent="0.25">
      <c r="C347" t="str">
        <v>CHOCO LIMPO 5/7 1KG PL REYMAR</v>
      </c>
    </row>
    <row r="348" spans="3:3" x14ac:dyDescent="0.25">
      <c r="C348" t="str">
        <v>CHOCO LIMPO 8/12 1KG PL REYMAR</v>
      </c>
    </row>
    <row r="349" spans="3:3" x14ac:dyDescent="0.25">
      <c r="C349" t="str">
        <v>CHOCO LIMPO 13/20 1KG PL REYMR</v>
      </c>
    </row>
    <row r="350" spans="3:3" x14ac:dyDescent="0.25">
      <c r="C350" t="str">
        <v>CHOCO LIMPO 20/40 1KG PL REYMR</v>
      </c>
    </row>
    <row r="351" spans="3:3" x14ac:dyDescent="0.25">
      <c r="C351" t="str">
        <v xml:space="preserve">LULA LIMPA U/5 1KG PL REYMAR </v>
      </c>
    </row>
    <row r="352" spans="3:3" x14ac:dyDescent="0.25">
      <c r="C352" t="str">
        <v>LULA LIMPA U/10 1KG PL REYMAR</v>
      </c>
    </row>
    <row r="353" spans="3:3" x14ac:dyDescent="0.25">
      <c r="C353" t="str">
        <v xml:space="preserve">LULA LIMPA 10/20 1KG PL REYMAR </v>
      </c>
    </row>
    <row r="354" spans="3:3" x14ac:dyDescent="0.25">
      <c r="C354" t="str">
        <v xml:space="preserve">LULA LIMPA 20/40 1KG PL REYMAR </v>
      </c>
    </row>
    <row r="355" spans="3:3" x14ac:dyDescent="0.25">
      <c r="C355" t="str">
        <v>AMEIJOA BRANCA VIET AV 10KG</v>
      </c>
    </row>
    <row r="356" spans="3:3" x14ac:dyDescent="0.25">
      <c r="C356" t="str">
        <v>MARISCADA S/GLUTEN CV 6X0.8KG</v>
      </c>
    </row>
    <row r="357" spans="3:3" x14ac:dyDescent="0.25">
      <c r="C357" t="str">
        <v>CAMARAO BT 16/20 CX 10X0.75KG</v>
      </c>
    </row>
    <row r="358" spans="3:3" x14ac:dyDescent="0.25">
      <c r="C358" t="str">
        <v>CAM. MIOLO 50/70 SC 10X0.65KG</v>
      </c>
    </row>
    <row r="359" spans="3:3" x14ac:dyDescent="0.25">
      <c r="C359" t="str">
        <v>CAM. MIOLO 100/200 AV 10KG</v>
      </c>
    </row>
    <row r="360" spans="3:3" x14ac:dyDescent="0.25">
      <c r="C360" t="str">
        <v>UNHA PÉ</v>
      </c>
    </row>
    <row r="361" spans="3:3" x14ac:dyDescent="0.25">
      <c r="C361" t="str">
        <v>TOUCINHO GORDO C/ COURO</v>
      </c>
    </row>
    <row r="362" spans="3:3" x14ac:dyDescent="0.25">
      <c r="C362" t="str">
        <v>FEVERA PERNA CONGELADA</v>
      </c>
    </row>
    <row r="363" spans="3:3" x14ac:dyDescent="0.25">
      <c r="C363" t="str">
        <v>FEVERA PÁ VÁCUO</v>
      </c>
    </row>
    <row r="364" spans="3:3" x14ac:dyDescent="0.25">
      <c r="C364" t="str">
        <v>UNHA MÃO CONGELADO</v>
      </c>
    </row>
    <row r="365" spans="3:3" x14ac:dyDescent="0.25">
      <c r="C365" t="str">
        <v>FIAMBRE ENCOSTA SOBREIRO BARR</v>
      </c>
    </row>
    <row r="366" spans="3:3" x14ac:dyDescent="0.25">
      <c r="C366" t="str">
        <v>CHOUR.VINHO GROSSO EMB.200 GR</v>
      </c>
    </row>
    <row r="367" spans="3:3" x14ac:dyDescent="0.25">
      <c r="C367" t="str">
        <v>CHOURIÇO DE CARNE EXTRA SC IN</v>
      </c>
    </row>
    <row r="368" spans="3:3" x14ac:dyDescent="0.25">
      <c r="C368" t="str">
        <v>BACALHAU DEM.LOMBO MÉD.300/40</v>
      </c>
    </row>
    <row r="369" spans="3:3" x14ac:dyDescent="0.25">
      <c r="C369" t="str">
        <v>BACALHAU DEM.LOMBINHOS S/CALI</v>
      </c>
    </row>
    <row r="370" spans="3:3" x14ac:dyDescent="0.25">
      <c r="C370" t="str">
        <v>BACALHAU POSTA EXTRA 400/600P</v>
      </c>
    </row>
    <row r="371" spans="3:3" x14ac:dyDescent="0.25">
      <c r="C371" t="str">
        <v>BACALHAU POSTA EXTRA 600/800P</v>
      </c>
    </row>
    <row r="372" spans="3:3" x14ac:dyDescent="0.25">
      <c r="C372" t="str">
        <v>BACALHAU FIL CHN 1000/UP AV11</v>
      </c>
    </row>
    <row r="373" spans="3:3" x14ac:dyDescent="0.25">
      <c r="C373" t="str">
        <v>BACALHAU LOMBO 300/400 AV</v>
      </c>
    </row>
    <row r="374" spans="3:3" x14ac:dyDescent="0.25">
      <c r="C374" t="str">
        <v>BACALHAU LOMBO MED.300/400 AV</v>
      </c>
    </row>
    <row r="375" spans="3:3" x14ac:dyDescent="0.25">
      <c r="C375" t="str">
        <v>BAC. POSTA C/LOMBO 300/600 AV</v>
      </c>
    </row>
    <row r="376" spans="3:3" x14ac:dyDescent="0.25">
      <c r="C376" t="str">
        <v>BACALHAU-DO-PACIFICO FIL AV11</v>
      </c>
    </row>
    <row r="377" spans="3:3" x14ac:dyDescent="0.25">
      <c r="C377" t="str">
        <v>BACALHAU LOMBO 300/350 AV 6KG</v>
      </c>
    </row>
    <row r="378" spans="3:3" x14ac:dyDescent="0.25">
      <c r="C378" t="str">
        <v>NUGGETS DE FRANGO CONG-LOJA</v>
      </c>
    </row>
    <row r="379" spans="3:3" x14ac:dyDescent="0.25">
      <c r="C379" t="str">
        <v>FRANGO PEITO CUBOS SC 4X2.5KG</v>
      </c>
    </row>
    <row r="380" spans="3:3" x14ac:dyDescent="0.25">
      <c r="C380" t="str">
        <v>FRANGO PEITO TIRAS SC 4X2.5KG</v>
      </c>
    </row>
    <row r="381" spans="3:3" x14ac:dyDescent="0.25">
      <c r="C381" t="str">
        <v>FRANGO PEITO SALGADO 6X2KG</v>
      </c>
    </row>
    <row r="382" spans="3:3" x14ac:dyDescent="0.25">
      <c r="C382" t="str">
        <v>SALMÃO FIL C/P 400/1000 AV 10</v>
      </c>
    </row>
    <row r="383" spans="3:3" x14ac:dyDescent="0.25">
      <c r="C383" t="str">
        <v>BONITO FIL C/P 400/700 ENV</v>
      </c>
    </row>
    <row r="384" spans="3:3" x14ac:dyDescent="0.25">
      <c r="C384" t="str">
        <v>DOURADA FIL C/P 120/160 AV 5K</v>
      </c>
    </row>
    <row r="385" spans="3:3" x14ac:dyDescent="0.25">
      <c r="C385" t="str">
        <v>PEIXE GATO FILETE SC 6X0.8KG</v>
      </c>
    </row>
    <row r="386" spans="3:3" x14ac:dyDescent="0.25">
      <c r="C386" t="str">
        <v>TAMBORIL HG 300/500 CHN AV10K</v>
      </c>
    </row>
    <row r="387" spans="3:3" x14ac:dyDescent="0.25">
      <c r="C387" t="str">
        <v>TAMBORIL HG 500/700 CHN AV10K</v>
      </c>
    </row>
    <row r="388" spans="3:3" x14ac:dyDescent="0.25">
      <c r="C388" t="str">
        <v>TAMBORIL HG 700/1000 CHN AV10</v>
      </c>
    </row>
    <row r="389" spans="3:3" x14ac:dyDescent="0.25">
      <c r="C389" t="str">
        <v>TAMBORIL HG 1000/UP CHN AV10K</v>
      </c>
    </row>
    <row r="390" spans="3:3" x14ac:dyDescent="0.25">
      <c r="C390" t="str">
        <v>ESPADARTE PST XTR 1/2 L 20%GR</v>
      </c>
    </row>
    <row r="391" spans="3:3" x14ac:dyDescent="0.25">
      <c r="C391" t="str">
        <v>SARDINHA FAO 27 10/13 AV 7KG</v>
      </c>
    </row>
    <row r="392" spans="3:3" x14ac:dyDescent="0.25">
      <c r="C392" t="str">
        <v>SALMÃO PORÇﾕES C/P AV 6KG</v>
      </c>
    </row>
    <row r="393" spans="3:3" x14ac:dyDescent="0.25">
      <c r="C393" t="str">
        <v>SARDINHA FAO 27 SC 1KG PL</v>
      </c>
    </row>
    <row r="394" spans="3:3" x14ac:dyDescent="0.25">
      <c r="C394" t="str">
        <v>PEIXE-VERMELHO FIL C/P100/150</v>
      </c>
    </row>
    <row r="395" spans="3:3" x14ac:dyDescent="0.25">
      <c r="C395" t="str">
        <v>CAVALA FIL 100/150 SC 6X0.8KG</v>
      </c>
    </row>
    <row r="396" spans="3:3" x14ac:dyDescent="0.25">
      <c r="C396" t="str">
        <v>POLVO 1/2KG HIG FAO51 GELTUGA</v>
      </c>
    </row>
    <row r="397" spans="3:3" x14ac:dyDescent="0.25">
      <c r="C397" t="str">
        <v>POLVO 2/3KG HIG FAO51 GELTUGA</v>
      </c>
    </row>
    <row r="398" spans="3:3" x14ac:dyDescent="0.25">
      <c r="C398" t="str">
        <v>POLVO 1/2KG HIG FAO34</v>
      </c>
    </row>
    <row r="399" spans="3:3" x14ac:dyDescent="0.25">
      <c r="C399" t="str">
        <v>POLVO BABY IND 20/40 SC 10X0.</v>
      </c>
    </row>
    <row r="400" spans="3:3" x14ac:dyDescent="0.25">
      <c r="C400" t="str">
        <v>POLVO CABEÇA COZ. AV 5KG</v>
      </c>
    </row>
    <row r="401" spans="3:3" x14ac:dyDescent="0.25">
      <c r="C401" t="str">
        <v>AMEIJOA BRC. VIET 40/60 VC 1K</v>
      </c>
    </row>
    <row r="402" spans="3:3" x14ac:dyDescent="0.25">
      <c r="C402" t="str">
        <v>AMEIJOA BRC VIET 60/80 VC 900</v>
      </c>
    </row>
    <row r="403" spans="3:3" x14ac:dyDescent="0.25">
      <c r="C403" t="str">
        <v>AMEIJOA CAS. VIET 40/60 VC 1K</v>
      </c>
    </row>
    <row r="404" spans="3:3" x14ac:dyDescent="0.25">
      <c r="C404" t="str">
        <v>DELICIAS DO MAR VC 20X0.25KG</v>
      </c>
    </row>
    <row r="405" spans="3:3" x14ac:dyDescent="0.25">
      <c r="C405" t="str">
        <v>DELICIAS LAGOSTA VC 20X0.25KG</v>
      </c>
    </row>
    <row r="406" spans="3:3" x14ac:dyDescent="0.25">
      <c r="C406" t="str">
        <v>MUSLITOS DO MAR CX 20X0.25KG</v>
      </c>
    </row>
    <row r="407" spans="3:3" x14ac:dyDescent="0.25">
      <c r="C407" t="str">
        <v>MUSLITOS DO MAR CX 6X1KG</v>
      </c>
    </row>
    <row r="408" spans="3:3" x14ac:dyDescent="0.25">
      <c r="C408" t="str">
        <v>CAMARAO BT 2/4 CX 10X0.75KG</v>
      </c>
    </row>
    <row r="409" spans="3:3" x14ac:dyDescent="0.25">
      <c r="C409" t="str">
        <v>GAMBAO ARG L1 CB 6X2KG</v>
      </c>
    </row>
    <row r="410" spans="3:3" x14ac:dyDescent="0.25">
      <c r="C410" t="str">
        <v>CAMARÃO INT VAN 40/50 10X2KG</v>
      </c>
    </row>
    <row r="411" spans="3:3" x14ac:dyDescent="0.25">
      <c r="C411" t="str">
        <v>CAM.BT MIOL 16/20 SC 10X0.75K</v>
      </c>
    </row>
    <row r="412" spans="3:3" x14ac:dyDescent="0.25">
      <c r="C412" t="str">
        <v>CAM.BT MIOL 21/25 SC 10X0.75K</v>
      </c>
    </row>
    <row r="413" spans="3:3" x14ac:dyDescent="0.25">
      <c r="C413" t="str">
        <v>CABRITO S/CABEÇA 4/6.5KG FR</v>
      </c>
    </row>
    <row r="414" spans="3:3" x14ac:dyDescent="0.25">
      <c r="C414" t="str">
        <v>VISICULA</v>
      </c>
    </row>
    <row r="415" spans="3:3" x14ac:dyDescent="0.25">
      <c r="C415" t="str">
        <v>VESICULA CONGELADA</v>
      </c>
    </row>
    <row r="416" spans="3:3" x14ac:dyDescent="0.25">
      <c r="C416" t="str">
        <v>CINTA DO LOMBO CONGELADA</v>
      </c>
    </row>
    <row r="417" spans="3:3" x14ac:dyDescent="0.25">
      <c r="C417" t="str">
        <v>CABEÇO LOMBO S/OSSO CONGELADO</v>
      </c>
    </row>
    <row r="418" spans="3:3" x14ac:dyDescent="0.25">
      <c r="C418" t="str">
        <v>LOMBADA C/COURO</v>
      </c>
    </row>
    <row r="419" spans="3:3" x14ac:dyDescent="0.25">
      <c r="C419" t="str">
        <v>CHOURIÇO CRIOLO CONGELADO 2 KG</v>
      </c>
    </row>
    <row r="420" spans="3:3" x14ac:dyDescent="0.25">
      <c r="C420" t="str">
        <v>SALSICHA BREAKFAST SC 2X2KG</v>
      </c>
    </row>
    <row r="421" spans="3:3" x14ac:dyDescent="0.25">
      <c r="C421" t="str">
        <v>CHOURIÇO CRIOLO CURTO CONG.</v>
      </c>
    </row>
    <row r="422" spans="3:3" x14ac:dyDescent="0.25">
      <c r="C422" t="str">
        <v>BACON MOLDADO S/COURO INTEIRO</v>
      </c>
    </row>
    <row r="423" spans="3:3" x14ac:dyDescent="0.25">
      <c r="C423" t="str">
        <v>BACON FATIADO CONGELADO</v>
      </c>
    </row>
    <row r="424" spans="3:3" x14ac:dyDescent="0.25">
      <c r="C424" t="str">
        <v>BACON INTEIRO CONGELADO</v>
      </c>
    </row>
    <row r="425" spans="3:3" x14ac:dyDescent="0.25">
      <c r="C425" t="str">
        <v>BACON FATIADO CONGELADO 7.2 KG</v>
      </c>
    </row>
    <row r="426" spans="3:3" x14ac:dyDescent="0.25">
      <c r="C426" t="str">
        <v>PORCO PERNA COZ. FUM.C/OSSO AV</v>
      </c>
    </row>
    <row r="427" spans="3:3" x14ac:dyDescent="0.25">
      <c r="C427" t="str">
        <v>EUROPALETES</v>
      </c>
    </row>
    <row r="428" spans="3:3" x14ac:dyDescent="0.25">
      <c r="C428" t="str">
        <v>BACALHAU DEM. POSTA -300G AV</v>
      </c>
    </row>
    <row r="429" spans="3:3" x14ac:dyDescent="0.25">
      <c r="C429" t="str">
        <v>BACALHAU POSTINHAS SC 8X0.7KG</v>
      </c>
    </row>
    <row r="430" spans="3:3" x14ac:dyDescent="0.25">
      <c r="C430" t="str">
        <v>BAC. POSTA C/LOMBO EXT 400/600</v>
      </c>
    </row>
    <row r="431" spans="3:3" x14ac:dyDescent="0.25">
      <c r="C431" t="str">
        <v>PANGASIUS FIL W 170/220 10X0.8</v>
      </c>
    </row>
    <row r="432" spans="3:3" x14ac:dyDescent="0.25">
      <c r="C432" t="str">
        <v>POLVO BABY IND 20/40 SC 10X0.8</v>
      </c>
    </row>
    <row r="433" spans="3:3" x14ac:dyDescent="0.25">
      <c r="C433" t="str">
        <v>RISSOIS CARNE FORTE 45 GR AV</v>
      </c>
    </row>
    <row r="434" spans="3:3" x14ac:dyDescent="0.25">
      <c r="C434" t="str">
        <v>BOLINHOS BACALHAU FORTE 45G AV</v>
      </c>
    </row>
    <row r="435" spans="3:3" x14ac:dyDescent="0.25">
      <c r="C435" t="str">
        <v>CAMARAO BT 4/6 CX 10X0.75KG</v>
      </c>
    </row>
    <row r="436" spans="3:3" x14ac:dyDescent="0.25">
      <c r="C436" t="str">
        <v>CAM.BT MIOL 16/20 SC 10X0.75KG</v>
      </c>
    </row>
    <row r="437" spans="3:3" x14ac:dyDescent="0.25">
      <c r="C437" t="str">
        <v>BORREGO PERNA C/OSSO NZ</v>
      </c>
    </row>
    <row r="438" spans="3:3" x14ac:dyDescent="0.25">
      <c r="C438" t="str">
        <v>BORREGO PERNA C/OSSO ARG</v>
      </c>
    </row>
    <row r="439" spans="3:3" x14ac:dyDescent="0.25">
      <c r="C439" t="str">
        <v>APARAS P/ CHOURIÇO</v>
      </c>
    </row>
    <row r="440" spans="3:3" x14ac:dyDescent="0.25">
      <c r="C440" t="str">
        <v>UNHA MÂO</v>
      </c>
    </row>
    <row r="441" spans="3:3" x14ac:dyDescent="0.25">
      <c r="C441" t="str">
        <v>CORAÇÂO</v>
      </c>
    </row>
    <row r="442" spans="3:3" x14ac:dyDescent="0.25">
      <c r="C442" t="str">
        <v>MÂOS</v>
      </c>
    </row>
    <row r="443" spans="3:3" x14ac:dyDescent="0.25">
      <c r="C443" t="str">
        <v>MÂOS CONGELADAS</v>
      </c>
    </row>
    <row r="444" spans="3:3" x14ac:dyDescent="0.25">
      <c r="C444" t="str">
        <v>OSSOS ASSUÂ FRESCOS</v>
      </c>
    </row>
    <row r="445" spans="3:3" x14ac:dyDescent="0.25">
      <c r="C445" t="str">
        <v>TOCOS FRESCOS MÂO</v>
      </c>
    </row>
    <row r="446" spans="3:3" x14ac:dyDescent="0.25">
      <c r="C446" t="str">
        <v>TRIPA FINA PARA CALIBRAÇÂO</v>
      </c>
    </row>
    <row r="447" spans="3:3" x14ac:dyDescent="0.25">
      <c r="C447" t="str">
        <v>SECRETOS DE PORCO FRESCOS</v>
      </c>
    </row>
    <row r="448" spans="3:3" x14ac:dyDescent="0.25">
      <c r="C448" t="str">
        <v>BARRIGA S/COURO C/OSSO CONGEL.</v>
      </c>
    </row>
    <row r="449" spans="3:3" x14ac:dyDescent="0.25">
      <c r="C449" t="str">
        <v>PÁ C/COURO C/OSSO C/MÂO</v>
      </c>
    </row>
    <row r="450" spans="3:3" x14ac:dyDescent="0.25">
      <c r="C450" t="str">
        <v>UNHA MÂO CONGELADO</v>
      </c>
    </row>
    <row r="451" spans="3:3" x14ac:dyDescent="0.25">
      <c r="C451" t="str">
        <v>CHOURIÇÂO</v>
      </c>
    </row>
    <row r="452" spans="3:3" x14ac:dyDescent="0.25">
      <c r="C452" t="str">
        <v>CHOURIÇÂO BARRA</v>
      </c>
    </row>
    <row r="453" spans="3:3" x14ac:dyDescent="0.25">
      <c r="C453" t="str">
        <v>SALPICÂO NE</v>
      </c>
    </row>
    <row r="454" spans="3:3" x14ac:dyDescent="0.25">
      <c r="C454" t="str">
        <v>SALPICÂO SC IND</v>
      </c>
    </row>
    <row r="455" spans="3:3" x14ac:dyDescent="0.25">
      <c r="C455" t="str">
        <v>SALSICHA TIPO FRANKFURT</v>
      </c>
    </row>
    <row r="456" spans="3:3" x14ac:dyDescent="0.25">
      <c r="C456" t="str">
        <v>SALSICHÂO</v>
      </c>
    </row>
    <row r="457" spans="3:3" x14ac:dyDescent="0.25">
      <c r="C457" t="str">
        <v>BACALHAU DEM.LOMBINHOS S/CALIB</v>
      </c>
    </row>
    <row r="458" spans="3:3" x14ac:dyDescent="0.25">
      <c r="C458" t="str">
        <v>BACALHAU DEM.POSTA SC 700G PL</v>
      </c>
    </row>
    <row r="459" spans="3:3" x14ac:dyDescent="0.25">
      <c r="C459" t="str">
        <v>BAC.DEM. CALDEIRADA SC 800G PL</v>
      </c>
    </row>
    <row r="460" spans="3:3" x14ac:dyDescent="0.25">
      <c r="C460" t="str">
        <v>BACALHAU DEM. MIGAS SC 400G PL</v>
      </c>
    </row>
    <row r="461" spans="3:3" x14ac:dyDescent="0.25">
      <c r="C461" t="str">
        <v>BACALHAU LOMBO MED 200/300 AV</v>
      </c>
    </row>
    <row r="462" spans="3:3" x14ac:dyDescent="0.25">
      <c r="C462" t="str">
        <v>BACALHAU MIGAS CV 400G</v>
      </c>
    </row>
    <row r="463" spans="3:3" x14ac:dyDescent="0.25">
      <c r="C463" t="str">
        <v>POLVO 1500/2000 HIG MDP</v>
      </c>
    </row>
    <row r="464" spans="3:3" x14ac:dyDescent="0.25">
      <c r="C464" t="str">
        <v>POLVO 2/3KG HIG MDP</v>
      </c>
    </row>
    <row r="465" spans="3:3" x14ac:dyDescent="0.25">
      <c r="C465" t="str">
        <v>AMEIJOA BRC VIET 60/80 VC 900G</v>
      </c>
    </row>
    <row r="466" spans="3:3" x14ac:dyDescent="0.25">
      <c r="C466" t="str">
        <v>AMEIJOA CAST VIET 60/80 VC900G</v>
      </c>
    </row>
    <row r="467" spans="3:3" x14ac:dyDescent="0.25">
      <c r="C467" t="str">
        <v>CAM.BT MIOL 21/25 SC 10X0.75KG</v>
      </c>
    </row>
    <row r="468" spans="3:3" x14ac:dyDescent="0.25">
      <c r="C468" t="str">
        <v>CABEÇA S/ OSSO CONGELADA</v>
      </c>
    </row>
    <row r="469" spans="3:3" x14ac:dyDescent="0.25">
      <c r="C469" t="str">
        <v>TOCOS CONGELADOS MÃO</v>
      </c>
    </row>
    <row r="470" spans="3:3" x14ac:dyDescent="0.25">
      <c r="C470" t="str">
        <v>BARRIGA S/OSSO</v>
      </c>
    </row>
    <row r="471" spans="3:3" x14ac:dyDescent="0.25">
      <c r="C471" t="str">
        <v>BARRIGUINHAS CONGELADAS</v>
      </c>
    </row>
    <row r="472" spans="3:3" x14ac:dyDescent="0.25">
      <c r="C472" t="str">
        <v>BARRIGA S/COSTELA</v>
      </c>
    </row>
    <row r="473" spans="3:3" x14ac:dyDescent="0.25">
      <c r="C473" t="str">
        <v>ROJOES DE SUINO CONGELADOS VC</v>
      </c>
    </row>
    <row r="474" spans="3:3" x14ac:dyDescent="0.25">
      <c r="C474" t="str">
        <v>BACALHAU LOMBO MÉD.300/400 HIG</v>
      </c>
    </row>
    <row r="475" spans="3:3" x14ac:dyDescent="0.25">
      <c r="C475" t="str">
        <v>BAC. POSTA C/LOMBO 300/600 HIG</v>
      </c>
    </row>
    <row r="476" spans="3:3" x14ac:dyDescent="0.25">
      <c r="C476" t="str">
        <v>TAMBORIL HG 700/1000 CHN AV10K</v>
      </c>
    </row>
    <row r="477" spans="3:3" x14ac:dyDescent="0.25">
      <c r="C477" t="str">
        <v>ESPADARTE PST XTR 1/2 L 20%GRN</v>
      </c>
    </row>
    <row r="478" spans="3:3" x14ac:dyDescent="0.25">
      <c r="C478" t="str">
        <v>ESPADARTE POSTA MISTA GRN 20%</v>
      </c>
    </row>
    <row r="479" spans="3:3" x14ac:dyDescent="0.25">
      <c r="C479" t="str">
        <v>TINTUREIRA POSTA EXTRA GRN 20%</v>
      </c>
    </row>
    <row r="480" spans="3:3" x14ac:dyDescent="0.25">
      <c r="C480" t="str">
        <v>PANGASIUS FIL  170/220 10X0.8</v>
      </c>
    </row>
    <row r="481" spans="3:3" x14ac:dyDescent="0.25">
      <c r="C481" t="str">
        <v>TILAPIA FIL 3/5OZ SC 6X0.8KG</v>
      </c>
    </row>
    <row r="482" spans="3:3" x14ac:dyDescent="0.25">
      <c r="C482" t="str">
        <v>TILAPIA INT 300/500 AV 5 KG</v>
      </c>
    </row>
    <row r="483" spans="3:3" x14ac:dyDescent="0.25">
      <c r="C483" t="str">
        <v>LULA LIMPA IND10/20 SC10X0.8KG</v>
      </c>
    </row>
    <row r="484" spans="3:3" x14ac:dyDescent="0.25">
      <c r="C484" t="str">
        <v>LULA LIMPA IND20/40 SC10X0.8KG</v>
      </c>
    </row>
    <row r="485" spans="3:3" x14ac:dyDescent="0.25">
      <c r="C485" t="str">
        <v>POLVO CABEÇA COZ. AV 9KG</v>
      </c>
    </row>
    <row r="486" spans="3:3" x14ac:dyDescent="0.25">
      <c r="C486" t="str">
        <v>POLVO 2/3KG HIG GELTUGA</v>
      </c>
    </row>
    <row r="487" spans="3:3" x14ac:dyDescent="0.25">
      <c r="C487" t="str">
        <v>LULA INT CALIFORNIA11/15 AV7KG</v>
      </c>
    </row>
    <row r="488" spans="3:3" x14ac:dyDescent="0.25">
      <c r="C488" t="str">
        <v>CAMARAO VAN IND 20/30 10X1.8KG</v>
      </c>
    </row>
    <row r="489" spans="3:3" x14ac:dyDescent="0.25">
      <c r="C489" t="str">
        <v>OUVIDOS FRESCOS</v>
      </c>
    </row>
    <row r="490" spans="3:3" x14ac:dyDescent="0.25">
      <c r="C490" t="str">
        <v>TOCOS CONGELADOS MÂO</v>
      </c>
    </row>
    <row r="491" spans="3:3" x14ac:dyDescent="0.25">
      <c r="C491" t="str">
        <v>TOCOS CONGELADOS PÉ</v>
      </c>
    </row>
    <row r="492" spans="3:3" x14ac:dyDescent="0.25">
      <c r="C492" t="str">
        <v>CINTA DO LOMBO METADES CONG.</v>
      </c>
    </row>
    <row r="493" spans="3:3" x14ac:dyDescent="0.25">
      <c r="C493" t="str">
        <v>ROJOES DE SUINO CONGELADOS AV</v>
      </c>
    </row>
    <row r="494" spans="3:3" x14ac:dyDescent="0.25">
      <c r="C494" t="str">
        <v>CABEÇA C/ OSSO CONGELADA</v>
      </c>
    </row>
    <row r="495" spans="3:3" x14ac:dyDescent="0.25">
      <c r="C495" t="str">
        <v>BACALHAU POSTA EXTRA 400/600PL</v>
      </c>
    </row>
    <row r="496" spans="3:3" x14ac:dyDescent="0.25">
      <c r="C496" t="str">
        <v>BACALHAU POSTA EXTRA 600/800PL</v>
      </c>
    </row>
    <row r="497" spans="3:3" x14ac:dyDescent="0.25">
      <c r="C497" t="str">
        <v>BACALHAU LOMBO CENTRO 300/400</v>
      </c>
    </row>
    <row r="498" spans="3:3" x14ac:dyDescent="0.25">
      <c r="C498" t="str">
        <v>BACALHAU CRESCIDO SALG. SECO</v>
      </c>
    </row>
    <row r="499" spans="3:3" x14ac:dyDescent="0.25">
      <c r="C499" t="str">
        <v>PALOCO MIGAS DEM. AV 20% VID</v>
      </c>
    </row>
    <row r="500" spans="3:3" x14ac:dyDescent="0.25">
      <c r="C500" t="str">
        <v>TAMBORIL HG 500/700 CHN AV10KG</v>
      </c>
    </row>
    <row r="501" spans="3:3" x14ac:dyDescent="0.25">
      <c r="C501" t="str">
        <v>SALMÃO PORÇÕES C/P AV 6KG</v>
      </c>
    </row>
    <row r="502" spans="3:3" x14ac:dyDescent="0.25">
      <c r="C502" t="str">
        <v>SARDINHA INT NACIONAL AV 7KG</v>
      </c>
    </row>
    <row r="503" spans="3:3" x14ac:dyDescent="0.25">
      <c r="C503" t="str">
        <v>POLVO 1/2KG HIG GELTUGA</v>
      </c>
    </row>
    <row r="504" spans="3:3" x14ac:dyDescent="0.25">
      <c r="C504" t="str">
        <v>MEXILHAO MIOLO 300/500 AV 10KG</v>
      </c>
    </row>
    <row r="505" spans="3:3" x14ac:dyDescent="0.25">
      <c r="C505" t="str">
        <v>CROQUETES CARNE 30G 12X360G</v>
      </c>
    </row>
    <row r="506" spans="3:3" x14ac:dyDescent="0.25">
      <c r="C506" t="str">
        <v>CINTA DO LOMBO CONG VC</v>
      </c>
    </row>
    <row r="507" spans="3:3" x14ac:dyDescent="0.25">
      <c r="C507" t="str">
        <v>COSTELETA MISTA CONGELADA</v>
      </c>
    </row>
    <row r="508" spans="3:3" x14ac:dyDescent="0.25">
      <c r="C508" t="str">
        <v>BARRIGA P/ BACON CONGELADA</v>
      </c>
    </row>
    <row r="509" spans="3:3" x14ac:dyDescent="0.25">
      <c r="C509" t="str">
        <v>FEVERA PÁ CONG VC</v>
      </c>
    </row>
    <row r="510" spans="3:3" x14ac:dyDescent="0.25">
      <c r="C510" t="str">
        <v>LULA LIMPA 10/20 1KG PL REYMAR</v>
      </c>
    </row>
    <row r="511" spans="3:3" x14ac:dyDescent="0.25">
      <c r="C511" t="str">
        <v>POTA TENTAC XL AVULSO</v>
      </c>
    </row>
    <row r="512" spans="3:3" x14ac:dyDescent="0.25">
      <c r="C512" t="str">
        <v>POLVO COZ. 3 TENT 10X0.250KG</v>
      </c>
    </row>
    <row r="513" spans="3:3" x14ac:dyDescent="0.25">
      <c r="C513" t="str">
        <v>RISSOIS FEIJÃO CV 10X0.36 KG</v>
      </c>
    </row>
    <row r="514" spans="3:3" x14ac:dyDescent="0.25">
      <c r="C514" t="str">
        <v>RISSOIS TOFU E ESPINAFRES</v>
      </c>
    </row>
    <row r="515" spans="3:3" x14ac:dyDescent="0.25">
      <c r="C515" t="str">
        <v>LAGOSTA COZ 860/1100 CX 10 KG</v>
      </c>
    </row>
    <row r="516" spans="3:3" x14ac:dyDescent="0.25">
      <c r="C516" t="str">
        <v>UNTO</v>
      </c>
    </row>
    <row r="517" spans="3:3" x14ac:dyDescent="0.25">
      <c r="C517" t="str">
        <v>CARCAÇA QUEIMADA</v>
      </c>
    </row>
    <row r="518" spans="3:3" x14ac:dyDescent="0.25">
      <c r="C518" t="str">
        <v>SECRETOS DE PORCO CONGELADOS</v>
      </c>
    </row>
    <row r="519" spans="3:3" x14ac:dyDescent="0.25">
      <c r="C519" t="str">
        <v>COSTELA LOMBO CONGELADA</v>
      </c>
    </row>
    <row r="520" spans="3:3" x14ac:dyDescent="0.25">
      <c r="C520" t="str">
        <v>CARCAÇA S/CABEÇA</v>
      </c>
    </row>
    <row r="521" spans="3:3" x14ac:dyDescent="0.25">
      <c r="C521" t="str">
        <v>LINGUAS FUMADAS</v>
      </c>
    </row>
    <row r="522" spans="3:3" x14ac:dyDescent="0.25">
      <c r="C522" t="str">
        <v>BACALHAU DEM LOMBO 300/400 HIG</v>
      </c>
    </row>
    <row r="523" spans="3:3" x14ac:dyDescent="0.25">
      <c r="C523" t="str">
        <v>MEXILHAO INT GAL 40/60 VC 9X1K</v>
      </c>
    </row>
    <row r="524" spans="3:3" x14ac:dyDescent="0.25">
      <c r="C524" t="str">
        <v>BUCHO</v>
      </c>
    </row>
    <row r="525" spans="3:3" x14ac:dyDescent="0.25">
      <c r="C525" t="str">
        <v>BUCHO CRÚ</v>
      </c>
    </row>
    <row r="526" spans="3:3" x14ac:dyDescent="0.25">
      <c r="C526" t="str">
        <v>CABEÇA C/OSSO</v>
      </c>
    </row>
    <row r="527" spans="3:3" x14ac:dyDescent="0.25">
      <c r="C527" t="str">
        <v>CABEÇA S/OSSO CONGELADA</v>
      </c>
    </row>
    <row r="528" spans="3:3" x14ac:dyDescent="0.25">
      <c r="C528" t="str">
        <v>BOCHECHA INTEIRA CONGELADA</v>
      </c>
    </row>
    <row r="529" spans="3:3" x14ac:dyDescent="0.25">
      <c r="C529" t="str">
        <v>BOCHECHAS DE BÍSARO CONGELADAS</v>
      </c>
    </row>
    <row r="530" spans="3:3" x14ac:dyDescent="0.25">
      <c r="C530" t="str">
        <v>PERNIL CONGELADOS RODELAS</v>
      </c>
    </row>
    <row r="531" spans="3:3" x14ac:dyDescent="0.25">
      <c r="C531" t="str">
        <v>RABOS CONGELADOS</v>
      </c>
    </row>
    <row r="532" spans="3:3" x14ac:dyDescent="0.25">
      <c r="C532" t="str">
        <v>LOMBELOS CONGELADOS DE BÍSARO</v>
      </c>
    </row>
    <row r="533" spans="3:3" x14ac:dyDescent="0.25">
      <c r="C533" t="str">
        <v>LOMBO S/OSSO CONGELADO BÍSARO</v>
      </c>
    </row>
    <row r="534" spans="3:3" x14ac:dyDescent="0.25">
      <c r="C534" t="str">
        <v>SECRETOS DE BÍSARO CONGELADOS</v>
      </c>
    </row>
    <row r="535" spans="3:3" x14ac:dyDescent="0.25">
      <c r="C535" t="str">
        <v>PLUMAS DE BÍSARO CONGELADOS</v>
      </c>
    </row>
    <row r="536" spans="3:3" x14ac:dyDescent="0.25">
      <c r="C536" t="str">
        <v>COSTELA DE BÍSARO CONGELADA</v>
      </c>
    </row>
    <row r="537" spans="3:3" x14ac:dyDescent="0.25">
      <c r="C537" t="str">
        <v>CABEÇO LOMBO S/OSSO DE BÍSARO</v>
      </c>
    </row>
    <row r="538" spans="3:3" x14ac:dyDescent="0.25">
      <c r="C538" t="str">
        <v>BARRIGA S/COURO C/OSSO CONGEL</v>
      </c>
    </row>
    <row r="539" spans="3:3" x14ac:dyDescent="0.25">
      <c r="C539" t="str">
        <v xml:space="preserve">PÁ YORK </v>
      </c>
    </row>
    <row r="540" spans="3:3" x14ac:dyDescent="0.25">
      <c r="C540" t="str">
        <v>ROJOES DE SUÍNO CONGELADOS AV</v>
      </c>
    </row>
    <row r="541" spans="3:3" x14ac:dyDescent="0.25">
      <c r="C541" t="str">
        <v>SALSICHA TOSCANA 4 UN 200G</v>
      </c>
    </row>
    <row r="542" spans="3:3" x14ac:dyDescent="0.25">
      <c r="C542" t="str">
        <v>SALSICHA TOSCANA PIC 4UN 200G</v>
      </c>
    </row>
    <row r="543" spans="3:3" x14ac:dyDescent="0.25">
      <c r="C543" t="str">
        <v xml:space="preserve">FIAMBRE PERNA EXTRA MINI </v>
      </c>
    </row>
    <row r="544" spans="3:3" x14ac:dyDescent="0.25">
      <c r="C544" t="str">
        <v xml:space="preserve">SALSICHA FRESCA </v>
      </c>
    </row>
    <row r="545" spans="3:3" x14ac:dyDescent="0.25">
      <c r="C545" t="str">
        <v>BACON INTEIRO EXTRA</v>
      </c>
    </row>
    <row r="546" spans="3:3" x14ac:dyDescent="0.25">
      <c r="C546" t="str">
        <v>BACON 1/2 EXTRA</v>
      </c>
    </row>
    <row r="547" spans="3:3" x14ac:dyDescent="0.25">
      <c r="C547" t="str">
        <v>BACON INTEIRO CORRENTE</v>
      </c>
    </row>
    <row r="548" spans="3:3" x14ac:dyDescent="0.25">
      <c r="C548" t="str">
        <v>BACON 1/2 CORRENTE</v>
      </c>
    </row>
    <row r="549" spans="3:3" x14ac:dyDescent="0.25">
      <c r="C549" t="str">
        <v>CHOURIÇO COLORAU SC PENTÁGONO</v>
      </c>
    </row>
    <row r="550" spans="3:3" x14ac:dyDescent="0.25">
      <c r="C550" t="str">
        <v>CHOURIÇO VINHO GROSSO EMB. 200GR.</v>
      </c>
    </row>
    <row r="551" spans="3:3" x14ac:dyDescent="0.25">
      <c r="C551" t="str">
        <v>MORCELA EMBL. IND 180 GR</v>
      </c>
    </row>
    <row r="552" spans="3:3" x14ac:dyDescent="0.25">
      <c r="C552" t="str">
        <v xml:space="preserve">MORCELA SC  </v>
      </c>
    </row>
    <row r="553" spans="3:3" x14ac:dyDescent="0.25">
      <c r="C553" t="str">
        <v>PERNIL FUMADO SC</v>
      </c>
    </row>
    <row r="554" spans="3:3" x14ac:dyDescent="0.25">
      <c r="C554" t="str">
        <v>SALPICÃO SC IND 250 GR</v>
      </c>
    </row>
    <row r="555" spans="3:3" x14ac:dyDescent="0.25">
      <c r="C555" t="str">
        <v>PANGASIUS FIL W  170/220 10X,08</v>
      </c>
    </row>
    <row r="556" spans="3:3" x14ac:dyDescent="0.25">
      <c r="C556" t="str">
        <v>PANGASIUS FIL 170/220 10X0,8</v>
      </c>
    </row>
    <row r="557" spans="3:3" x14ac:dyDescent="0.25">
      <c r="C557" t="str">
        <v>LULA LIMPA IND 10/20 SC 800GR</v>
      </c>
    </row>
    <row r="558" spans="3:3" x14ac:dyDescent="0.25">
      <c r="C558" t="str">
        <v xml:space="preserve">POLVO 1500/2000 HIG </v>
      </c>
    </row>
    <row r="559" spans="3:3" x14ac:dyDescent="0.25">
      <c r="C559" t="str">
        <v xml:space="preserve">MARISCADA S/GLUTEN AV 8KG  </v>
      </c>
    </row>
    <row r="560" spans="3:3" x14ac:dyDescent="0.25">
      <c r="C560" t="str">
        <v xml:space="preserve">BOLINHOS BACALHAU 12X360G    </v>
      </c>
    </row>
    <row r="561" spans="3:3" x14ac:dyDescent="0.25">
      <c r="C561" t="str">
        <v xml:space="preserve">DELICIAS DO MAR VC 20X0.25KG </v>
      </c>
    </row>
    <row r="562" spans="3:3" x14ac:dyDescent="0.25">
      <c r="C562" t="str">
        <v xml:space="preserve">DELICIAS LAGOSTA VC 20X0.25KG  </v>
      </c>
    </row>
    <row r="563" spans="3:3" x14ac:dyDescent="0.25">
      <c r="C563" t="str">
        <v xml:space="preserve">MUSLITOS DO MAR CX 6X1KG </v>
      </c>
    </row>
    <row r="564" spans="3:3" x14ac:dyDescent="0.25">
      <c r="C564" t="str">
        <v xml:space="preserve">CAMARÃO INT VAN 40/50 10X2KG  </v>
      </c>
    </row>
    <row r="565" spans="3:3" x14ac:dyDescent="0.25">
      <c r="C565" t="str">
        <v>BUCHO CONGELADO</v>
      </c>
    </row>
    <row r="566" spans="3:3" x14ac:dyDescent="0.25">
      <c r="C566" t="str">
        <v>CABEÇA S/ OSSO</v>
      </c>
    </row>
    <row r="567" spans="3:3" x14ac:dyDescent="0.25">
      <c r="C567" t="str">
        <v>COLADAS S/ FIGADO</v>
      </c>
    </row>
    <row r="568" spans="3:3" x14ac:dyDescent="0.25">
      <c r="C568" t="str">
        <v xml:space="preserve">TOUCINHO GORDO S/ COURO    </v>
      </c>
    </row>
    <row r="569" spans="3:3" x14ac:dyDescent="0.25">
      <c r="C569" t="str">
        <v xml:space="preserve">SECRETOS DE PORCO FRESCOS   </v>
      </c>
    </row>
    <row r="570" spans="3:3" x14ac:dyDescent="0.25">
      <c r="C570" t="str">
        <v xml:space="preserve">CINTA DO LOMBO CONGELADA </v>
      </c>
    </row>
    <row r="571" spans="3:3" x14ac:dyDescent="0.25">
      <c r="C571" t="str">
        <v xml:space="preserve">CINTA DO LOMBO METADES CONG.  </v>
      </c>
    </row>
    <row r="572" spans="3:3" x14ac:dyDescent="0.25">
      <c r="C572" t="str">
        <v xml:space="preserve">CINTA DO LOMBO CONG VC     </v>
      </c>
    </row>
    <row r="573" spans="3:3" x14ac:dyDescent="0.25">
      <c r="C573" t="str">
        <v xml:space="preserve">LOMBO S/CABEÇO CONGELADO  </v>
      </c>
    </row>
    <row r="574" spans="3:3" x14ac:dyDescent="0.25">
      <c r="C574" t="str">
        <v xml:space="preserve">PONTAS DE COSTELA CONGELADAS  </v>
      </c>
    </row>
    <row r="575" spans="3:3" x14ac:dyDescent="0.25">
      <c r="C575" t="str">
        <v xml:space="preserve">CHISPE CURTO PÉ CONGELADO </v>
      </c>
    </row>
    <row r="576" spans="3:3" x14ac:dyDescent="0.25">
      <c r="C576" t="str">
        <v>FIAMBRE DE PERU PG</v>
      </c>
    </row>
    <row r="577" spans="3:3" x14ac:dyDescent="0.25">
      <c r="C577" t="str">
        <v xml:space="preserve">BARRIGA SEM OSSO CONGELADA </v>
      </c>
    </row>
    <row r="578" spans="3:3" x14ac:dyDescent="0.25">
      <c r="C578" t="str">
        <v xml:space="preserve">CHOURIÇO CRIOLO PICANTE 4 UNID </v>
      </c>
    </row>
    <row r="579" spans="3:3" x14ac:dyDescent="0.25">
      <c r="C579" t="str">
        <v xml:space="preserve">CHOURIÇO CRIOLO 4 UNIDADES </v>
      </c>
    </row>
    <row r="580" spans="3:3" x14ac:dyDescent="0.25">
      <c r="C580" t="str">
        <v xml:space="preserve">SALSICHA TOSCANA 4 UN 200G </v>
      </c>
    </row>
    <row r="581" spans="3:3" x14ac:dyDescent="0.25">
      <c r="C581" t="str">
        <v xml:space="preserve">SALSICHA TOSCANA PIC4UN 200G    </v>
      </c>
    </row>
    <row r="582" spans="3:3" x14ac:dyDescent="0.25">
      <c r="C582" t="str">
        <v xml:space="preserve">SALSICHA TOSCANA VC1KG CONG  </v>
      </c>
    </row>
    <row r="583" spans="3:3" x14ac:dyDescent="0.25">
      <c r="C583" t="str">
        <v xml:space="preserve">CHOURIÇO CRIOLO ESPECIAL </v>
      </c>
    </row>
    <row r="584" spans="3:3" x14ac:dyDescent="0.25">
      <c r="C584" t="str">
        <v xml:space="preserve">FIAMBRE PERNA PG S/COURO    </v>
      </c>
    </row>
    <row r="585" spans="3:3" x14ac:dyDescent="0.25">
      <c r="C585" t="str">
        <v xml:space="preserve">FIAMBRE PERNA QUAD. GR  </v>
      </c>
    </row>
    <row r="586" spans="3:3" x14ac:dyDescent="0.25">
      <c r="C586" t="str">
        <v xml:space="preserve">FIAMBRE ENCOSTA SOBREIRO MINI </v>
      </c>
    </row>
    <row r="587" spans="3:3" x14ac:dyDescent="0.25">
      <c r="C587" t="str">
        <v xml:space="preserve">FIAMBRE ENCOSTA SOBREIRO 1/2 </v>
      </c>
    </row>
    <row r="588" spans="3:3" x14ac:dyDescent="0.25">
      <c r="C588" t="str">
        <v xml:space="preserve">FIAMBRE ENCOSTA SOBREIRO BARRA </v>
      </c>
    </row>
    <row r="589" spans="3:3" x14ac:dyDescent="0.25">
      <c r="C589" t="str">
        <v xml:space="preserve">FILETE AFIAMBRADO BARRA   </v>
      </c>
    </row>
    <row r="590" spans="3:3" x14ac:dyDescent="0.25">
      <c r="C590" t="str">
        <v xml:space="preserve">SALSICHA FRESCA PICANTE   </v>
      </c>
    </row>
    <row r="591" spans="3:3" x14ac:dyDescent="0.25">
      <c r="C591" t="str">
        <v xml:space="preserve">BACON INTEIRO CORRENTE NE   </v>
      </c>
    </row>
    <row r="592" spans="3:3" x14ac:dyDescent="0.25">
      <c r="C592" t="str">
        <v xml:space="preserve">BACON 1/2 CORRENTE SC IND  </v>
      </c>
    </row>
    <row r="593" spans="3:3" x14ac:dyDescent="0.25">
      <c r="C593" t="str">
        <v xml:space="preserve">CHOURIÇO COLORAU PARES </v>
      </c>
    </row>
    <row r="594" spans="3:3" x14ac:dyDescent="0.25">
      <c r="C594" t="str">
        <v xml:space="preserve">CHOURIÇO COLORAU EMB.200 GR  </v>
      </c>
    </row>
    <row r="595" spans="3:3" x14ac:dyDescent="0.25">
      <c r="C595" t="str">
        <v xml:space="preserve">CHOURIÇO VINHO ARGOLA NE    </v>
      </c>
    </row>
    <row r="596" spans="3:3" x14ac:dyDescent="0.25">
      <c r="C596" t="str">
        <v xml:space="preserve">CHOURIÇO VINHO ARGOLA SC </v>
      </c>
    </row>
    <row r="597" spans="3:3" x14ac:dyDescent="0.25">
      <c r="C597" t="str">
        <v xml:space="preserve">CHOURIÇO VINHO GROSSO NE </v>
      </c>
    </row>
    <row r="598" spans="3:3" x14ac:dyDescent="0.25">
      <c r="C598" t="str">
        <v xml:space="preserve">CHOURIÇO VINHO GROSSO PARES </v>
      </c>
    </row>
    <row r="599" spans="3:3" x14ac:dyDescent="0.25">
      <c r="C599" t="str">
        <v xml:space="preserve">CHOUR.VINHO GROSSO EMB.200 GR.  </v>
      </c>
    </row>
    <row r="600" spans="3:3" x14ac:dyDescent="0.25">
      <c r="C600" t="str">
        <v xml:space="preserve">CHOURIÇO VINHO GROSSO SC   </v>
      </c>
    </row>
    <row r="601" spans="3:3" x14ac:dyDescent="0.25">
      <c r="C601" t="str">
        <v>MORCELA EMBL IND 180 GR</v>
      </c>
    </row>
    <row r="602" spans="3:3" x14ac:dyDescent="0.25">
      <c r="C602" t="str">
        <v xml:space="preserve">SALPICÃO SC IND 250 GR  </v>
      </c>
    </row>
    <row r="603" spans="3:3" x14ac:dyDescent="0.25">
      <c r="C603" t="str">
        <v xml:space="preserve">BACALHAU DEM.LOMBO MﾉD.300/400 </v>
      </c>
    </row>
    <row r="604" spans="3:3" x14ac:dyDescent="0.25">
      <c r="C604" t="str">
        <v xml:space="preserve">BACALHAU DEM.POSTA SC 700 GR    </v>
      </c>
    </row>
    <row r="605" spans="3:3" x14ac:dyDescent="0.25">
      <c r="C605" t="str">
        <v xml:space="preserve">BACALHAU DEM LOMBO 300/400 HIG  </v>
      </c>
    </row>
    <row r="606" spans="3:3" x14ac:dyDescent="0.25">
      <c r="C606" t="str">
        <v xml:space="preserve">BAC. POSTA C/LOMBO 300/600 HIG </v>
      </c>
    </row>
    <row r="607" spans="3:3" x14ac:dyDescent="0.25">
      <c r="C607" t="str">
        <v>BAC. LOMBO MED 200/300 VC700GR</v>
      </c>
    </row>
    <row r="608" spans="3:3" x14ac:dyDescent="0.25">
      <c r="C608" t="str">
        <v xml:space="preserve">FRANGO PEITO SALGADO 6X2KG </v>
      </c>
    </row>
    <row r="609" spans="3:3" x14ac:dyDescent="0.25">
      <c r="C609" t="str">
        <v xml:space="preserve">PESCADA-DO-CABO FILS/P 6/9OZ </v>
      </c>
    </row>
    <row r="610" spans="3:3" x14ac:dyDescent="0.25">
      <c r="C610" t="str">
        <v xml:space="preserve">TAMBORIL HG 1000/UPCHN AV10KG  </v>
      </c>
    </row>
    <row r="611" spans="3:3" x14ac:dyDescent="0.25">
      <c r="C611" t="str">
        <v xml:space="preserve">SALMÃO PORÇﾕES C/P AV 6KG  </v>
      </c>
    </row>
    <row r="612" spans="3:3" x14ac:dyDescent="0.25">
      <c r="C612" t="str">
        <v xml:space="preserve">SARDINHA INT NACIONAL AV 7KG </v>
      </c>
    </row>
    <row r="613" spans="3:3" x14ac:dyDescent="0.25">
      <c r="C613" t="str">
        <v xml:space="preserve">SARDINHA 12/18 FAO 27 AV 20KG   </v>
      </c>
    </row>
    <row r="614" spans="3:3" x14ac:dyDescent="0.25">
      <c r="C614" t="str">
        <v>POLVO INTEIRO LIMPO-400GR HIG</v>
      </c>
    </row>
    <row r="615" spans="3:3" x14ac:dyDescent="0.25">
      <c r="C615" t="str">
        <v xml:space="preserve">LULA LIMPA IND 10/20 SC 800G  </v>
      </c>
    </row>
    <row r="616" spans="3:3" x14ac:dyDescent="0.25">
      <c r="C616" t="str">
        <v xml:space="preserve">POTA TENTÁCULO CUVETE 800G </v>
      </c>
    </row>
    <row r="617" spans="3:3" x14ac:dyDescent="0.25">
      <c r="C617" t="str">
        <v xml:space="preserve">LULA LIMPA IND10/20 SC10X0.8KG  </v>
      </c>
    </row>
    <row r="618" spans="3:3" x14ac:dyDescent="0.25">
      <c r="C618" t="str">
        <v>POLVO 700/1000 HIG</v>
      </c>
    </row>
    <row r="619" spans="3:3" x14ac:dyDescent="0.25">
      <c r="C619" t="str">
        <v>POLVO LIMPO CV 1KG</v>
      </c>
    </row>
    <row r="620" spans="3:3" x14ac:dyDescent="0.25">
      <c r="C620" t="str">
        <v xml:space="preserve">MARISCADA S/GLUTEN AV 8KG   </v>
      </c>
    </row>
    <row r="621" spans="3:3" x14ac:dyDescent="0.25">
      <c r="C621" t="str">
        <v xml:space="preserve">MARISCADA S/GLUTEN CV 6X0.8KG </v>
      </c>
    </row>
    <row r="622" spans="3:3" x14ac:dyDescent="0.25">
      <c r="C622" t="str">
        <v xml:space="preserve">MUSLITOS DO MAR CX 6X1KG       </v>
      </c>
    </row>
    <row r="623" spans="3:3" x14ac:dyDescent="0.25">
      <c r="C623" t="str">
        <v xml:space="preserve">PESCADA FILETE PANADO CV 6X1KG    </v>
      </c>
    </row>
    <row r="624" spans="3:3" x14ac:dyDescent="0.25">
      <c r="C624" t="str">
        <v xml:space="preserve">CAMARAO BT 8/12 CX 10X0.75KG   </v>
      </c>
    </row>
    <row r="625" spans="3:3" x14ac:dyDescent="0.25">
      <c r="C625" t="str">
        <v xml:space="preserve">CAMARAO BT 16/20 CX10X0.75KG   </v>
      </c>
    </row>
    <row r="626" spans="3:3" x14ac:dyDescent="0.25">
      <c r="C626" t="str">
        <v xml:space="preserve">CAMARAO BT 21/30 CX10X0.75KG   </v>
      </c>
    </row>
    <row r="627" spans="3:3" x14ac:dyDescent="0.25">
      <c r="C627" t="str">
        <v xml:space="preserve">CAMARAO BT 31/40 CX10X0.75KG  </v>
      </c>
    </row>
    <row r="628" spans="3:3" x14ac:dyDescent="0.25">
      <c r="C628" t="str">
        <v>CAM. MIOLO 50/70 SC10X0.65KG</v>
      </c>
    </row>
    <row r="629" spans="3:3" x14ac:dyDescent="0.25">
      <c r="C629" t="str">
        <v xml:space="preserve">CAM. MIOLO 70/100 SC10X0.65KG   </v>
      </c>
    </row>
    <row r="630" spans="3:3" x14ac:dyDescent="0.25">
      <c r="C630" t="str">
        <v xml:space="preserve">CAMARÃO INT VAN 40/50 10X2KG </v>
      </c>
    </row>
    <row r="631" spans="3:3" x14ac:dyDescent="0.25">
      <c r="C631" t="str">
        <v>GAMBAO ARG L1 CB 6X2 KG</v>
      </c>
    </row>
    <row r="632" spans="3:3" x14ac:dyDescent="0.25">
      <c r="C632" t="str">
        <v>CAMARAO BT 41/50 CX</v>
      </c>
    </row>
    <row r="633" spans="3:3" x14ac:dyDescent="0.25">
      <c r="C633" t="str">
        <v xml:space="preserve">TRIMMING BOVINO 80/2010X0.75KG </v>
      </c>
    </row>
    <row r="634" spans="3:3" x14ac:dyDescent="0.25">
      <c r="C634" t="str">
        <v>CARCAÇA DE LEITÃO</v>
      </c>
    </row>
    <row r="635" spans="3:3" x14ac:dyDescent="0.25">
      <c r="C635" t="str">
        <v>FEVERA PERNA FATIADA VACUO</v>
      </c>
    </row>
    <row r="636" spans="3:3" x14ac:dyDescent="0.25">
      <c r="C636" t="str">
        <v>PERNIL DE PORCO BISARO</v>
      </c>
    </row>
    <row r="637" spans="3:3" x14ac:dyDescent="0.25">
      <c r="C637" t="str">
        <v>PERNA S/OSSO DE PORCO BISARO</v>
      </c>
    </row>
    <row r="638" spans="3:3" x14ac:dyDescent="0.25">
      <c r="C638" t="str">
        <v>LOMBO S/OSSO DE PORCO BISARO</v>
      </c>
    </row>
    <row r="639" spans="3:3" x14ac:dyDescent="0.25">
      <c r="C639" t="str">
        <v>MÃO DE PORCO BISARO</v>
      </c>
    </row>
    <row r="640" spans="3:3" x14ac:dyDescent="0.25">
      <c r="C640" t="str">
        <v>TIRAS DE PORCO BISARO</v>
      </c>
    </row>
    <row r="641" spans="3:3" x14ac:dyDescent="0.25">
      <c r="C641" t="str">
        <v>PÁ S/OSSO DE PORCO BISARO</v>
      </c>
    </row>
    <row r="642" spans="3:3" x14ac:dyDescent="0.25">
      <c r="C642" t="str">
        <v>SECRETOS DE PORCO BISARO</v>
      </c>
    </row>
    <row r="643" spans="3:3" x14ac:dyDescent="0.25">
      <c r="C643" t="str">
        <v>CABEÇA S/OSSO DE PORCO BISARO</v>
      </c>
    </row>
    <row r="644" spans="3:3" x14ac:dyDescent="0.25">
      <c r="C644" t="str">
        <v>CACHAÇO S/OSSO DE PORCO BISARO</v>
      </c>
    </row>
    <row r="645" spans="3:3" x14ac:dyDescent="0.25">
      <c r="C645" t="str">
        <v>BOCHECHAS DE PORCO BISARO</v>
      </c>
    </row>
    <row r="646" spans="3:3" x14ac:dyDescent="0.25">
      <c r="C646" t="str">
        <v>PLUMAS DE PORCO BISARO</v>
      </c>
    </row>
    <row r="647" spans="3:3" x14ac:dyDescent="0.25">
      <c r="C647" t="str">
        <v>LOMBINHO DE PORCO BISARO</v>
      </c>
    </row>
    <row r="648" spans="3:3" x14ac:dyDescent="0.25">
      <c r="C648" t="str">
        <v>ENTRECOSTO DE PORCO BISARO</v>
      </c>
    </row>
    <row r="649" spans="3:3" x14ac:dyDescent="0.25">
      <c r="C649" t="str">
        <v>CHOURIÇO COLORAU SC-PENTÁGONO</v>
      </c>
    </row>
    <row r="650" spans="3:3" x14ac:dyDescent="0.25">
      <c r="C650" t="str">
        <v>TOUCINHO GORDO</v>
      </c>
    </row>
    <row r="651" spans="3:3" x14ac:dyDescent="0.25">
      <c r="C651" t="str">
        <v>BACALHAU DEM.POSTA SUP 400/600</v>
      </c>
    </row>
    <row r="652" spans="3:3" x14ac:dyDescent="0.25">
      <c r="C652" t="str">
        <v>BACALHAU LOMBO CENTRO 400/500</v>
      </c>
    </row>
    <row r="653" spans="3:3" x14ac:dyDescent="0.25">
      <c r="C653" t="str">
        <v>BAC. POSTA C/LOMBO 300/400 AV</v>
      </c>
    </row>
    <row r="654" spans="3:3" x14ac:dyDescent="0.25">
      <c r="C654" t="str">
        <v>BAC. POSTA C/LOMBO 200/400 AV</v>
      </c>
    </row>
    <row r="655" spans="3:3" x14ac:dyDescent="0.25">
      <c r="C655" t="str">
        <v>PESCADA-DO-CABO FIL S/P 6/9OZ</v>
      </c>
    </row>
    <row r="656" spans="3:3" x14ac:dyDescent="0.25">
      <c r="C656" t="str">
        <v>TAMBORIL HG 150/200 SC 10X0.8K</v>
      </c>
    </row>
    <row r="657" spans="3:3" x14ac:dyDescent="0.25">
      <c r="C657" t="str">
        <v>TAMBORIL HG 200/300 SC 10X0.8K</v>
      </c>
    </row>
    <row r="658" spans="3:3" x14ac:dyDescent="0.25">
      <c r="C658" t="str">
        <v>POLVO INTEIRO LIMPO -400GR HIG</v>
      </c>
    </row>
    <row r="659" spans="3:3" x14ac:dyDescent="0.25">
      <c r="C659" t="str">
        <v>AMEIJOA BRC VIET 40/60 VC 800G</v>
      </c>
    </row>
    <row r="660" spans="3:3" x14ac:dyDescent="0.25">
      <c r="C660" t="str">
        <v>CAMARAO BT 41/50 CX 10X0.75KG</v>
      </c>
    </row>
    <row r="661" spans="3:3" x14ac:dyDescent="0.25">
      <c r="C661" t="str">
        <v>BOCHECHA INTERNA CONGELADA VC</v>
      </c>
    </row>
    <row r="662" spans="3:3" x14ac:dyDescent="0.25">
      <c r="C662" t="str">
        <v>ESﾓFAGO</v>
      </c>
    </row>
    <row r="663" spans="3:3" x14ac:dyDescent="0.25">
      <c r="C663" t="str">
        <v>FIGADO CONGELADO BLOCO 10KG</v>
      </c>
    </row>
    <row r="664" spans="3:3" x14ac:dyDescent="0.25">
      <c r="C664" t="str">
        <v>FIGADO PORCO</v>
      </c>
    </row>
    <row r="665" spans="3:3" x14ac:dyDescent="0.25">
      <c r="C665" t="str">
        <v>SUÍNO CHISPE DA MÃO</v>
      </c>
    </row>
    <row r="666" spans="3:3" x14ac:dyDescent="0.25">
      <c r="C666" t="str">
        <v>LOMBADA FﾊMEA</v>
      </c>
    </row>
    <row r="667" spans="3:3" x14ac:dyDescent="0.25">
      <c r="C667" t="str">
        <v>PERNA DE PORCO C/OSSO C/COURO</v>
      </c>
    </row>
    <row r="668" spans="3:3" x14ac:dyDescent="0.25">
      <c r="C668" t="str">
        <v>FEVERA PERNA APARADA</v>
      </c>
    </row>
    <row r="669" spans="3:3" x14ac:dyDescent="0.25">
      <c r="C669" t="str">
        <v>FEVERA PERNA FATIADA CONG</v>
      </c>
    </row>
    <row r="670" spans="3:3" x14ac:dyDescent="0.25">
      <c r="C670" t="str">
        <v>PERNA 4D SUÍNO</v>
      </c>
    </row>
    <row r="671" spans="3:3" x14ac:dyDescent="0.25">
      <c r="C671" t="str">
        <v>FEVERA PERNA CONG. GONDISCA</v>
      </c>
    </row>
    <row r="672" spans="3:3" x14ac:dyDescent="0.25">
      <c r="C672" t="str">
        <v>FEVERA PERNA FATIADA</v>
      </c>
    </row>
    <row r="673" spans="3:3" x14ac:dyDescent="0.25">
      <c r="C673" t="str">
        <v>VÃO COM CACHAÇO S/LOMBINHO</v>
      </c>
    </row>
    <row r="674" spans="3:3" x14ac:dyDescent="0.25">
      <c r="C674" t="str">
        <v>LOMBO SUÍNO COM CORDÃO</v>
      </c>
    </row>
    <row r="675" spans="3:3" x14ac:dyDescent="0.25">
      <c r="C675" t="str">
        <v>CACHAÇO SUINO COM OSSO</v>
      </c>
    </row>
    <row r="676" spans="3:3" x14ac:dyDescent="0.25">
      <c r="C676" t="str">
        <v>ENTRECOSTO</v>
      </c>
    </row>
    <row r="677" spans="3:3" x14ac:dyDescent="0.25">
      <c r="C677" t="str">
        <v>ENTREMEADA BRUTA PORCO</v>
      </c>
    </row>
    <row r="678" spans="3:3" x14ac:dyDescent="0.25">
      <c r="C678" t="str">
        <v>ENTRECOSTO DE PORCO</v>
      </c>
    </row>
    <row r="679" spans="3:3" x14ac:dyDescent="0.25">
      <c r="C679" t="str">
        <v>ENTRECOSTO TIRAS DE PORCO</v>
      </c>
    </row>
    <row r="680" spans="3:3" x14ac:dyDescent="0.25">
      <c r="C680" t="str">
        <v>BARRIGA CONGELADA</v>
      </c>
    </row>
    <row r="681" spans="3:3" x14ac:dyDescent="0.25">
      <c r="C681" t="str">
        <v>PÁ YORK C/COURATO</v>
      </c>
    </row>
    <row r="682" spans="3:3" x14ac:dyDescent="0.25">
      <c r="C682" t="str">
        <v>PÁ DE PORCO 4D SUÍNO</v>
      </c>
    </row>
    <row r="683" spans="3:3" x14ac:dyDescent="0.25">
      <c r="C683" t="str">
        <v>SALSICHA TOSCANA VC 1KG CONG</v>
      </c>
    </row>
    <row r="684" spans="3:3" x14ac:dyDescent="0.25">
      <c r="C684" t="str">
        <v>CHOURIÇO DE CARNE EMB. VACUO</v>
      </c>
    </row>
    <row r="685" spans="3:3" x14ac:dyDescent="0.25">
      <c r="C685" t="str">
        <v>CHOURIÇO EXTRA NE</v>
      </c>
    </row>
    <row r="686" spans="3:3" x14ac:dyDescent="0.25">
      <c r="C686" t="str">
        <v>BACALHAU DEM. LOMBO MED CX900G</v>
      </c>
    </row>
    <row r="687" spans="3:3" x14ac:dyDescent="0.25">
      <c r="C687" t="str">
        <v>BACALHAU DESFIADO IQF DEM.GRN</v>
      </c>
    </row>
    <row r="688" spans="3:3" x14ac:dyDescent="0.25">
      <c r="C688" t="str">
        <v>LULA LIMPA IND U/10 SC10X0.8KG</v>
      </c>
    </row>
    <row r="689" spans="3:3" x14ac:dyDescent="0.25">
      <c r="C689" t="str">
        <v>BOLINHOS BACALHAU MINI 18G AV</v>
      </c>
    </row>
    <row r="690" spans="3:3" x14ac:dyDescent="0.25">
      <c r="C690" t="str">
        <v>RISSOIS CAMARÃO MINI 18G AV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7B86-9614-4F7E-B388-5CACC410C735}">
  <dimension ref="A1:L1382"/>
  <sheetViews>
    <sheetView showGridLines="0" workbookViewId="0">
      <selection activeCell="C1381" sqref="C1381:H1382"/>
    </sheetView>
  </sheetViews>
  <sheetFormatPr defaultRowHeight="15" x14ac:dyDescent="0.25"/>
  <cols>
    <col min="1" max="1" width="9.7109375" customWidth="1"/>
    <col min="3" max="3" width="34.85546875" customWidth="1"/>
    <col min="4" max="4" width="9" style="6" bestFit="1" customWidth="1"/>
    <col min="5" max="5" width="12.7109375" style="9" customWidth="1"/>
    <col min="6" max="6" width="6.28515625" style="20" customWidth="1"/>
    <col min="7" max="7" width="9.28515625" bestFit="1" customWidth="1"/>
    <col min="8" max="8" width="6.28515625" customWidth="1"/>
  </cols>
  <sheetData>
    <row r="1" spans="1:8" x14ac:dyDescent="0.25">
      <c r="A1" s="33" t="s">
        <v>0</v>
      </c>
      <c r="B1" s="33" t="s">
        <v>1</v>
      </c>
      <c r="C1" s="33" t="s">
        <v>2</v>
      </c>
      <c r="D1" s="34" t="s">
        <v>3</v>
      </c>
      <c r="E1" s="35" t="s">
        <v>4</v>
      </c>
      <c r="F1" s="36" t="s">
        <v>895</v>
      </c>
      <c r="G1" s="33" t="s">
        <v>1023</v>
      </c>
      <c r="H1" s="33" t="s">
        <v>1024</v>
      </c>
    </row>
    <row r="2" spans="1:8" hidden="1" x14ac:dyDescent="0.25">
      <c r="A2" s="37">
        <v>3020103</v>
      </c>
      <c r="B2" s="38">
        <v>44927</v>
      </c>
      <c r="C2" s="37" t="s">
        <v>131</v>
      </c>
      <c r="D2" s="39">
        <v>5634.9</v>
      </c>
      <c r="E2" s="40">
        <v>17703.599999999999</v>
      </c>
      <c r="F2" s="41">
        <f>E2/D2</f>
        <v>3.1417771389021989</v>
      </c>
      <c r="G2" s="37" t="str">
        <f t="shared" ref="G2:G33" si="0">TEXT(B2,"mmmm")</f>
        <v>janeiro</v>
      </c>
      <c r="H2" s="37">
        <f t="shared" ref="H2:H33" si="1">YEAR(B2)</f>
        <v>2023</v>
      </c>
    </row>
    <row r="3" spans="1:8" hidden="1" x14ac:dyDescent="0.25">
      <c r="A3" s="37">
        <v>3020212</v>
      </c>
      <c r="B3" s="38">
        <v>44927</v>
      </c>
      <c r="C3" s="37" t="s">
        <v>133</v>
      </c>
      <c r="D3" s="39">
        <v>1229.9000000000001</v>
      </c>
      <c r="E3" s="40">
        <v>4488</v>
      </c>
      <c r="F3" s="41">
        <f t="shared" ref="F3:F66" si="2">E3/D3</f>
        <v>3.6490771607447758</v>
      </c>
      <c r="G3" s="37" t="str">
        <f t="shared" si="0"/>
        <v>janeiro</v>
      </c>
      <c r="H3" s="37">
        <f t="shared" si="1"/>
        <v>2023</v>
      </c>
    </row>
    <row r="4" spans="1:8" hidden="1" x14ac:dyDescent="0.25">
      <c r="A4" s="37">
        <v>3020214</v>
      </c>
      <c r="B4" s="38">
        <v>44927</v>
      </c>
      <c r="C4" s="37" t="s">
        <v>135</v>
      </c>
      <c r="D4" s="39">
        <v>554.29999999999995</v>
      </c>
      <c r="E4" s="40">
        <v>1976</v>
      </c>
      <c r="F4" s="41">
        <f t="shared" si="2"/>
        <v>3.5648565758614472</v>
      </c>
      <c r="G4" s="37" t="str">
        <f t="shared" si="0"/>
        <v>janeiro</v>
      </c>
      <c r="H4" s="37">
        <f t="shared" si="1"/>
        <v>2023</v>
      </c>
    </row>
    <row r="5" spans="1:8" hidden="1" x14ac:dyDescent="0.25">
      <c r="A5" s="37">
        <v>3020315</v>
      </c>
      <c r="B5" s="38">
        <v>44927</v>
      </c>
      <c r="C5" s="37" t="s">
        <v>137</v>
      </c>
      <c r="D5" s="39">
        <v>2248.8000000000002</v>
      </c>
      <c r="E5" s="40">
        <v>7921.12</v>
      </c>
      <c r="F5" s="41">
        <f t="shared" si="2"/>
        <v>3.5223763785129845</v>
      </c>
      <c r="G5" s="37" t="str">
        <f t="shared" si="0"/>
        <v>janeiro</v>
      </c>
      <c r="H5" s="37">
        <f t="shared" si="1"/>
        <v>2023</v>
      </c>
    </row>
    <row r="6" spans="1:8" hidden="1" x14ac:dyDescent="0.25">
      <c r="A6" s="37">
        <v>3020316</v>
      </c>
      <c r="B6" s="38">
        <v>44927</v>
      </c>
      <c r="C6" s="37" t="s">
        <v>139</v>
      </c>
      <c r="D6" s="39">
        <v>302.60000000000002</v>
      </c>
      <c r="E6" s="40">
        <v>912.82</v>
      </c>
      <c r="F6" s="41">
        <f t="shared" si="2"/>
        <v>3.0165895571711832</v>
      </c>
      <c r="G6" s="37" t="str">
        <f t="shared" si="0"/>
        <v>janeiro</v>
      </c>
      <c r="H6" s="37">
        <f t="shared" si="1"/>
        <v>2023</v>
      </c>
    </row>
    <row r="7" spans="1:8" hidden="1" x14ac:dyDescent="0.25">
      <c r="A7" s="37">
        <v>3020402</v>
      </c>
      <c r="B7" s="38">
        <v>44927</v>
      </c>
      <c r="C7" s="37" t="s">
        <v>141</v>
      </c>
      <c r="D7" s="39">
        <v>2138.4</v>
      </c>
      <c r="E7" s="40">
        <v>7229.68</v>
      </c>
      <c r="F7" s="41">
        <f t="shared" si="2"/>
        <v>3.3808829031051255</v>
      </c>
      <c r="G7" s="37" t="str">
        <f t="shared" si="0"/>
        <v>janeiro</v>
      </c>
      <c r="H7" s="37">
        <f t="shared" si="1"/>
        <v>2023</v>
      </c>
    </row>
    <row r="8" spans="1:8" hidden="1" x14ac:dyDescent="0.25">
      <c r="A8" s="37">
        <v>3020504</v>
      </c>
      <c r="B8" s="38">
        <v>44927</v>
      </c>
      <c r="C8" s="37" t="s">
        <v>143</v>
      </c>
      <c r="D8" s="39">
        <v>703.5</v>
      </c>
      <c r="E8" s="40">
        <v>2522.9699999999998</v>
      </c>
      <c r="F8" s="41">
        <f t="shared" si="2"/>
        <v>3.5863113006396588</v>
      </c>
      <c r="G8" s="37" t="str">
        <f t="shared" si="0"/>
        <v>janeiro</v>
      </c>
      <c r="H8" s="37">
        <f t="shared" si="1"/>
        <v>2023</v>
      </c>
    </row>
    <row r="9" spans="1:8" hidden="1" x14ac:dyDescent="0.25">
      <c r="A9" s="42">
        <v>3020622</v>
      </c>
      <c r="B9" s="43">
        <v>44927</v>
      </c>
      <c r="C9" s="42" t="s">
        <v>145</v>
      </c>
      <c r="D9" s="44">
        <v>4588</v>
      </c>
      <c r="E9" s="45">
        <v>16403</v>
      </c>
      <c r="F9" s="46">
        <f t="shared" si="2"/>
        <v>3.5751961639058414</v>
      </c>
      <c r="G9" s="42" t="str">
        <f t="shared" si="0"/>
        <v>janeiro</v>
      </c>
      <c r="H9" s="42">
        <f t="shared" si="1"/>
        <v>2023</v>
      </c>
    </row>
    <row r="10" spans="1:8" hidden="1" x14ac:dyDescent="0.25">
      <c r="A10" s="42">
        <v>3020623</v>
      </c>
      <c r="B10" s="43">
        <v>44927</v>
      </c>
      <c r="C10" s="42" t="s">
        <v>147</v>
      </c>
      <c r="D10" s="44">
        <v>1062.7</v>
      </c>
      <c r="E10" s="45">
        <v>3907.71</v>
      </c>
      <c r="F10" s="46">
        <f t="shared" si="2"/>
        <v>3.6771525359932249</v>
      </c>
      <c r="G10" s="42" t="str">
        <f t="shared" si="0"/>
        <v>janeiro</v>
      </c>
      <c r="H10" s="42">
        <f t="shared" si="1"/>
        <v>2023</v>
      </c>
    </row>
    <row r="11" spans="1:8" hidden="1" x14ac:dyDescent="0.25">
      <c r="A11" s="42">
        <v>3020725</v>
      </c>
      <c r="B11" s="43">
        <v>44927</v>
      </c>
      <c r="C11" s="42" t="s">
        <v>149</v>
      </c>
      <c r="D11" s="44">
        <v>338.1</v>
      </c>
      <c r="E11" s="45">
        <v>1261.1400000000001</v>
      </c>
      <c r="F11" s="46">
        <f t="shared" si="2"/>
        <v>3.7300798580301686</v>
      </c>
      <c r="G11" s="42" t="str">
        <f t="shared" si="0"/>
        <v>janeiro</v>
      </c>
      <c r="H11" s="42">
        <f t="shared" si="1"/>
        <v>2023</v>
      </c>
    </row>
    <row r="12" spans="1:8" hidden="1" x14ac:dyDescent="0.25">
      <c r="A12" s="42">
        <v>3020823</v>
      </c>
      <c r="B12" s="43">
        <v>44927</v>
      </c>
      <c r="C12" s="42" t="s">
        <v>151</v>
      </c>
      <c r="D12" s="44">
        <v>1728.7</v>
      </c>
      <c r="E12" s="45">
        <v>6340</v>
      </c>
      <c r="F12" s="46">
        <f t="shared" si="2"/>
        <v>3.667495806097067</v>
      </c>
      <c r="G12" s="42" t="str">
        <f t="shared" si="0"/>
        <v>janeiro</v>
      </c>
      <c r="H12" s="42">
        <f t="shared" si="1"/>
        <v>2023</v>
      </c>
    </row>
    <row r="13" spans="1:8" hidden="1" x14ac:dyDescent="0.25">
      <c r="A13" s="42">
        <v>3020824</v>
      </c>
      <c r="B13" s="43">
        <v>44927</v>
      </c>
      <c r="C13" s="42" t="s">
        <v>153</v>
      </c>
      <c r="D13" s="44">
        <v>2250</v>
      </c>
      <c r="E13" s="45">
        <v>8161</v>
      </c>
      <c r="F13" s="46">
        <f t="shared" si="2"/>
        <v>3.6271111111111112</v>
      </c>
      <c r="G13" s="42" t="str">
        <f t="shared" si="0"/>
        <v>janeiro</v>
      </c>
      <c r="H13" s="42">
        <f t="shared" si="1"/>
        <v>2023</v>
      </c>
    </row>
    <row r="14" spans="1:8" hidden="1" x14ac:dyDescent="0.25">
      <c r="A14" s="42">
        <v>3020924</v>
      </c>
      <c r="B14" s="43">
        <v>44927</v>
      </c>
      <c r="C14" s="42" t="s">
        <v>155</v>
      </c>
      <c r="D14" s="44">
        <v>1785.1</v>
      </c>
      <c r="E14" s="45">
        <v>6513.36</v>
      </c>
      <c r="F14" s="46">
        <f t="shared" si="2"/>
        <v>3.648736765447314</v>
      </c>
      <c r="G14" s="42" t="str">
        <f t="shared" si="0"/>
        <v>janeiro</v>
      </c>
      <c r="H14" s="42">
        <f t="shared" si="1"/>
        <v>2023</v>
      </c>
    </row>
    <row r="15" spans="1:8" hidden="1" x14ac:dyDescent="0.25">
      <c r="A15" s="42">
        <v>3020925</v>
      </c>
      <c r="B15" s="43">
        <v>44927</v>
      </c>
      <c r="C15" s="42" t="s">
        <v>157</v>
      </c>
      <c r="D15" s="44">
        <v>982.4</v>
      </c>
      <c r="E15" s="45">
        <v>3567.34</v>
      </c>
      <c r="F15" s="46">
        <f t="shared" si="2"/>
        <v>3.6312500000000001</v>
      </c>
      <c r="G15" s="42" t="str">
        <f t="shared" si="0"/>
        <v>janeiro</v>
      </c>
      <c r="H15" s="42">
        <f t="shared" si="1"/>
        <v>2023</v>
      </c>
    </row>
    <row r="16" spans="1:8" hidden="1" x14ac:dyDescent="0.25">
      <c r="A16" s="63">
        <v>3021435</v>
      </c>
      <c r="B16" s="64">
        <v>44927</v>
      </c>
      <c r="C16" s="63" t="s">
        <v>159</v>
      </c>
      <c r="D16" s="65">
        <v>2766.2</v>
      </c>
      <c r="E16" s="66">
        <v>8103.47</v>
      </c>
      <c r="F16" s="67">
        <f t="shared" si="2"/>
        <v>2.9294591858867762</v>
      </c>
      <c r="G16" s="63" t="str">
        <f t="shared" si="0"/>
        <v>janeiro</v>
      </c>
      <c r="H16" s="63">
        <f t="shared" si="1"/>
        <v>2023</v>
      </c>
    </row>
    <row r="17" spans="1:8" hidden="1" x14ac:dyDescent="0.25">
      <c r="A17" s="63">
        <v>3021537</v>
      </c>
      <c r="B17" s="64">
        <v>44927</v>
      </c>
      <c r="C17" s="63" t="s">
        <v>161</v>
      </c>
      <c r="D17" s="65">
        <v>37.700000000000003</v>
      </c>
      <c r="E17" s="66">
        <v>115</v>
      </c>
      <c r="F17" s="67">
        <f t="shared" si="2"/>
        <v>3.0503978779840848</v>
      </c>
      <c r="G17" s="63" t="str">
        <f t="shared" si="0"/>
        <v>janeiro</v>
      </c>
      <c r="H17" s="63">
        <f t="shared" si="1"/>
        <v>2023</v>
      </c>
    </row>
    <row r="18" spans="1:8" hidden="1" x14ac:dyDescent="0.25">
      <c r="A18" s="63">
        <v>3021638</v>
      </c>
      <c r="B18" s="64">
        <v>44927</v>
      </c>
      <c r="C18" s="63" t="s">
        <v>163</v>
      </c>
      <c r="D18" s="65">
        <v>67.8</v>
      </c>
      <c r="E18" s="66">
        <v>209.45</v>
      </c>
      <c r="F18" s="67">
        <f t="shared" si="2"/>
        <v>3.0892330383480826</v>
      </c>
      <c r="G18" s="63" t="str">
        <f t="shared" si="0"/>
        <v>janeiro</v>
      </c>
      <c r="H18" s="63">
        <f t="shared" si="1"/>
        <v>2023</v>
      </c>
    </row>
    <row r="19" spans="1:8" hidden="1" x14ac:dyDescent="0.25">
      <c r="A19" s="63">
        <v>3021739</v>
      </c>
      <c r="B19" s="64">
        <v>44927</v>
      </c>
      <c r="C19" s="63" t="s">
        <v>165</v>
      </c>
      <c r="D19" s="65">
        <v>589.70000000000005</v>
      </c>
      <c r="E19" s="66">
        <v>1757</v>
      </c>
      <c r="F19" s="67">
        <f t="shared" si="2"/>
        <v>2.9794810920807189</v>
      </c>
      <c r="G19" s="63" t="str">
        <f t="shared" si="0"/>
        <v>janeiro</v>
      </c>
      <c r="H19" s="63">
        <f t="shared" si="1"/>
        <v>2023</v>
      </c>
    </row>
    <row r="20" spans="1:8" hidden="1" x14ac:dyDescent="0.25">
      <c r="A20" s="37">
        <v>3021760</v>
      </c>
      <c r="B20" s="38">
        <v>44927</v>
      </c>
      <c r="C20" s="37" t="s">
        <v>167</v>
      </c>
      <c r="D20" s="39">
        <v>1993.3</v>
      </c>
      <c r="E20" s="40">
        <v>4645.58</v>
      </c>
      <c r="F20" s="41">
        <f t="shared" si="2"/>
        <v>2.3305975016304621</v>
      </c>
      <c r="G20" s="37" t="str">
        <f t="shared" si="0"/>
        <v>janeiro</v>
      </c>
      <c r="H20" s="37">
        <f t="shared" si="1"/>
        <v>2023</v>
      </c>
    </row>
    <row r="21" spans="1:8" hidden="1" x14ac:dyDescent="0.25">
      <c r="A21" s="48">
        <v>3021811</v>
      </c>
      <c r="B21" s="49">
        <v>44927</v>
      </c>
      <c r="C21" s="48" t="s">
        <v>169</v>
      </c>
      <c r="D21" s="50">
        <v>3015.12</v>
      </c>
      <c r="E21" s="51">
        <v>6640.21</v>
      </c>
      <c r="F21" s="52">
        <f t="shared" si="2"/>
        <v>2.2023037225715729</v>
      </c>
      <c r="G21" s="48" t="str">
        <f t="shared" si="0"/>
        <v>janeiro</v>
      </c>
      <c r="H21" s="48">
        <f t="shared" si="1"/>
        <v>2023</v>
      </c>
    </row>
    <row r="22" spans="1:8" hidden="1" x14ac:dyDescent="0.25">
      <c r="A22" s="48">
        <v>3021812</v>
      </c>
      <c r="B22" s="49">
        <v>44927</v>
      </c>
      <c r="C22" s="48" t="s">
        <v>171</v>
      </c>
      <c r="D22" s="50">
        <v>1767.4</v>
      </c>
      <c r="E22" s="51">
        <v>3693</v>
      </c>
      <c r="F22" s="52">
        <f t="shared" si="2"/>
        <v>2.0895100147108745</v>
      </c>
      <c r="G22" s="48" t="str">
        <f t="shared" si="0"/>
        <v>janeiro</v>
      </c>
      <c r="H22" s="48">
        <f t="shared" si="1"/>
        <v>2023</v>
      </c>
    </row>
    <row r="23" spans="1:8" hidden="1" x14ac:dyDescent="0.25">
      <c r="A23" s="37">
        <v>3022100</v>
      </c>
      <c r="B23" s="38">
        <v>44927</v>
      </c>
      <c r="C23" s="37" t="s">
        <v>173</v>
      </c>
      <c r="D23" s="39">
        <v>76.5</v>
      </c>
      <c r="E23" s="40">
        <v>285.01</v>
      </c>
      <c r="F23" s="41">
        <f t="shared" si="2"/>
        <v>3.7256209150326796</v>
      </c>
      <c r="G23" s="37" t="str">
        <f t="shared" si="0"/>
        <v>janeiro</v>
      </c>
      <c r="H23" s="37">
        <f t="shared" si="1"/>
        <v>2023</v>
      </c>
    </row>
    <row r="24" spans="1:8" hidden="1" x14ac:dyDescent="0.25">
      <c r="A24" s="37">
        <v>3022208</v>
      </c>
      <c r="B24" s="38">
        <v>44927</v>
      </c>
      <c r="C24" s="37" t="s">
        <v>307</v>
      </c>
      <c r="D24" s="39">
        <v>130.69999999999999</v>
      </c>
      <c r="E24" s="40">
        <v>471.02</v>
      </c>
      <c r="F24" s="41">
        <f t="shared" si="2"/>
        <v>3.6038255547054323</v>
      </c>
      <c r="G24" s="37" t="str">
        <f t="shared" si="0"/>
        <v>janeiro</v>
      </c>
      <c r="H24" s="37">
        <f t="shared" si="1"/>
        <v>2023</v>
      </c>
    </row>
    <row r="25" spans="1:8" hidden="1" x14ac:dyDescent="0.25">
      <c r="A25" s="58">
        <v>3022311</v>
      </c>
      <c r="B25" s="59">
        <v>44927</v>
      </c>
      <c r="C25" s="58" t="s">
        <v>176</v>
      </c>
      <c r="D25" s="60">
        <v>2326.8000000000002</v>
      </c>
      <c r="E25" s="61">
        <v>5199.87</v>
      </c>
      <c r="F25" s="62">
        <f t="shared" si="2"/>
        <v>2.2347730789066529</v>
      </c>
      <c r="G25" s="58" t="str">
        <f t="shared" si="0"/>
        <v>janeiro</v>
      </c>
      <c r="H25" s="58">
        <f t="shared" si="1"/>
        <v>2023</v>
      </c>
    </row>
    <row r="26" spans="1:8" hidden="1" x14ac:dyDescent="0.25">
      <c r="A26" s="58">
        <v>3022312</v>
      </c>
      <c r="B26" s="59">
        <v>44927</v>
      </c>
      <c r="C26" s="58" t="s">
        <v>308</v>
      </c>
      <c r="D26" s="60">
        <v>38.869999999999997</v>
      </c>
      <c r="E26" s="61">
        <v>99.13</v>
      </c>
      <c r="F26" s="62">
        <f t="shared" si="2"/>
        <v>2.5502958579881656</v>
      </c>
      <c r="G26" s="58" t="str">
        <f t="shared" si="0"/>
        <v>janeiro</v>
      </c>
      <c r="H26" s="58">
        <f t="shared" si="1"/>
        <v>2023</v>
      </c>
    </row>
    <row r="27" spans="1:8" hidden="1" x14ac:dyDescent="0.25">
      <c r="A27" s="58">
        <v>3022411</v>
      </c>
      <c r="B27" s="59">
        <v>44927</v>
      </c>
      <c r="C27" s="58" t="s">
        <v>178</v>
      </c>
      <c r="D27" s="60">
        <v>58.6</v>
      </c>
      <c r="E27" s="61">
        <v>152.41</v>
      </c>
      <c r="F27" s="62">
        <f t="shared" si="2"/>
        <v>2.6008532423208188</v>
      </c>
      <c r="G27" s="58" t="str">
        <f t="shared" si="0"/>
        <v>janeiro</v>
      </c>
      <c r="H27" s="58">
        <f t="shared" si="1"/>
        <v>2023</v>
      </c>
    </row>
    <row r="28" spans="1:8" hidden="1" x14ac:dyDescent="0.25">
      <c r="A28" s="58">
        <v>3022511</v>
      </c>
      <c r="B28" s="59">
        <v>44927</v>
      </c>
      <c r="C28" s="58" t="s">
        <v>180</v>
      </c>
      <c r="D28" s="60">
        <v>9.5</v>
      </c>
      <c r="E28" s="61">
        <v>23.48</v>
      </c>
      <c r="F28" s="62">
        <f t="shared" si="2"/>
        <v>2.4715789473684211</v>
      </c>
      <c r="G28" s="58" t="str">
        <f t="shared" si="0"/>
        <v>janeiro</v>
      </c>
      <c r="H28" s="58">
        <f t="shared" si="1"/>
        <v>2023</v>
      </c>
    </row>
    <row r="29" spans="1:8" hidden="1" x14ac:dyDescent="0.25">
      <c r="A29" s="42">
        <v>3022601</v>
      </c>
      <c r="B29" s="43">
        <v>44927</v>
      </c>
      <c r="C29" s="42" t="s">
        <v>182</v>
      </c>
      <c r="D29" s="44">
        <v>388.7</v>
      </c>
      <c r="E29" s="45">
        <v>1773.55</v>
      </c>
      <c r="F29" s="46">
        <f t="shared" si="2"/>
        <v>4.5627733470542839</v>
      </c>
      <c r="G29" s="42" t="str">
        <f t="shared" si="0"/>
        <v>janeiro</v>
      </c>
      <c r="H29" s="42">
        <f t="shared" si="1"/>
        <v>2023</v>
      </c>
    </row>
    <row r="30" spans="1:8" hidden="1" x14ac:dyDescent="0.25">
      <c r="A30" s="42">
        <v>3022703</v>
      </c>
      <c r="B30" s="43">
        <v>44927</v>
      </c>
      <c r="C30" s="42" t="s">
        <v>309</v>
      </c>
      <c r="D30" s="44">
        <v>1079</v>
      </c>
      <c r="E30" s="45">
        <v>2475.0500000000002</v>
      </c>
      <c r="F30" s="46">
        <f t="shared" si="2"/>
        <v>2.2938368860055607</v>
      </c>
      <c r="G30" s="42" t="str">
        <f t="shared" si="0"/>
        <v>janeiro</v>
      </c>
      <c r="H30" s="42">
        <f t="shared" si="1"/>
        <v>2023</v>
      </c>
    </row>
    <row r="31" spans="1:8" hidden="1" x14ac:dyDescent="0.25">
      <c r="A31" s="42">
        <v>3022805</v>
      </c>
      <c r="B31" s="43">
        <v>44927</v>
      </c>
      <c r="C31" s="42" t="s">
        <v>186</v>
      </c>
      <c r="D31" s="44">
        <v>1725</v>
      </c>
      <c r="E31" s="45">
        <v>3364</v>
      </c>
      <c r="F31" s="46">
        <f t="shared" si="2"/>
        <v>1.9501449275362319</v>
      </c>
      <c r="G31" s="42" t="str">
        <f t="shared" si="0"/>
        <v>janeiro</v>
      </c>
      <c r="H31" s="42">
        <f t="shared" si="1"/>
        <v>2023</v>
      </c>
    </row>
    <row r="32" spans="1:8" hidden="1" x14ac:dyDescent="0.25">
      <c r="A32" s="42">
        <v>3022906</v>
      </c>
      <c r="B32" s="43">
        <v>44927</v>
      </c>
      <c r="C32" s="42" t="s">
        <v>188</v>
      </c>
      <c r="D32" s="44">
        <v>3370</v>
      </c>
      <c r="E32" s="45">
        <v>6542</v>
      </c>
      <c r="F32" s="46">
        <f t="shared" si="2"/>
        <v>1.9412462908011869</v>
      </c>
      <c r="G32" s="42" t="str">
        <f t="shared" si="0"/>
        <v>janeiro</v>
      </c>
      <c r="H32" s="42">
        <f t="shared" si="1"/>
        <v>2023</v>
      </c>
    </row>
    <row r="33" spans="1:8" hidden="1" x14ac:dyDescent="0.25">
      <c r="A33" s="42">
        <v>3023007</v>
      </c>
      <c r="B33" s="43">
        <v>44927</v>
      </c>
      <c r="C33" s="42" t="s">
        <v>190</v>
      </c>
      <c r="D33" s="44">
        <v>860</v>
      </c>
      <c r="E33" s="45">
        <v>1679</v>
      </c>
      <c r="F33" s="46">
        <f t="shared" si="2"/>
        <v>1.9523255813953488</v>
      </c>
      <c r="G33" s="42" t="str">
        <f t="shared" si="0"/>
        <v>janeiro</v>
      </c>
      <c r="H33" s="42">
        <f t="shared" si="1"/>
        <v>2023</v>
      </c>
    </row>
    <row r="34" spans="1:8" hidden="1" x14ac:dyDescent="0.25">
      <c r="A34" s="37">
        <v>4030100</v>
      </c>
      <c r="B34" s="38">
        <v>44927</v>
      </c>
      <c r="C34" s="37" t="s">
        <v>200</v>
      </c>
      <c r="D34" s="39">
        <v>332</v>
      </c>
      <c r="E34" s="40">
        <v>1977</v>
      </c>
      <c r="F34" s="41">
        <f t="shared" si="2"/>
        <v>5.9548192771084336</v>
      </c>
      <c r="G34" s="37" t="str">
        <f t="shared" ref="G34:G60" si="3">TEXT(B34,"mmmm")</f>
        <v>janeiro</v>
      </c>
      <c r="H34" s="37">
        <f t="shared" ref="H34:H60" si="4">YEAR(B34)</f>
        <v>2023</v>
      </c>
    </row>
    <row r="35" spans="1:8" hidden="1" x14ac:dyDescent="0.25">
      <c r="A35" s="37">
        <v>4030211</v>
      </c>
      <c r="B35" s="38">
        <v>44927</v>
      </c>
      <c r="C35" s="37" t="s">
        <v>202</v>
      </c>
      <c r="D35" s="39">
        <v>641</v>
      </c>
      <c r="E35" s="40">
        <v>3786</v>
      </c>
      <c r="F35" s="41">
        <f t="shared" si="2"/>
        <v>5.9063962558502343</v>
      </c>
      <c r="G35" s="37" t="str">
        <f t="shared" si="3"/>
        <v>janeiro</v>
      </c>
      <c r="H35" s="37">
        <f t="shared" si="4"/>
        <v>2023</v>
      </c>
    </row>
    <row r="36" spans="1:8" hidden="1" x14ac:dyDescent="0.25">
      <c r="A36" s="37">
        <v>4030300</v>
      </c>
      <c r="B36" s="38">
        <v>44927</v>
      </c>
      <c r="C36" s="37" t="s">
        <v>310</v>
      </c>
      <c r="D36" s="39">
        <v>257</v>
      </c>
      <c r="E36" s="40">
        <v>1031.53</v>
      </c>
      <c r="F36" s="41">
        <f t="shared" si="2"/>
        <v>4.0137354085603114</v>
      </c>
      <c r="G36" s="37" t="str">
        <f t="shared" si="3"/>
        <v>janeiro</v>
      </c>
      <c r="H36" s="37">
        <f t="shared" si="4"/>
        <v>2023</v>
      </c>
    </row>
    <row r="37" spans="1:8" hidden="1" x14ac:dyDescent="0.25">
      <c r="A37" s="37">
        <v>4030311</v>
      </c>
      <c r="B37" s="38">
        <v>44927</v>
      </c>
      <c r="C37" s="37" t="s">
        <v>311</v>
      </c>
      <c r="D37" s="39">
        <v>572</v>
      </c>
      <c r="E37" s="40">
        <v>3730</v>
      </c>
      <c r="F37" s="41">
        <f t="shared" si="2"/>
        <v>6.5209790209790208</v>
      </c>
      <c r="G37" s="37" t="str">
        <f t="shared" si="3"/>
        <v>janeiro</v>
      </c>
      <c r="H37" s="37">
        <f t="shared" si="4"/>
        <v>2023</v>
      </c>
    </row>
    <row r="38" spans="1:8" hidden="1" x14ac:dyDescent="0.25">
      <c r="A38" s="37">
        <v>4030400</v>
      </c>
      <c r="B38" s="38">
        <v>44927</v>
      </c>
      <c r="C38" s="37" t="s">
        <v>312</v>
      </c>
      <c r="D38" s="39">
        <v>278.2</v>
      </c>
      <c r="E38" s="40">
        <v>1417.62</v>
      </c>
      <c r="F38" s="41">
        <f t="shared" si="2"/>
        <v>5.0956865564342202</v>
      </c>
      <c r="G38" s="37" t="str">
        <f t="shared" si="3"/>
        <v>janeiro</v>
      </c>
      <c r="H38" s="37">
        <f t="shared" si="4"/>
        <v>2023</v>
      </c>
    </row>
    <row r="39" spans="1:8" hidden="1" x14ac:dyDescent="0.25">
      <c r="A39" s="37">
        <v>4030511</v>
      </c>
      <c r="B39" s="38">
        <v>44927</v>
      </c>
      <c r="C39" s="37" t="s">
        <v>208</v>
      </c>
      <c r="D39" s="39">
        <v>2056.4</v>
      </c>
      <c r="E39" s="40">
        <v>10142.26</v>
      </c>
      <c r="F39" s="41">
        <f t="shared" si="2"/>
        <v>4.9320462944952341</v>
      </c>
      <c r="G39" s="37" t="str">
        <f t="shared" si="3"/>
        <v>janeiro</v>
      </c>
      <c r="H39" s="37">
        <f t="shared" si="4"/>
        <v>2023</v>
      </c>
    </row>
    <row r="40" spans="1:8" hidden="1" x14ac:dyDescent="0.25">
      <c r="A40" s="48">
        <v>4030600</v>
      </c>
      <c r="B40" s="49">
        <v>44927</v>
      </c>
      <c r="C40" s="48" t="s">
        <v>212</v>
      </c>
      <c r="D40" s="50">
        <v>1259.9000000000001</v>
      </c>
      <c r="E40" s="51">
        <v>3441.8</v>
      </c>
      <c r="F40" s="52">
        <f t="shared" si="2"/>
        <v>2.7318041114374156</v>
      </c>
      <c r="G40" s="48" t="str">
        <f t="shared" si="3"/>
        <v>janeiro</v>
      </c>
      <c r="H40" s="48">
        <f t="shared" si="4"/>
        <v>2023</v>
      </c>
    </row>
    <row r="41" spans="1:8" hidden="1" x14ac:dyDescent="0.25">
      <c r="A41" s="48">
        <v>4030711</v>
      </c>
      <c r="B41" s="49">
        <v>44927</v>
      </c>
      <c r="C41" s="48" t="s">
        <v>214</v>
      </c>
      <c r="D41" s="50">
        <v>3478.6</v>
      </c>
      <c r="E41" s="51">
        <v>10452</v>
      </c>
      <c r="F41" s="52">
        <f t="shared" si="2"/>
        <v>3.0046570459380213</v>
      </c>
      <c r="G41" s="48" t="str">
        <f t="shared" si="3"/>
        <v>janeiro</v>
      </c>
      <c r="H41" s="48">
        <f t="shared" si="4"/>
        <v>2023</v>
      </c>
    </row>
    <row r="42" spans="1:8" hidden="1" x14ac:dyDescent="0.25">
      <c r="A42" s="53">
        <v>4030811</v>
      </c>
      <c r="B42" s="54">
        <v>44927</v>
      </c>
      <c r="C42" s="53" t="s">
        <v>216</v>
      </c>
      <c r="D42" s="55">
        <v>2586</v>
      </c>
      <c r="E42" s="56">
        <v>7549</v>
      </c>
      <c r="F42" s="57">
        <f t="shared" si="2"/>
        <v>2.9191802010827534</v>
      </c>
      <c r="G42" s="53" t="str">
        <f t="shared" si="3"/>
        <v>janeiro</v>
      </c>
      <c r="H42" s="53">
        <f t="shared" si="4"/>
        <v>2023</v>
      </c>
    </row>
    <row r="43" spans="1:8" hidden="1" x14ac:dyDescent="0.25">
      <c r="A43" s="53">
        <v>4030813</v>
      </c>
      <c r="B43" s="54">
        <v>44927</v>
      </c>
      <c r="C43" s="53" t="s">
        <v>218</v>
      </c>
      <c r="D43" s="55">
        <v>2586</v>
      </c>
      <c r="E43" s="56">
        <v>7224.52</v>
      </c>
      <c r="F43" s="57">
        <f t="shared" si="2"/>
        <v>2.7937045630317092</v>
      </c>
      <c r="G43" s="53" t="str">
        <f t="shared" si="3"/>
        <v>janeiro</v>
      </c>
      <c r="H43" s="53">
        <f t="shared" si="4"/>
        <v>2023</v>
      </c>
    </row>
    <row r="44" spans="1:8" hidden="1" x14ac:dyDescent="0.25">
      <c r="A44" s="53">
        <v>4030910</v>
      </c>
      <c r="B44" s="54">
        <v>44927</v>
      </c>
      <c r="C44" s="53" t="s">
        <v>222</v>
      </c>
      <c r="D44" s="55">
        <v>465.1</v>
      </c>
      <c r="E44" s="56">
        <v>1388</v>
      </c>
      <c r="F44" s="57">
        <f t="shared" ref="F44" si="5">E44/D44</f>
        <v>2.984304450655773</v>
      </c>
      <c r="G44" s="53" t="str">
        <f t="shared" ref="G44" si="6">TEXT(B44,"mmmm")</f>
        <v>janeiro</v>
      </c>
      <c r="H44" s="53">
        <f t="shared" ref="H44" si="7">YEAR(B44)</f>
        <v>2023</v>
      </c>
    </row>
    <row r="45" spans="1:8" hidden="1" x14ac:dyDescent="0.25">
      <c r="A45" s="42">
        <v>4030900</v>
      </c>
      <c r="B45" s="43">
        <v>44927</v>
      </c>
      <c r="C45" s="42" t="s">
        <v>220</v>
      </c>
      <c r="D45" s="44">
        <v>5878.9</v>
      </c>
      <c r="E45" s="45">
        <v>16787.13</v>
      </c>
      <c r="F45" s="46">
        <f t="shared" si="2"/>
        <v>2.8554882716154388</v>
      </c>
      <c r="G45" s="42" t="str">
        <f t="shared" si="3"/>
        <v>janeiro</v>
      </c>
      <c r="H45" s="42">
        <f t="shared" si="4"/>
        <v>2023</v>
      </c>
    </row>
    <row r="46" spans="1:8" hidden="1" x14ac:dyDescent="0.25">
      <c r="A46" s="42">
        <v>4031012</v>
      </c>
      <c r="B46" s="43">
        <v>44927</v>
      </c>
      <c r="C46" s="42" t="s">
        <v>224</v>
      </c>
      <c r="D46" s="44">
        <v>1454</v>
      </c>
      <c r="E46" s="45">
        <v>4157.93</v>
      </c>
      <c r="F46" s="46">
        <f t="shared" si="2"/>
        <v>2.8596492434663001</v>
      </c>
      <c r="G46" s="42" t="str">
        <f t="shared" si="3"/>
        <v>janeiro</v>
      </c>
      <c r="H46" s="42">
        <f t="shared" si="4"/>
        <v>2023</v>
      </c>
    </row>
    <row r="47" spans="1:8" hidden="1" x14ac:dyDescent="0.25">
      <c r="A47" s="42">
        <v>4031017</v>
      </c>
      <c r="B47" s="43">
        <v>44927</v>
      </c>
      <c r="C47" s="42" t="s">
        <v>226</v>
      </c>
      <c r="D47" s="44">
        <v>446.6</v>
      </c>
      <c r="E47" s="45">
        <v>1278.45</v>
      </c>
      <c r="F47" s="46">
        <f t="shared" si="2"/>
        <v>2.8626287505597849</v>
      </c>
      <c r="G47" s="42" t="str">
        <f t="shared" si="3"/>
        <v>janeiro</v>
      </c>
      <c r="H47" s="42">
        <f t="shared" si="4"/>
        <v>2023</v>
      </c>
    </row>
    <row r="48" spans="1:8" hidden="1" x14ac:dyDescent="0.25">
      <c r="A48" s="42">
        <v>4031102</v>
      </c>
      <c r="B48" s="43">
        <v>44927</v>
      </c>
      <c r="C48" s="42" t="s">
        <v>228</v>
      </c>
      <c r="D48" s="44">
        <v>9889</v>
      </c>
      <c r="E48" s="45">
        <v>26808</v>
      </c>
      <c r="F48" s="46">
        <f t="shared" si="2"/>
        <v>2.7108908888664174</v>
      </c>
      <c r="G48" s="42" t="str">
        <f t="shared" si="3"/>
        <v>janeiro</v>
      </c>
      <c r="H48" s="42">
        <f t="shared" si="4"/>
        <v>2023</v>
      </c>
    </row>
    <row r="49" spans="1:8" hidden="1" x14ac:dyDescent="0.25">
      <c r="A49" s="58">
        <v>4031200</v>
      </c>
      <c r="B49" s="59">
        <v>44927</v>
      </c>
      <c r="C49" s="58" t="s">
        <v>230</v>
      </c>
      <c r="D49" s="60">
        <v>1149.2</v>
      </c>
      <c r="E49" s="61">
        <v>3158.49</v>
      </c>
      <c r="F49" s="62">
        <f t="shared" si="2"/>
        <v>2.7484249912982941</v>
      </c>
      <c r="G49" s="58" t="str">
        <f t="shared" si="3"/>
        <v>janeiro</v>
      </c>
      <c r="H49" s="58">
        <f t="shared" si="4"/>
        <v>2023</v>
      </c>
    </row>
    <row r="50" spans="1:8" hidden="1" x14ac:dyDescent="0.25">
      <c r="A50" s="58">
        <v>4031304</v>
      </c>
      <c r="B50" s="59">
        <v>44927</v>
      </c>
      <c r="C50" s="58" t="s">
        <v>232</v>
      </c>
      <c r="D50" s="60">
        <v>1469</v>
      </c>
      <c r="E50" s="61">
        <v>3938</v>
      </c>
      <c r="F50" s="62">
        <f t="shared" si="2"/>
        <v>2.6807351940095301</v>
      </c>
      <c r="G50" s="58" t="str">
        <f t="shared" si="3"/>
        <v>janeiro</v>
      </c>
      <c r="H50" s="58">
        <f t="shared" si="4"/>
        <v>2023</v>
      </c>
    </row>
    <row r="51" spans="1:8" hidden="1" x14ac:dyDescent="0.25">
      <c r="A51" s="58">
        <v>4031411</v>
      </c>
      <c r="B51" s="59">
        <v>44927</v>
      </c>
      <c r="C51" s="58" t="s">
        <v>234</v>
      </c>
      <c r="D51" s="60">
        <v>67.3</v>
      </c>
      <c r="E51" s="61">
        <v>195.07</v>
      </c>
      <c r="F51" s="62">
        <f t="shared" si="2"/>
        <v>2.8985141158989598</v>
      </c>
      <c r="G51" s="58" t="str">
        <f t="shared" si="3"/>
        <v>janeiro</v>
      </c>
      <c r="H51" s="58">
        <f t="shared" si="4"/>
        <v>2023</v>
      </c>
    </row>
    <row r="52" spans="1:8" hidden="1" x14ac:dyDescent="0.25">
      <c r="A52" s="58">
        <v>4031500</v>
      </c>
      <c r="B52" s="59">
        <v>44927</v>
      </c>
      <c r="C52" s="58" t="s">
        <v>236</v>
      </c>
      <c r="D52" s="60">
        <v>5909</v>
      </c>
      <c r="E52" s="61">
        <v>15016.02</v>
      </c>
      <c r="F52" s="62">
        <f t="shared" si="2"/>
        <v>2.5412117109493995</v>
      </c>
      <c r="G52" s="58" t="str">
        <f t="shared" si="3"/>
        <v>janeiro</v>
      </c>
      <c r="H52" s="58">
        <f t="shared" si="4"/>
        <v>2023</v>
      </c>
    </row>
    <row r="53" spans="1:8" hidden="1" x14ac:dyDescent="0.25">
      <c r="A53" s="58">
        <v>4031604</v>
      </c>
      <c r="B53" s="59">
        <v>44927</v>
      </c>
      <c r="C53" s="58" t="s">
        <v>238</v>
      </c>
      <c r="D53" s="60">
        <v>6459</v>
      </c>
      <c r="E53" s="61">
        <v>16051</v>
      </c>
      <c r="F53" s="62">
        <f t="shared" si="2"/>
        <v>2.485059606750271</v>
      </c>
      <c r="G53" s="58" t="str">
        <f t="shared" si="3"/>
        <v>janeiro</v>
      </c>
      <c r="H53" s="58">
        <f t="shared" si="4"/>
        <v>2023</v>
      </c>
    </row>
    <row r="54" spans="1:8" hidden="1" x14ac:dyDescent="0.25">
      <c r="A54" s="58">
        <v>4031605</v>
      </c>
      <c r="B54" s="59">
        <v>44927</v>
      </c>
      <c r="C54" s="58" t="s">
        <v>240</v>
      </c>
      <c r="D54" s="60">
        <v>108.4</v>
      </c>
      <c r="E54" s="61">
        <v>299.74</v>
      </c>
      <c r="F54" s="62">
        <f t="shared" si="2"/>
        <v>2.765129151291513</v>
      </c>
      <c r="G54" s="58" t="str">
        <f t="shared" si="3"/>
        <v>janeiro</v>
      </c>
      <c r="H54" s="58">
        <f t="shared" si="4"/>
        <v>2023</v>
      </c>
    </row>
    <row r="55" spans="1:8" hidden="1" x14ac:dyDescent="0.25">
      <c r="A55" s="58">
        <v>4031700</v>
      </c>
      <c r="B55" s="59">
        <v>44927</v>
      </c>
      <c r="C55" s="58" t="s">
        <v>242</v>
      </c>
      <c r="D55" s="60">
        <v>784.1</v>
      </c>
      <c r="E55" s="61">
        <v>2164.29</v>
      </c>
      <c r="F55" s="62">
        <f t="shared" si="2"/>
        <v>2.7602219104706029</v>
      </c>
      <c r="G55" s="58" t="str">
        <f t="shared" si="3"/>
        <v>janeiro</v>
      </c>
      <c r="H55" s="58">
        <f t="shared" si="4"/>
        <v>2023</v>
      </c>
    </row>
    <row r="56" spans="1:8" hidden="1" x14ac:dyDescent="0.25">
      <c r="A56" s="58">
        <v>4031812</v>
      </c>
      <c r="B56" s="59">
        <v>44927</v>
      </c>
      <c r="C56" s="58" t="s">
        <v>244</v>
      </c>
      <c r="D56" s="60">
        <v>600</v>
      </c>
      <c r="E56" s="61">
        <v>1686.38</v>
      </c>
      <c r="F56" s="62">
        <f t="shared" si="2"/>
        <v>2.8106333333333335</v>
      </c>
      <c r="G56" s="58" t="str">
        <f t="shared" si="3"/>
        <v>janeiro</v>
      </c>
      <c r="H56" s="58">
        <f t="shared" si="4"/>
        <v>2023</v>
      </c>
    </row>
    <row r="57" spans="1:8" hidden="1" x14ac:dyDescent="0.25">
      <c r="A57" s="58">
        <v>4031813</v>
      </c>
      <c r="B57" s="59">
        <v>44927</v>
      </c>
      <c r="C57" s="58" t="s">
        <v>313</v>
      </c>
      <c r="D57" s="60">
        <v>70</v>
      </c>
      <c r="E57" s="61">
        <v>217</v>
      </c>
      <c r="F57" s="62">
        <f t="shared" si="2"/>
        <v>3.1</v>
      </c>
      <c r="G57" s="58" t="str">
        <f t="shared" si="3"/>
        <v>janeiro</v>
      </c>
      <c r="H57" s="58">
        <f t="shared" si="4"/>
        <v>2023</v>
      </c>
    </row>
    <row r="58" spans="1:8" hidden="1" x14ac:dyDescent="0.25">
      <c r="A58" s="58">
        <v>4031904</v>
      </c>
      <c r="B58" s="59">
        <v>44927</v>
      </c>
      <c r="C58" s="58" t="s">
        <v>246</v>
      </c>
      <c r="D58" s="60">
        <v>1111</v>
      </c>
      <c r="E58" s="61">
        <v>2954</v>
      </c>
      <c r="F58" s="62">
        <f t="shared" si="2"/>
        <v>2.658865886588659</v>
      </c>
      <c r="G58" s="58" t="str">
        <f t="shared" si="3"/>
        <v>janeiro</v>
      </c>
      <c r="H58" s="58">
        <f t="shared" si="4"/>
        <v>2023</v>
      </c>
    </row>
    <row r="59" spans="1:8" hidden="1" x14ac:dyDescent="0.25">
      <c r="A59" s="48">
        <v>4032111</v>
      </c>
      <c r="B59" s="49">
        <v>44927</v>
      </c>
      <c r="C59" s="48" t="s">
        <v>314</v>
      </c>
      <c r="D59" s="50">
        <v>39.299999999999997</v>
      </c>
      <c r="E59" s="51">
        <v>202.73</v>
      </c>
      <c r="F59" s="52">
        <f t="shared" si="2"/>
        <v>5.15852417302799</v>
      </c>
      <c r="G59" s="48" t="str">
        <f t="shared" si="3"/>
        <v>janeiro</v>
      </c>
      <c r="H59" s="48">
        <f t="shared" si="4"/>
        <v>2023</v>
      </c>
    </row>
    <row r="60" spans="1:8" hidden="1" x14ac:dyDescent="0.25">
      <c r="A60" s="48">
        <v>4032204</v>
      </c>
      <c r="B60" s="49">
        <v>44927</v>
      </c>
      <c r="C60" s="48" t="s">
        <v>315</v>
      </c>
      <c r="D60" s="50">
        <v>140.80000000000001</v>
      </c>
      <c r="E60" s="51">
        <v>716.9</v>
      </c>
      <c r="F60" s="52">
        <f t="shared" si="2"/>
        <v>5.0916193181818175</v>
      </c>
      <c r="G60" s="48" t="str">
        <f t="shared" si="3"/>
        <v>janeiro</v>
      </c>
      <c r="H60" s="48">
        <f t="shared" si="4"/>
        <v>2023</v>
      </c>
    </row>
    <row r="61" spans="1:8" hidden="1" x14ac:dyDescent="0.25">
      <c r="A61" s="37">
        <v>4032312</v>
      </c>
      <c r="B61" s="38">
        <v>44927</v>
      </c>
      <c r="C61" s="37" t="s">
        <v>252</v>
      </c>
      <c r="D61" s="39">
        <v>407</v>
      </c>
      <c r="E61" s="40">
        <v>1662</v>
      </c>
      <c r="F61" s="41">
        <f t="shared" si="2"/>
        <v>4.0835380835380839</v>
      </c>
      <c r="G61" s="37" t="str">
        <f t="shared" ref="G61:G78" si="8">TEXT(B61,"mmmm")</f>
        <v>janeiro</v>
      </c>
      <c r="H61" s="37">
        <f t="shared" ref="H61:H78" si="9">YEAR(B61)</f>
        <v>2023</v>
      </c>
    </row>
    <row r="62" spans="1:8" hidden="1" x14ac:dyDescent="0.25">
      <c r="A62" s="37">
        <v>4032404</v>
      </c>
      <c r="B62" s="38">
        <v>44927</v>
      </c>
      <c r="C62" s="37" t="s">
        <v>254</v>
      </c>
      <c r="D62" s="39">
        <v>117.1</v>
      </c>
      <c r="E62" s="40">
        <v>476.68</v>
      </c>
      <c r="F62" s="41">
        <f t="shared" si="2"/>
        <v>4.0707087959009396</v>
      </c>
      <c r="G62" s="37" t="str">
        <f t="shared" si="8"/>
        <v>janeiro</v>
      </c>
      <c r="H62" s="37">
        <f t="shared" si="9"/>
        <v>2023</v>
      </c>
    </row>
    <row r="63" spans="1:8" hidden="1" x14ac:dyDescent="0.25">
      <c r="A63" s="42">
        <v>4032500</v>
      </c>
      <c r="B63" s="43">
        <v>44927</v>
      </c>
      <c r="C63" s="42" t="s">
        <v>256</v>
      </c>
      <c r="D63" s="44">
        <v>425.1</v>
      </c>
      <c r="E63" s="45">
        <v>1043.3399999999999</v>
      </c>
      <c r="F63" s="46">
        <f t="shared" si="2"/>
        <v>2.4543401552575861</v>
      </c>
      <c r="G63" s="42" t="str">
        <f t="shared" si="8"/>
        <v>janeiro</v>
      </c>
      <c r="H63" s="42">
        <f t="shared" si="9"/>
        <v>2023</v>
      </c>
    </row>
    <row r="64" spans="1:8" hidden="1" x14ac:dyDescent="0.25">
      <c r="A64" s="42">
        <v>4032611</v>
      </c>
      <c r="B64" s="43">
        <v>44927</v>
      </c>
      <c r="C64" s="42" t="s">
        <v>258</v>
      </c>
      <c r="D64" s="44">
        <v>41.5</v>
      </c>
      <c r="E64" s="45">
        <v>119.61</v>
      </c>
      <c r="F64" s="46">
        <f t="shared" si="2"/>
        <v>2.8821686746987951</v>
      </c>
      <c r="G64" s="42" t="str">
        <f t="shared" si="8"/>
        <v>janeiro</v>
      </c>
      <c r="H64" s="42">
        <f t="shared" si="9"/>
        <v>2023</v>
      </c>
    </row>
    <row r="65" spans="1:8" hidden="1" x14ac:dyDescent="0.25">
      <c r="A65" s="42">
        <v>4032704</v>
      </c>
      <c r="B65" s="43">
        <v>44927</v>
      </c>
      <c r="C65" s="42" t="s">
        <v>260</v>
      </c>
      <c r="D65" s="44">
        <v>449</v>
      </c>
      <c r="E65" s="45">
        <v>1222.94</v>
      </c>
      <c r="F65" s="46">
        <f t="shared" si="2"/>
        <v>2.7236971046770604</v>
      </c>
      <c r="G65" s="42" t="str">
        <f t="shared" si="8"/>
        <v>janeiro</v>
      </c>
      <c r="H65" s="42">
        <f t="shared" si="9"/>
        <v>2023</v>
      </c>
    </row>
    <row r="66" spans="1:8" hidden="1" x14ac:dyDescent="0.25">
      <c r="A66" s="48">
        <v>4032800</v>
      </c>
      <c r="B66" s="49">
        <v>44927</v>
      </c>
      <c r="C66" s="48" t="s">
        <v>262</v>
      </c>
      <c r="D66" s="50">
        <v>211.6</v>
      </c>
      <c r="E66" s="51">
        <v>1127.28</v>
      </c>
      <c r="F66" s="52">
        <f t="shared" si="2"/>
        <v>5.3274102079395087</v>
      </c>
      <c r="G66" s="48" t="str">
        <f t="shared" si="8"/>
        <v>janeiro</v>
      </c>
      <c r="H66" s="48">
        <f t="shared" si="9"/>
        <v>2023</v>
      </c>
    </row>
    <row r="67" spans="1:8" hidden="1" x14ac:dyDescent="0.25">
      <c r="A67" s="48">
        <v>4032902</v>
      </c>
      <c r="B67" s="49">
        <v>44927</v>
      </c>
      <c r="C67" s="48" t="s">
        <v>264</v>
      </c>
      <c r="D67" s="50">
        <v>392</v>
      </c>
      <c r="E67" s="51">
        <v>1953</v>
      </c>
      <c r="F67" s="52">
        <f t="shared" ref="F67:F78" si="10">E67/D67</f>
        <v>4.9821428571428568</v>
      </c>
      <c r="G67" s="48" t="str">
        <f t="shared" si="8"/>
        <v>janeiro</v>
      </c>
      <c r="H67" s="48">
        <f t="shared" si="9"/>
        <v>2023</v>
      </c>
    </row>
    <row r="68" spans="1:8" hidden="1" x14ac:dyDescent="0.25">
      <c r="A68" s="58">
        <v>4033011</v>
      </c>
      <c r="B68" s="59">
        <v>44927</v>
      </c>
      <c r="C68" s="58" t="s">
        <v>266</v>
      </c>
      <c r="D68" s="60">
        <v>169.3</v>
      </c>
      <c r="E68" s="61">
        <v>852</v>
      </c>
      <c r="F68" s="62">
        <f t="shared" si="10"/>
        <v>5.0324867099822796</v>
      </c>
      <c r="G68" s="58" t="str">
        <f t="shared" si="8"/>
        <v>janeiro</v>
      </c>
      <c r="H68" s="58">
        <f t="shared" si="9"/>
        <v>2023</v>
      </c>
    </row>
    <row r="69" spans="1:8" hidden="1" x14ac:dyDescent="0.25">
      <c r="A69" s="58">
        <v>4033111</v>
      </c>
      <c r="B69" s="59">
        <v>44927</v>
      </c>
      <c r="C69" s="58" t="s">
        <v>268</v>
      </c>
      <c r="D69" s="60">
        <v>25</v>
      </c>
      <c r="E69" s="61">
        <v>118.97</v>
      </c>
      <c r="F69" s="62">
        <f t="shared" si="10"/>
        <v>4.7587999999999999</v>
      </c>
      <c r="G69" s="58" t="str">
        <f t="shared" si="8"/>
        <v>janeiro</v>
      </c>
      <c r="H69" s="58">
        <f t="shared" si="9"/>
        <v>2023</v>
      </c>
    </row>
    <row r="70" spans="1:8" hidden="1" x14ac:dyDescent="0.25">
      <c r="A70" s="58">
        <v>4033211</v>
      </c>
      <c r="B70" s="59">
        <v>44927</v>
      </c>
      <c r="C70" s="58" t="s">
        <v>270</v>
      </c>
      <c r="D70" s="60">
        <v>143</v>
      </c>
      <c r="E70" s="61">
        <v>644</v>
      </c>
      <c r="F70" s="62">
        <f t="shared" si="10"/>
        <v>4.5034965034965033</v>
      </c>
      <c r="G70" s="58" t="str">
        <f t="shared" si="8"/>
        <v>janeiro</v>
      </c>
      <c r="H70" s="58">
        <f t="shared" si="9"/>
        <v>2023</v>
      </c>
    </row>
    <row r="71" spans="1:8" hidden="1" x14ac:dyDescent="0.25">
      <c r="A71">
        <v>4033311</v>
      </c>
      <c r="B71" s="1">
        <v>44927</v>
      </c>
      <c r="C71" t="s">
        <v>272</v>
      </c>
      <c r="D71" s="6">
        <v>39.5</v>
      </c>
      <c r="E71" s="9">
        <v>237.12</v>
      </c>
      <c r="F71" s="20">
        <f t="shared" si="10"/>
        <v>6.0030379746835445</v>
      </c>
      <c r="G71" t="str">
        <f t="shared" si="8"/>
        <v>janeiro</v>
      </c>
      <c r="H71">
        <f t="shared" si="9"/>
        <v>2023</v>
      </c>
    </row>
    <row r="72" spans="1:8" hidden="1" x14ac:dyDescent="0.25">
      <c r="A72" s="42">
        <v>4033400</v>
      </c>
      <c r="B72" s="43">
        <v>44927</v>
      </c>
      <c r="C72" s="42" t="s">
        <v>274</v>
      </c>
      <c r="D72" s="44">
        <v>1383.2</v>
      </c>
      <c r="E72" s="45">
        <v>3649.44</v>
      </c>
      <c r="F72" s="46">
        <f t="shared" si="10"/>
        <v>2.6384037015615962</v>
      </c>
      <c r="G72" s="42" t="str">
        <f t="shared" si="8"/>
        <v>janeiro</v>
      </c>
      <c r="H72" s="42">
        <f t="shared" si="9"/>
        <v>2023</v>
      </c>
    </row>
    <row r="73" spans="1:8" hidden="1" x14ac:dyDescent="0.25">
      <c r="A73" s="42">
        <v>4033511</v>
      </c>
      <c r="B73" s="43">
        <v>44927</v>
      </c>
      <c r="C73" s="42" t="s">
        <v>276</v>
      </c>
      <c r="D73" s="44">
        <v>3742</v>
      </c>
      <c r="E73" s="45">
        <v>10907</v>
      </c>
      <c r="F73" s="46">
        <f t="shared" si="10"/>
        <v>2.914751469802245</v>
      </c>
      <c r="G73" s="42" t="str">
        <f t="shared" si="8"/>
        <v>janeiro</v>
      </c>
      <c r="H73" s="42">
        <f t="shared" si="9"/>
        <v>2023</v>
      </c>
    </row>
    <row r="74" spans="1:8" hidden="1" x14ac:dyDescent="0.25">
      <c r="A74" s="37">
        <v>4033900</v>
      </c>
      <c r="B74" s="38">
        <v>44927</v>
      </c>
      <c r="C74" s="37" t="s">
        <v>278</v>
      </c>
      <c r="D74" s="39">
        <v>138</v>
      </c>
      <c r="E74" s="40">
        <v>693.94</v>
      </c>
      <c r="F74" s="41">
        <f t="shared" si="10"/>
        <v>5.0285507246376815</v>
      </c>
      <c r="G74" s="37" t="str">
        <f t="shared" si="8"/>
        <v>janeiro</v>
      </c>
      <c r="H74" s="37">
        <f t="shared" si="9"/>
        <v>2023</v>
      </c>
    </row>
    <row r="75" spans="1:8" hidden="1" x14ac:dyDescent="0.25">
      <c r="A75" s="37">
        <v>4034011</v>
      </c>
      <c r="B75" s="38">
        <v>44927</v>
      </c>
      <c r="C75" s="37" t="s">
        <v>280</v>
      </c>
      <c r="D75" s="39">
        <v>670</v>
      </c>
      <c r="E75" s="40">
        <v>3328</v>
      </c>
      <c r="F75" s="41">
        <f t="shared" si="10"/>
        <v>4.9671641791044774</v>
      </c>
      <c r="G75" s="37" t="str">
        <f t="shared" si="8"/>
        <v>janeiro</v>
      </c>
      <c r="H75" s="37">
        <f t="shared" si="9"/>
        <v>2023</v>
      </c>
    </row>
    <row r="76" spans="1:8" hidden="1" x14ac:dyDescent="0.25">
      <c r="A76" s="63">
        <v>4034211</v>
      </c>
      <c r="B76" s="64">
        <v>44927</v>
      </c>
      <c r="C76" s="63" t="s">
        <v>282</v>
      </c>
      <c r="D76" s="65">
        <v>250</v>
      </c>
      <c r="E76" s="66">
        <v>1037</v>
      </c>
      <c r="F76" s="67">
        <f t="shared" si="10"/>
        <v>4.1479999999999997</v>
      </c>
      <c r="G76" s="63" t="str">
        <f t="shared" si="8"/>
        <v>janeiro</v>
      </c>
      <c r="H76" s="63">
        <f t="shared" si="9"/>
        <v>2023</v>
      </c>
    </row>
    <row r="77" spans="1:8" hidden="1" x14ac:dyDescent="0.25">
      <c r="A77" s="48">
        <v>4034400</v>
      </c>
      <c r="B77" s="49">
        <v>44927</v>
      </c>
      <c r="C77" s="48" t="s">
        <v>284</v>
      </c>
      <c r="D77" s="50">
        <v>146.9</v>
      </c>
      <c r="E77" s="51">
        <v>396.41</v>
      </c>
      <c r="F77" s="52">
        <f t="shared" si="10"/>
        <v>2.6985023825731793</v>
      </c>
      <c r="G77" s="48" t="str">
        <f t="shared" si="8"/>
        <v>janeiro</v>
      </c>
      <c r="H77" s="48">
        <f t="shared" si="9"/>
        <v>2023</v>
      </c>
    </row>
    <row r="78" spans="1:8" hidden="1" x14ac:dyDescent="0.25">
      <c r="A78" s="48">
        <v>4034502</v>
      </c>
      <c r="B78" s="49">
        <v>44927</v>
      </c>
      <c r="C78" s="48" t="s">
        <v>286</v>
      </c>
      <c r="D78" s="50">
        <v>172</v>
      </c>
      <c r="E78" s="51">
        <v>482</v>
      </c>
      <c r="F78" s="52">
        <f t="shared" si="10"/>
        <v>2.8023255813953489</v>
      </c>
      <c r="G78" s="48" t="str">
        <f t="shared" si="8"/>
        <v>janeiro</v>
      </c>
      <c r="H78" s="48">
        <f t="shared" si="9"/>
        <v>2023</v>
      </c>
    </row>
    <row r="79" spans="1:8" hidden="1" x14ac:dyDescent="0.25">
      <c r="A79" s="78">
        <v>3020103</v>
      </c>
      <c r="B79" s="79">
        <v>44958</v>
      </c>
      <c r="C79" s="78" t="s">
        <v>131</v>
      </c>
      <c r="D79" s="80">
        <v>6241.24</v>
      </c>
      <c r="E79" s="81">
        <v>19571</v>
      </c>
      <c r="F79" s="82">
        <f t="shared" ref="F79:F103" si="11">E79/D79</f>
        <v>3.1357550743121561</v>
      </c>
      <c r="G79" s="78" t="str">
        <f t="shared" ref="G79:G97" si="12">TEXT(B79,"mmmm")</f>
        <v>fevereiro</v>
      </c>
      <c r="H79" s="78">
        <f t="shared" ref="H79:H97" si="13">YEAR(B79)</f>
        <v>2023</v>
      </c>
    </row>
    <row r="80" spans="1:8" hidden="1" x14ac:dyDescent="0.25">
      <c r="A80" s="78">
        <v>3020212</v>
      </c>
      <c r="B80" s="79">
        <v>44958</v>
      </c>
      <c r="C80" s="78" t="s">
        <v>133</v>
      </c>
      <c r="D80" s="80">
        <v>1179.69</v>
      </c>
      <c r="E80" s="81">
        <v>4338.08</v>
      </c>
      <c r="F80" s="82">
        <f t="shared" si="11"/>
        <v>3.6773050547177646</v>
      </c>
      <c r="G80" s="78" t="str">
        <f t="shared" si="12"/>
        <v>fevereiro</v>
      </c>
      <c r="H80" s="78">
        <f t="shared" si="13"/>
        <v>2023</v>
      </c>
    </row>
    <row r="81" spans="1:8" hidden="1" x14ac:dyDescent="0.25">
      <c r="A81" s="78">
        <v>3020214</v>
      </c>
      <c r="B81" s="79">
        <v>44958</v>
      </c>
      <c r="C81" s="78" t="s">
        <v>135</v>
      </c>
      <c r="D81" s="80">
        <v>393.1</v>
      </c>
      <c r="E81" s="81">
        <v>1395.39</v>
      </c>
      <c r="F81" s="82">
        <f t="shared" si="11"/>
        <v>3.5497074535741544</v>
      </c>
      <c r="G81" s="78" t="str">
        <f t="shared" si="12"/>
        <v>fevereiro</v>
      </c>
      <c r="H81" s="78">
        <f t="shared" si="13"/>
        <v>2023</v>
      </c>
    </row>
    <row r="82" spans="1:8" hidden="1" x14ac:dyDescent="0.25">
      <c r="A82" s="78">
        <v>3020315</v>
      </c>
      <c r="B82" s="79">
        <v>44958</v>
      </c>
      <c r="C82" s="78" t="s">
        <v>137</v>
      </c>
      <c r="D82" s="80">
        <v>1921.97</v>
      </c>
      <c r="E82" s="81">
        <v>6753.56</v>
      </c>
      <c r="F82" s="82">
        <f t="shared" si="11"/>
        <v>3.5138737857510787</v>
      </c>
      <c r="G82" s="78" t="str">
        <f t="shared" si="12"/>
        <v>fevereiro</v>
      </c>
      <c r="H82" s="78">
        <f t="shared" si="13"/>
        <v>2023</v>
      </c>
    </row>
    <row r="83" spans="1:8" hidden="1" x14ac:dyDescent="0.25">
      <c r="A83" s="78">
        <v>3020316</v>
      </c>
      <c r="B83" s="79">
        <v>44958</v>
      </c>
      <c r="C83" s="78" t="s">
        <v>139</v>
      </c>
      <c r="D83" s="80">
        <v>275.91000000000003</v>
      </c>
      <c r="E83" s="81">
        <v>924.3</v>
      </c>
      <c r="F83" s="82">
        <f t="shared" si="11"/>
        <v>3.350005436555398</v>
      </c>
      <c r="G83" s="78" t="str">
        <f t="shared" si="12"/>
        <v>fevereiro</v>
      </c>
      <c r="H83" s="78">
        <f t="shared" si="13"/>
        <v>2023</v>
      </c>
    </row>
    <row r="84" spans="1:8" hidden="1" x14ac:dyDescent="0.25">
      <c r="A84" s="78">
        <v>3020402</v>
      </c>
      <c r="B84" s="79">
        <v>44958</v>
      </c>
      <c r="C84" s="78" t="s">
        <v>141</v>
      </c>
      <c r="D84" s="80">
        <v>2011.49</v>
      </c>
      <c r="E84" s="81">
        <v>7055.15</v>
      </c>
      <c r="F84" s="82">
        <f t="shared" si="11"/>
        <v>3.5074248442696705</v>
      </c>
      <c r="G84" s="78" t="str">
        <f t="shared" si="12"/>
        <v>fevereiro</v>
      </c>
      <c r="H84" s="78">
        <f t="shared" si="13"/>
        <v>2023</v>
      </c>
    </row>
    <row r="85" spans="1:8" hidden="1" x14ac:dyDescent="0.25">
      <c r="A85" s="78">
        <v>3020504</v>
      </c>
      <c r="B85" s="79">
        <v>44958</v>
      </c>
      <c r="C85" s="78" t="s">
        <v>143</v>
      </c>
      <c r="D85" s="80">
        <v>504.3</v>
      </c>
      <c r="E85" s="81">
        <v>1805.45</v>
      </c>
      <c r="F85" s="82">
        <f t="shared" si="11"/>
        <v>3.580111045012889</v>
      </c>
      <c r="G85" s="78" t="str">
        <f t="shared" si="12"/>
        <v>fevereiro</v>
      </c>
      <c r="H85" s="78">
        <f t="shared" si="13"/>
        <v>2023</v>
      </c>
    </row>
    <row r="86" spans="1:8" hidden="1" x14ac:dyDescent="0.25">
      <c r="A86" s="37">
        <v>3020622</v>
      </c>
      <c r="B86" s="38">
        <v>44958</v>
      </c>
      <c r="C86" s="37" t="s">
        <v>145</v>
      </c>
      <c r="D86" s="39">
        <v>7518.14</v>
      </c>
      <c r="E86" s="40">
        <v>25783.11</v>
      </c>
      <c r="F86" s="41">
        <f t="shared" si="11"/>
        <v>3.4294532956289721</v>
      </c>
      <c r="G86" s="37" t="str">
        <f t="shared" si="12"/>
        <v>fevereiro</v>
      </c>
      <c r="H86" s="37">
        <f t="shared" si="13"/>
        <v>2023</v>
      </c>
    </row>
    <row r="87" spans="1:8" hidden="1" x14ac:dyDescent="0.25">
      <c r="A87" s="37">
        <v>3020623</v>
      </c>
      <c r="B87" s="38">
        <v>44958</v>
      </c>
      <c r="C87" s="37" t="s">
        <v>147</v>
      </c>
      <c r="D87" s="39">
        <v>1235.27</v>
      </c>
      <c r="E87" s="40">
        <v>4517.95</v>
      </c>
      <c r="F87" s="41">
        <f t="shared" si="11"/>
        <v>3.6574595027807684</v>
      </c>
      <c r="G87" s="37" t="str">
        <f t="shared" si="12"/>
        <v>fevereiro</v>
      </c>
      <c r="H87" s="37">
        <f t="shared" si="13"/>
        <v>2023</v>
      </c>
    </row>
    <row r="88" spans="1:8" hidden="1" x14ac:dyDescent="0.25">
      <c r="A88" s="37">
        <v>3020725</v>
      </c>
      <c r="B88" s="38">
        <v>44958</v>
      </c>
      <c r="C88" s="37" t="s">
        <v>149</v>
      </c>
      <c r="D88" s="39">
        <v>345.3</v>
      </c>
      <c r="E88" s="40">
        <v>1225.06</v>
      </c>
      <c r="F88" s="41">
        <f t="shared" si="11"/>
        <v>3.5478134955111496</v>
      </c>
      <c r="G88" s="37" t="str">
        <f t="shared" si="12"/>
        <v>fevereiro</v>
      </c>
      <c r="H88" s="37">
        <f t="shared" si="13"/>
        <v>2023</v>
      </c>
    </row>
    <row r="89" spans="1:8" hidden="1" x14ac:dyDescent="0.25">
      <c r="A89" s="37">
        <v>3020823</v>
      </c>
      <c r="B89" s="38">
        <v>44958</v>
      </c>
      <c r="C89" s="37" t="s">
        <v>151</v>
      </c>
      <c r="D89" s="39">
        <v>1258.7</v>
      </c>
      <c r="E89" s="40">
        <v>4705.3500000000004</v>
      </c>
      <c r="F89" s="41">
        <f t="shared" si="11"/>
        <v>3.7382616985778978</v>
      </c>
      <c r="G89" s="37" t="str">
        <f t="shared" si="12"/>
        <v>fevereiro</v>
      </c>
      <c r="H89" s="37">
        <f t="shared" si="13"/>
        <v>2023</v>
      </c>
    </row>
    <row r="90" spans="1:8" hidden="1" x14ac:dyDescent="0.25">
      <c r="A90" s="37">
        <v>3020824</v>
      </c>
      <c r="B90" s="38">
        <v>44958</v>
      </c>
      <c r="C90" s="37" t="s">
        <v>153</v>
      </c>
      <c r="D90" s="39">
        <v>1362.66</v>
      </c>
      <c r="E90" s="40">
        <v>4905.2700000000004</v>
      </c>
      <c r="F90" s="41">
        <f t="shared" si="11"/>
        <v>3.5997754392144778</v>
      </c>
      <c r="G90" s="37" t="str">
        <f t="shared" si="12"/>
        <v>fevereiro</v>
      </c>
      <c r="H90" s="37">
        <f t="shared" si="13"/>
        <v>2023</v>
      </c>
    </row>
    <row r="91" spans="1:8" hidden="1" x14ac:dyDescent="0.25">
      <c r="A91" s="37">
        <v>3020924</v>
      </c>
      <c r="B91" s="38">
        <v>44958</v>
      </c>
      <c r="C91" s="37" t="s">
        <v>155</v>
      </c>
      <c r="D91" s="39">
        <v>1409.5</v>
      </c>
      <c r="E91" s="40">
        <v>5185.9799999999996</v>
      </c>
      <c r="F91" s="41">
        <f t="shared" si="11"/>
        <v>3.6793047179851008</v>
      </c>
      <c r="G91" s="37" t="str">
        <f t="shared" si="12"/>
        <v>fevereiro</v>
      </c>
      <c r="H91" s="37">
        <f t="shared" si="13"/>
        <v>2023</v>
      </c>
    </row>
    <row r="92" spans="1:8" hidden="1" x14ac:dyDescent="0.25">
      <c r="A92" s="37">
        <v>3020925</v>
      </c>
      <c r="B92" s="38">
        <v>44958</v>
      </c>
      <c r="C92" s="37" t="s">
        <v>157</v>
      </c>
      <c r="D92" s="39">
        <v>1271.8699999999999</v>
      </c>
      <c r="E92" s="40">
        <v>4623.71</v>
      </c>
      <c r="F92" s="41">
        <f t="shared" si="11"/>
        <v>3.635363677105365</v>
      </c>
      <c r="G92" s="37" t="str">
        <f t="shared" si="12"/>
        <v>fevereiro</v>
      </c>
      <c r="H92" s="37">
        <f t="shared" si="13"/>
        <v>2023</v>
      </c>
    </row>
    <row r="93" spans="1:8" hidden="1" x14ac:dyDescent="0.25">
      <c r="A93" s="48">
        <v>3021435</v>
      </c>
      <c r="B93" s="49">
        <v>44958</v>
      </c>
      <c r="C93" s="48" t="s">
        <v>159</v>
      </c>
      <c r="D93" s="50">
        <v>884.07</v>
      </c>
      <c r="E93" s="51">
        <v>2656.13</v>
      </c>
      <c r="F93" s="52">
        <f t="shared" si="11"/>
        <v>3.0044340380286627</v>
      </c>
      <c r="G93" s="48" t="str">
        <f t="shared" si="12"/>
        <v>fevereiro</v>
      </c>
      <c r="H93" s="48">
        <f t="shared" si="13"/>
        <v>2023</v>
      </c>
    </row>
    <row r="94" spans="1:8" hidden="1" x14ac:dyDescent="0.25">
      <c r="A94" s="48">
        <v>3021537</v>
      </c>
      <c r="B94" s="49">
        <v>44958</v>
      </c>
      <c r="C94" s="48" t="s">
        <v>161</v>
      </c>
      <c r="D94" s="50">
        <v>37.5</v>
      </c>
      <c r="E94" s="51">
        <v>114.4</v>
      </c>
      <c r="F94" s="52">
        <f t="shared" si="11"/>
        <v>3.0506666666666669</v>
      </c>
      <c r="G94" s="48" t="str">
        <f t="shared" si="12"/>
        <v>fevereiro</v>
      </c>
      <c r="H94" s="48">
        <f t="shared" si="13"/>
        <v>2023</v>
      </c>
    </row>
    <row r="95" spans="1:8" hidden="1" x14ac:dyDescent="0.25">
      <c r="A95" s="48">
        <v>3021638</v>
      </c>
      <c r="B95" s="49">
        <v>44958</v>
      </c>
      <c r="C95" s="48" t="s">
        <v>163</v>
      </c>
      <c r="D95" s="50">
        <v>65</v>
      </c>
      <c r="E95" s="51">
        <v>194.68</v>
      </c>
      <c r="F95" s="52">
        <f t="shared" si="11"/>
        <v>2.995076923076923</v>
      </c>
      <c r="G95" s="48" t="str">
        <f t="shared" si="12"/>
        <v>fevereiro</v>
      </c>
      <c r="H95" s="48">
        <f t="shared" si="13"/>
        <v>2023</v>
      </c>
    </row>
    <row r="96" spans="1:8" hidden="1" x14ac:dyDescent="0.25">
      <c r="A96" s="48">
        <v>3021739</v>
      </c>
      <c r="B96" s="49">
        <v>44958</v>
      </c>
      <c r="C96" s="48" t="s">
        <v>165</v>
      </c>
      <c r="D96" s="50">
        <v>642.16</v>
      </c>
      <c r="E96" s="51">
        <v>1803.65</v>
      </c>
      <c r="F96" s="52">
        <f t="shared" si="11"/>
        <v>2.8087236825713222</v>
      </c>
      <c r="G96" s="48" t="str">
        <f t="shared" si="12"/>
        <v>fevereiro</v>
      </c>
      <c r="H96" s="48">
        <f t="shared" si="13"/>
        <v>2023</v>
      </c>
    </row>
    <row r="97" spans="1:8" hidden="1" x14ac:dyDescent="0.25">
      <c r="A97" s="42">
        <v>3021760</v>
      </c>
      <c r="B97" s="43">
        <v>44958</v>
      </c>
      <c r="C97" s="42" t="s">
        <v>167</v>
      </c>
      <c r="D97" s="44">
        <v>2301.11</v>
      </c>
      <c r="E97" s="45">
        <v>5353</v>
      </c>
      <c r="F97" s="46">
        <f t="shared" si="11"/>
        <v>2.3262686268800707</v>
      </c>
      <c r="G97" s="42" t="str">
        <f t="shared" si="12"/>
        <v>fevereiro</v>
      </c>
      <c r="H97" s="42">
        <f t="shared" si="13"/>
        <v>2023</v>
      </c>
    </row>
    <row r="98" spans="1:8" hidden="1" x14ac:dyDescent="0.25">
      <c r="A98" s="58">
        <v>3021811</v>
      </c>
      <c r="B98" s="59">
        <v>44958</v>
      </c>
      <c r="C98" s="58" t="s">
        <v>169</v>
      </c>
      <c r="D98" s="60">
        <v>1308</v>
      </c>
      <c r="E98" s="61">
        <v>2900.93</v>
      </c>
      <c r="F98" s="62">
        <f t="shared" si="11"/>
        <v>2.2178363914373089</v>
      </c>
      <c r="G98" s="58" t="str">
        <f t="shared" ref="G98:G155" si="14">TEXT(B98,"mmmm")</f>
        <v>fevereiro</v>
      </c>
      <c r="H98" s="58">
        <f t="shared" ref="H98:H155" si="15">YEAR(B98)</f>
        <v>2023</v>
      </c>
    </row>
    <row r="99" spans="1:8" hidden="1" x14ac:dyDescent="0.25">
      <c r="A99" s="58">
        <v>3021812</v>
      </c>
      <c r="B99" s="59">
        <v>44958</v>
      </c>
      <c r="C99" s="58" t="s">
        <v>171</v>
      </c>
      <c r="D99" s="60">
        <v>1053.5</v>
      </c>
      <c r="E99" s="61">
        <v>2199.65</v>
      </c>
      <c r="F99" s="62">
        <f t="shared" si="11"/>
        <v>2.0879449454200287</v>
      </c>
      <c r="G99" s="58" t="str">
        <f t="shared" si="14"/>
        <v>fevereiro</v>
      </c>
      <c r="H99" s="58">
        <f t="shared" si="15"/>
        <v>2023</v>
      </c>
    </row>
    <row r="100" spans="1:8" hidden="1" x14ac:dyDescent="0.25">
      <c r="A100" s="37">
        <v>3022100</v>
      </c>
      <c r="B100" s="38">
        <v>44958</v>
      </c>
      <c r="C100" s="37" t="s">
        <v>173</v>
      </c>
      <c r="D100" s="39">
        <v>75.599999999999994</v>
      </c>
      <c r="E100" s="40">
        <v>276</v>
      </c>
      <c r="F100" s="41">
        <f t="shared" si="11"/>
        <v>3.6507936507936511</v>
      </c>
      <c r="G100" s="37" t="str">
        <f t="shared" si="14"/>
        <v>fevereiro</v>
      </c>
      <c r="H100" s="37">
        <f t="shared" si="15"/>
        <v>2023</v>
      </c>
    </row>
    <row r="101" spans="1:8" hidden="1" x14ac:dyDescent="0.25">
      <c r="A101" s="37">
        <v>3022208</v>
      </c>
      <c r="B101" s="38">
        <v>44958</v>
      </c>
      <c r="C101" s="37" t="s">
        <v>307</v>
      </c>
      <c r="D101" s="39">
        <v>98</v>
      </c>
      <c r="E101" s="40">
        <v>347</v>
      </c>
      <c r="F101" s="41">
        <f t="shared" si="11"/>
        <v>3.5408163265306123</v>
      </c>
      <c r="G101" s="37" t="str">
        <f t="shared" si="14"/>
        <v>fevereiro</v>
      </c>
      <c r="H101" s="37">
        <f t="shared" si="15"/>
        <v>2023</v>
      </c>
    </row>
    <row r="102" spans="1:8" hidden="1" x14ac:dyDescent="0.25">
      <c r="A102" s="88">
        <v>3022311</v>
      </c>
      <c r="B102" s="89">
        <v>44958</v>
      </c>
      <c r="C102" s="88" t="s">
        <v>176</v>
      </c>
      <c r="D102" s="90">
        <v>2045</v>
      </c>
      <c r="E102" s="91">
        <v>4547</v>
      </c>
      <c r="F102" s="92">
        <f t="shared" si="11"/>
        <v>2.2234718826405868</v>
      </c>
      <c r="G102" s="88" t="str">
        <f t="shared" si="14"/>
        <v>fevereiro</v>
      </c>
      <c r="H102" s="88">
        <f t="shared" si="15"/>
        <v>2023</v>
      </c>
    </row>
    <row r="103" spans="1:8" hidden="1" x14ac:dyDescent="0.25">
      <c r="A103" s="88">
        <v>3022312</v>
      </c>
      <c r="B103" s="89">
        <v>44958</v>
      </c>
      <c r="C103" s="88" t="s">
        <v>308</v>
      </c>
      <c r="D103" s="90">
        <v>60</v>
      </c>
      <c r="E103" s="91">
        <v>152</v>
      </c>
      <c r="F103" s="92">
        <f t="shared" si="11"/>
        <v>2.5333333333333332</v>
      </c>
      <c r="G103" s="88" t="str">
        <f t="shared" si="14"/>
        <v>fevereiro</v>
      </c>
      <c r="H103" s="88">
        <f t="shared" si="15"/>
        <v>2023</v>
      </c>
    </row>
    <row r="104" spans="1:8" hidden="1" x14ac:dyDescent="0.25">
      <c r="A104" s="88">
        <v>3022411</v>
      </c>
      <c r="B104" s="89">
        <v>44958</v>
      </c>
      <c r="C104" s="88" t="s">
        <v>178</v>
      </c>
      <c r="D104" s="90">
        <v>17</v>
      </c>
      <c r="E104" s="91">
        <v>43.58</v>
      </c>
      <c r="F104" s="92">
        <f t="shared" ref="F104:F155" si="16">E104/D104</f>
        <v>2.5635294117647058</v>
      </c>
      <c r="G104" s="88" t="str">
        <f t="shared" si="14"/>
        <v>fevereiro</v>
      </c>
      <c r="H104" s="88">
        <f t="shared" si="15"/>
        <v>2023</v>
      </c>
    </row>
    <row r="105" spans="1:8" hidden="1" x14ac:dyDescent="0.25">
      <c r="A105" s="88">
        <v>3022511</v>
      </c>
      <c r="B105" s="89">
        <v>44958</v>
      </c>
      <c r="C105" s="88" t="s">
        <v>180</v>
      </c>
      <c r="D105" s="90">
        <v>12.8</v>
      </c>
      <c r="E105" s="91">
        <v>32.479999999999997</v>
      </c>
      <c r="F105" s="92">
        <f t="shared" si="16"/>
        <v>2.5374999999999996</v>
      </c>
      <c r="G105" s="88" t="str">
        <f t="shared" si="14"/>
        <v>fevereiro</v>
      </c>
      <c r="H105" s="88">
        <f t="shared" si="15"/>
        <v>2023</v>
      </c>
    </row>
    <row r="106" spans="1:8" hidden="1" x14ac:dyDescent="0.25">
      <c r="A106" s="42">
        <v>3022601</v>
      </c>
      <c r="B106" s="43">
        <v>44958</v>
      </c>
      <c r="C106" s="42" t="s">
        <v>182</v>
      </c>
      <c r="D106" s="44">
        <v>239</v>
      </c>
      <c r="E106" s="45">
        <v>1085</v>
      </c>
      <c r="F106" s="46">
        <f t="shared" si="16"/>
        <v>4.539748953974895</v>
      </c>
      <c r="G106" s="42" t="str">
        <f t="shared" si="14"/>
        <v>fevereiro</v>
      </c>
      <c r="H106" s="42">
        <f t="shared" si="15"/>
        <v>2023</v>
      </c>
    </row>
    <row r="107" spans="1:8" hidden="1" x14ac:dyDescent="0.25">
      <c r="A107" s="42">
        <v>3022703</v>
      </c>
      <c r="B107" s="43">
        <v>44958</v>
      </c>
      <c r="C107" s="42" t="s">
        <v>309</v>
      </c>
      <c r="D107" s="44">
        <v>636</v>
      </c>
      <c r="E107" s="45">
        <v>1469</v>
      </c>
      <c r="F107" s="46">
        <f t="shared" si="16"/>
        <v>2.3097484276729561</v>
      </c>
      <c r="G107" s="42" t="str">
        <f t="shared" si="14"/>
        <v>fevereiro</v>
      </c>
      <c r="H107" s="42">
        <f t="shared" si="15"/>
        <v>2023</v>
      </c>
    </row>
    <row r="108" spans="1:8" hidden="1" x14ac:dyDescent="0.25">
      <c r="A108" s="42">
        <v>3022805</v>
      </c>
      <c r="B108" s="43">
        <v>44958</v>
      </c>
      <c r="C108" s="42" t="s">
        <v>186</v>
      </c>
      <c r="D108" s="44">
        <v>1220</v>
      </c>
      <c r="E108" s="45">
        <v>2395</v>
      </c>
      <c r="F108" s="46">
        <f t="shared" si="16"/>
        <v>1.9631147540983607</v>
      </c>
      <c r="G108" s="42" t="str">
        <f t="shared" si="14"/>
        <v>fevereiro</v>
      </c>
      <c r="H108" s="42">
        <f t="shared" si="15"/>
        <v>2023</v>
      </c>
    </row>
    <row r="109" spans="1:8" hidden="1" x14ac:dyDescent="0.25">
      <c r="A109" s="42">
        <v>3022906</v>
      </c>
      <c r="B109" s="43">
        <v>44958</v>
      </c>
      <c r="C109" s="42" t="s">
        <v>188</v>
      </c>
      <c r="D109" s="44">
        <v>1800</v>
      </c>
      <c r="E109" s="45">
        <v>3512</v>
      </c>
      <c r="F109" s="46">
        <f t="shared" si="16"/>
        <v>1.951111111111111</v>
      </c>
      <c r="G109" s="42" t="str">
        <f t="shared" si="14"/>
        <v>fevereiro</v>
      </c>
      <c r="H109" s="42">
        <f t="shared" si="15"/>
        <v>2023</v>
      </c>
    </row>
    <row r="110" spans="1:8" hidden="1" x14ac:dyDescent="0.25">
      <c r="A110" s="42">
        <v>3023007</v>
      </c>
      <c r="B110" s="43">
        <v>44958</v>
      </c>
      <c r="C110" s="42" t="s">
        <v>190</v>
      </c>
      <c r="D110" s="44">
        <v>580</v>
      </c>
      <c r="E110" s="45">
        <v>1135</v>
      </c>
      <c r="F110" s="46">
        <f t="shared" si="16"/>
        <v>1.9568965517241379</v>
      </c>
      <c r="G110" s="42" t="str">
        <f t="shared" si="14"/>
        <v>fevereiro</v>
      </c>
      <c r="H110" s="42">
        <f t="shared" si="15"/>
        <v>2023</v>
      </c>
    </row>
    <row r="111" spans="1:8" hidden="1" x14ac:dyDescent="0.25">
      <c r="A111" s="37">
        <v>4030100</v>
      </c>
      <c r="B111" s="38">
        <v>44958</v>
      </c>
      <c r="C111" s="37" t="s">
        <v>200</v>
      </c>
      <c r="D111" s="39">
        <v>416.1</v>
      </c>
      <c r="E111" s="40">
        <v>2488.59</v>
      </c>
      <c r="F111" s="41">
        <f t="shared" si="16"/>
        <v>5.980749819754867</v>
      </c>
      <c r="G111" s="37" t="str">
        <f t="shared" si="14"/>
        <v>fevereiro</v>
      </c>
      <c r="H111" s="37">
        <f t="shared" si="15"/>
        <v>2023</v>
      </c>
    </row>
    <row r="112" spans="1:8" hidden="1" x14ac:dyDescent="0.25">
      <c r="A112" s="37">
        <v>4030211</v>
      </c>
      <c r="B112" s="38">
        <v>44958</v>
      </c>
      <c r="C112" s="37" t="s">
        <v>202</v>
      </c>
      <c r="D112" s="39">
        <v>863.33</v>
      </c>
      <c r="E112" s="40">
        <v>5157.55</v>
      </c>
      <c r="F112" s="41">
        <f t="shared" si="16"/>
        <v>5.9740192047073544</v>
      </c>
      <c r="G112" s="37" t="str">
        <f t="shared" si="14"/>
        <v>fevereiro</v>
      </c>
      <c r="H112" s="37">
        <f t="shared" si="15"/>
        <v>2023</v>
      </c>
    </row>
    <row r="113" spans="1:8" hidden="1" x14ac:dyDescent="0.25">
      <c r="A113" s="37">
        <v>4030300</v>
      </c>
      <c r="B113" s="38">
        <v>44958</v>
      </c>
      <c r="C113" s="37" t="s">
        <v>310</v>
      </c>
      <c r="D113" s="39">
        <v>6.7</v>
      </c>
      <c r="E113" s="40">
        <v>28.14</v>
      </c>
      <c r="F113" s="41">
        <f t="shared" si="16"/>
        <v>4.2</v>
      </c>
      <c r="G113" s="37" t="str">
        <f t="shared" si="14"/>
        <v>fevereiro</v>
      </c>
      <c r="H113" s="37">
        <f t="shared" si="15"/>
        <v>2023</v>
      </c>
    </row>
    <row r="114" spans="1:8" hidden="1" x14ac:dyDescent="0.25">
      <c r="A114" s="37">
        <v>4030311</v>
      </c>
      <c r="B114" s="38">
        <v>44958</v>
      </c>
      <c r="C114" s="37" t="s">
        <v>311</v>
      </c>
      <c r="D114" s="39">
        <v>344.65</v>
      </c>
      <c r="E114" s="40">
        <v>2298</v>
      </c>
      <c r="F114" s="41">
        <f t="shared" si="16"/>
        <v>6.6676338314231831</v>
      </c>
      <c r="G114" s="37" t="str">
        <f t="shared" si="14"/>
        <v>fevereiro</v>
      </c>
      <c r="H114" s="37">
        <f t="shared" si="15"/>
        <v>2023</v>
      </c>
    </row>
    <row r="115" spans="1:8" hidden="1" x14ac:dyDescent="0.25">
      <c r="A115" s="37">
        <v>4030400</v>
      </c>
      <c r="B115" s="38">
        <v>44958</v>
      </c>
      <c r="C115" s="37" t="s">
        <v>312</v>
      </c>
      <c r="D115" s="39">
        <v>114.43</v>
      </c>
      <c r="E115" s="40">
        <v>629.41</v>
      </c>
      <c r="F115" s="41">
        <f t="shared" si="16"/>
        <v>5.5003932535174336</v>
      </c>
      <c r="G115" s="37" t="str">
        <f t="shared" si="14"/>
        <v>fevereiro</v>
      </c>
      <c r="H115" s="37">
        <f t="shared" si="15"/>
        <v>2023</v>
      </c>
    </row>
    <row r="116" spans="1:8" hidden="1" x14ac:dyDescent="0.25">
      <c r="A116" s="37">
        <v>4030511</v>
      </c>
      <c r="B116" s="38">
        <v>44958</v>
      </c>
      <c r="C116" s="37" t="s">
        <v>208</v>
      </c>
      <c r="D116" s="39">
        <v>1135.9000000000001</v>
      </c>
      <c r="E116" s="40">
        <v>5444.47</v>
      </c>
      <c r="F116" s="41">
        <f t="shared" si="16"/>
        <v>4.7930891803855973</v>
      </c>
      <c r="G116" s="37" t="str">
        <f t="shared" si="14"/>
        <v>fevereiro</v>
      </c>
      <c r="H116" s="37">
        <f t="shared" si="15"/>
        <v>2023</v>
      </c>
    </row>
    <row r="117" spans="1:8" hidden="1" x14ac:dyDescent="0.25">
      <c r="A117" s="58">
        <v>4030600</v>
      </c>
      <c r="B117" s="59">
        <v>44958</v>
      </c>
      <c r="C117" s="58" t="s">
        <v>212</v>
      </c>
      <c r="D117" s="60">
        <v>2534.4</v>
      </c>
      <c r="E117" s="61">
        <v>7704.71</v>
      </c>
      <c r="F117" s="62">
        <f t="shared" si="16"/>
        <v>3.0400528724747473</v>
      </c>
      <c r="G117" s="58" t="str">
        <f t="shared" si="14"/>
        <v>fevereiro</v>
      </c>
      <c r="H117" s="58">
        <f t="shared" si="15"/>
        <v>2023</v>
      </c>
    </row>
    <row r="118" spans="1:8" hidden="1" x14ac:dyDescent="0.25">
      <c r="A118" s="58">
        <v>4030711</v>
      </c>
      <c r="B118" s="59">
        <v>44958</v>
      </c>
      <c r="C118" s="58" t="s">
        <v>214</v>
      </c>
      <c r="D118" s="60">
        <v>3411</v>
      </c>
      <c r="E118" s="61">
        <v>11199</v>
      </c>
      <c r="F118" s="62">
        <f t="shared" si="16"/>
        <v>3.2832014072119615</v>
      </c>
      <c r="G118" s="58" t="str">
        <f t="shared" si="14"/>
        <v>fevereiro</v>
      </c>
      <c r="H118" s="58">
        <f t="shared" si="15"/>
        <v>2023</v>
      </c>
    </row>
    <row r="119" spans="1:8" hidden="1" x14ac:dyDescent="0.25">
      <c r="A119" s="68">
        <v>4030811</v>
      </c>
      <c r="B119" s="69">
        <v>44958</v>
      </c>
      <c r="C119" s="68" t="s">
        <v>216</v>
      </c>
      <c r="D119" s="70">
        <v>1752</v>
      </c>
      <c r="E119" s="71">
        <v>5089</v>
      </c>
      <c r="F119" s="72">
        <f t="shared" si="16"/>
        <v>2.9046803652968038</v>
      </c>
      <c r="G119" s="68" t="str">
        <f t="shared" si="14"/>
        <v>fevereiro</v>
      </c>
      <c r="H119" s="68">
        <f t="shared" si="15"/>
        <v>2023</v>
      </c>
    </row>
    <row r="120" spans="1:8" hidden="1" x14ac:dyDescent="0.25">
      <c r="A120" s="68">
        <v>4030813</v>
      </c>
      <c r="B120" s="69">
        <v>44958</v>
      </c>
      <c r="C120" s="68" t="s">
        <v>218</v>
      </c>
      <c r="D120" s="70">
        <v>1522.01</v>
      </c>
      <c r="E120" s="71">
        <v>4338.87</v>
      </c>
      <c r="F120" s="72">
        <f t="shared" si="16"/>
        <v>2.8507499950723059</v>
      </c>
      <c r="G120" s="68" t="str">
        <f t="shared" si="14"/>
        <v>fevereiro</v>
      </c>
      <c r="H120" s="68">
        <f t="shared" si="15"/>
        <v>2023</v>
      </c>
    </row>
    <row r="121" spans="1:8" hidden="1" x14ac:dyDescent="0.25">
      <c r="A121" s="68">
        <v>4030910</v>
      </c>
      <c r="B121" s="69">
        <v>44958</v>
      </c>
      <c r="C121" s="68" t="s">
        <v>222</v>
      </c>
      <c r="D121" s="70">
        <v>84.72</v>
      </c>
      <c r="E121" s="71">
        <v>264.79000000000002</v>
      </c>
      <c r="F121" s="72">
        <f t="shared" si="16"/>
        <v>3.1254721435316339</v>
      </c>
      <c r="G121" s="68" t="str">
        <f t="shared" si="14"/>
        <v>fevereiro</v>
      </c>
      <c r="H121" s="68">
        <f t="shared" si="15"/>
        <v>2023</v>
      </c>
    </row>
    <row r="122" spans="1:8" hidden="1" x14ac:dyDescent="0.25">
      <c r="A122" s="73">
        <v>4030900</v>
      </c>
      <c r="B122" s="74">
        <v>44958</v>
      </c>
      <c r="C122" s="73" t="s">
        <v>220</v>
      </c>
      <c r="D122" s="75">
        <v>5885.5</v>
      </c>
      <c r="E122" s="76">
        <v>16848</v>
      </c>
      <c r="F122" s="77">
        <f t="shared" ref="F122" si="17">E122/D122</f>
        <v>2.8626284937558406</v>
      </c>
      <c r="G122" s="73" t="str">
        <f t="shared" ref="G122" si="18">TEXT(B122,"mmmm")</f>
        <v>fevereiro</v>
      </c>
      <c r="H122" s="73">
        <f t="shared" ref="H122" si="19">YEAR(B122)</f>
        <v>2023</v>
      </c>
    </row>
    <row r="123" spans="1:8" hidden="1" x14ac:dyDescent="0.25">
      <c r="A123" s="73">
        <v>4031012</v>
      </c>
      <c r="B123" s="74">
        <v>44958</v>
      </c>
      <c r="C123" s="73" t="s">
        <v>224</v>
      </c>
      <c r="D123" s="75">
        <v>1270.31</v>
      </c>
      <c r="E123" s="76">
        <v>3665</v>
      </c>
      <c r="F123" s="77">
        <f t="shared" si="16"/>
        <v>2.8851225291464289</v>
      </c>
      <c r="G123" s="73" t="str">
        <f t="shared" si="14"/>
        <v>fevereiro</v>
      </c>
      <c r="H123" s="73">
        <f t="shared" si="15"/>
        <v>2023</v>
      </c>
    </row>
    <row r="124" spans="1:8" hidden="1" x14ac:dyDescent="0.25">
      <c r="A124" s="73">
        <v>4031017</v>
      </c>
      <c r="B124" s="74">
        <v>44958</v>
      </c>
      <c r="C124" s="73" t="s">
        <v>226</v>
      </c>
      <c r="D124" s="75">
        <v>4479</v>
      </c>
      <c r="E124" s="76">
        <v>13066.9</v>
      </c>
      <c r="F124" s="77">
        <f t="shared" si="16"/>
        <v>2.9173699486492519</v>
      </c>
      <c r="G124" s="73" t="str">
        <f t="shared" si="14"/>
        <v>fevereiro</v>
      </c>
      <c r="H124" s="73">
        <f t="shared" si="15"/>
        <v>2023</v>
      </c>
    </row>
    <row r="125" spans="1:8" hidden="1" x14ac:dyDescent="0.25">
      <c r="A125" s="73">
        <v>4031102</v>
      </c>
      <c r="B125" s="74">
        <v>44958</v>
      </c>
      <c r="C125" s="73" t="s">
        <v>228</v>
      </c>
      <c r="D125" s="75">
        <v>8355</v>
      </c>
      <c r="E125" s="76">
        <v>22514</v>
      </c>
      <c r="F125" s="77">
        <f t="shared" si="16"/>
        <v>2.6946738479952126</v>
      </c>
      <c r="G125" s="73" t="str">
        <f t="shared" si="14"/>
        <v>fevereiro</v>
      </c>
      <c r="H125" s="73">
        <f t="shared" si="15"/>
        <v>2023</v>
      </c>
    </row>
    <row r="126" spans="1:8" hidden="1" x14ac:dyDescent="0.25">
      <c r="A126" s="58">
        <v>4031200</v>
      </c>
      <c r="B126" s="59">
        <v>44958</v>
      </c>
      <c r="C126" s="58" t="s">
        <v>230</v>
      </c>
      <c r="D126" s="60">
        <v>1291.8</v>
      </c>
      <c r="E126" s="61">
        <v>3538.94</v>
      </c>
      <c r="F126" s="62">
        <f t="shared" si="16"/>
        <v>2.7395417247251896</v>
      </c>
      <c r="G126" s="58" t="str">
        <f t="shared" si="14"/>
        <v>fevereiro</v>
      </c>
      <c r="H126" s="58">
        <f t="shared" si="15"/>
        <v>2023</v>
      </c>
    </row>
    <row r="127" spans="1:8" hidden="1" x14ac:dyDescent="0.25">
      <c r="A127" s="58">
        <v>4031304</v>
      </c>
      <c r="B127" s="59">
        <v>44958</v>
      </c>
      <c r="C127" s="58" t="s">
        <v>232</v>
      </c>
      <c r="D127" s="60">
        <v>1877.73</v>
      </c>
      <c r="E127" s="61">
        <v>4958.83</v>
      </c>
      <c r="F127" s="62">
        <f t="shared" si="16"/>
        <v>2.6408642350071627</v>
      </c>
      <c r="G127" s="58" t="str">
        <f t="shared" si="14"/>
        <v>fevereiro</v>
      </c>
      <c r="H127" s="58">
        <f t="shared" si="15"/>
        <v>2023</v>
      </c>
    </row>
    <row r="128" spans="1:8" hidden="1" x14ac:dyDescent="0.25">
      <c r="A128" s="58">
        <v>4031411</v>
      </c>
      <c r="B128" s="59">
        <v>44958</v>
      </c>
      <c r="C128" s="58" t="s">
        <v>234</v>
      </c>
      <c r="D128" s="60">
        <v>39.6</v>
      </c>
      <c r="E128" s="61">
        <v>125.11</v>
      </c>
      <c r="F128" s="62">
        <f t="shared" si="16"/>
        <v>3.1593434343434343</v>
      </c>
      <c r="G128" s="58" t="str">
        <f t="shared" si="14"/>
        <v>fevereiro</v>
      </c>
      <c r="H128" s="58">
        <f t="shared" si="15"/>
        <v>2023</v>
      </c>
    </row>
    <row r="129" spans="1:8" hidden="1" x14ac:dyDescent="0.25">
      <c r="A129" s="58">
        <v>4031500</v>
      </c>
      <c r="B129" s="59">
        <v>44958</v>
      </c>
      <c r="C129" s="58" t="s">
        <v>236</v>
      </c>
      <c r="D129" s="60">
        <v>6970</v>
      </c>
      <c r="E129" s="61">
        <v>17707</v>
      </c>
      <c r="F129" s="62">
        <f t="shared" si="16"/>
        <v>2.5404591104734577</v>
      </c>
      <c r="G129" s="58" t="str">
        <f t="shared" si="14"/>
        <v>fevereiro</v>
      </c>
      <c r="H129" s="58">
        <f t="shared" si="15"/>
        <v>2023</v>
      </c>
    </row>
    <row r="130" spans="1:8" hidden="1" x14ac:dyDescent="0.25">
      <c r="A130" s="58">
        <v>4031604</v>
      </c>
      <c r="B130" s="59">
        <v>44958</v>
      </c>
      <c r="C130" s="58" t="s">
        <v>238</v>
      </c>
      <c r="D130" s="60">
        <v>6663</v>
      </c>
      <c r="E130" s="61">
        <v>16451</v>
      </c>
      <c r="F130" s="62">
        <f t="shared" si="16"/>
        <v>2.4690079543749062</v>
      </c>
      <c r="G130" s="58" t="str">
        <f t="shared" si="14"/>
        <v>fevereiro</v>
      </c>
      <c r="H130" s="58">
        <f t="shared" si="15"/>
        <v>2023</v>
      </c>
    </row>
    <row r="131" spans="1:8" hidden="1" x14ac:dyDescent="0.25">
      <c r="A131" s="58">
        <v>4031605</v>
      </c>
      <c r="B131" s="59">
        <v>44958</v>
      </c>
      <c r="C131" s="58" t="s">
        <v>240</v>
      </c>
      <c r="D131" s="60">
        <v>111.79</v>
      </c>
      <c r="E131" s="61">
        <v>329.45</v>
      </c>
      <c r="F131" s="62">
        <f t="shared" si="16"/>
        <v>2.9470435638250287</v>
      </c>
      <c r="G131" s="58" t="str">
        <f t="shared" si="14"/>
        <v>fevereiro</v>
      </c>
      <c r="H131" s="58">
        <f t="shared" si="15"/>
        <v>2023</v>
      </c>
    </row>
    <row r="132" spans="1:8" hidden="1" x14ac:dyDescent="0.25">
      <c r="A132" s="58">
        <v>4031700</v>
      </c>
      <c r="B132" s="59">
        <v>44958</v>
      </c>
      <c r="C132" s="58" t="s">
        <v>242</v>
      </c>
      <c r="D132" s="60">
        <v>771.1</v>
      </c>
      <c r="E132" s="61">
        <v>2122.5700000000002</v>
      </c>
      <c r="F132" s="62">
        <f t="shared" si="16"/>
        <v>2.7526520555051226</v>
      </c>
      <c r="G132" s="58" t="str">
        <f t="shared" si="14"/>
        <v>fevereiro</v>
      </c>
      <c r="H132" s="58">
        <f t="shared" si="15"/>
        <v>2023</v>
      </c>
    </row>
    <row r="133" spans="1:8" hidden="1" x14ac:dyDescent="0.25">
      <c r="A133" s="58">
        <v>4031812</v>
      </c>
      <c r="B133" s="59">
        <v>44958</v>
      </c>
      <c r="C133" s="58" t="s">
        <v>244</v>
      </c>
      <c r="D133" s="60">
        <v>430.39</v>
      </c>
      <c r="E133" s="61">
        <v>1263</v>
      </c>
      <c r="F133" s="62">
        <f t="shared" si="16"/>
        <v>2.93454773577453</v>
      </c>
      <c r="G133" s="58" t="str">
        <f t="shared" si="14"/>
        <v>fevereiro</v>
      </c>
      <c r="H133" s="58">
        <f t="shared" si="15"/>
        <v>2023</v>
      </c>
    </row>
    <row r="134" spans="1:8" hidden="1" x14ac:dyDescent="0.25">
      <c r="A134" s="58">
        <v>4031813</v>
      </c>
      <c r="B134" s="59">
        <v>44958</v>
      </c>
      <c r="C134" s="58" t="s">
        <v>313</v>
      </c>
      <c r="D134" s="60">
        <v>70</v>
      </c>
      <c r="E134" s="61">
        <v>217</v>
      </c>
      <c r="F134" s="62">
        <f t="shared" si="16"/>
        <v>3.1</v>
      </c>
      <c r="G134" s="58" t="str">
        <f t="shared" si="14"/>
        <v>fevereiro</v>
      </c>
      <c r="H134" s="58">
        <f t="shared" si="15"/>
        <v>2023</v>
      </c>
    </row>
    <row r="135" spans="1:8" hidden="1" x14ac:dyDescent="0.25">
      <c r="A135" s="58">
        <v>4031904</v>
      </c>
      <c r="B135" s="59">
        <v>44958</v>
      </c>
      <c r="C135" s="58" t="s">
        <v>246</v>
      </c>
      <c r="D135" s="60">
        <v>1062</v>
      </c>
      <c r="E135" s="61">
        <v>2823</v>
      </c>
      <c r="F135" s="62">
        <f t="shared" si="16"/>
        <v>2.6581920903954801</v>
      </c>
      <c r="G135" s="58" t="str">
        <f t="shared" si="14"/>
        <v>fevereiro</v>
      </c>
      <c r="H135" s="58">
        <f t="shared" si="15"/>
        <v>2023</v>
      </c>
    </row>
    <row r="136" spans="1:8" hidden="1" x14ac:dyDescent="0.25">
      <c r="A136" s="37">
        <v>4032111</v>
      </c>
      <c r="B136" s="38">
        <v>44958</v>
      </c>
      <c r="C136" s="37" t="s">
        <v>314</v>
      </c>
      <c r="D136" s="39">
        <v>72</v>
      </c>
      <c r="E136" s="40">
        <v>357</v>
      </c>
      <c r="F136" s="41">
        <f t="shared" si="16"/>
        <v>4.958333333333333</v>
      </c>
      <c r="G136" s="37" t="str">
        <f t="shared" si="14"/>
        <v>fevereiro</v>
      </c>
      <c r="H136" s="37">
        <f t="shared" si="15"/>
        <v>2023</v>
      </c>
    </row>
    <row r="137" spans="1:8" hidden="1" x14ac:dyDescent="0.25">
      <c r="A137" s="37">
        <v>4032204</v>
      </c>
      <c r="B137" s="38">
        <v>44958</v>
      </c>
      <c r="C137" s="37" t="s">
        <v>315</v>
      </c>
      <c r="D137" s="39">
        <v>209.15</v>
      </c>
      <c r="E137" s="40">
        <v>1061.6099999999999</v>
      </c>
      <c r="F137" s="41">
        <f t="shared" si="16"/>
        <v>5.0758307434855361</v>
      </c>
      <c r="G137" s="37" t="str">
        <f t="shared" si="14"/>
        <v>fevereiro</v>
      </c>
      <c r="H137" s="37">
        <f t="shared" si="15"/>
        <v>2023</v>
      </c>
    </row>
    <row r="138" spans="1:8" hidden="1" x14ac:dyDescent="0.25">
      <c r="A138" s="42">
        <v>4032312</v>
      </c>
      <c r="B138" s="43">
        <v>44958</v>
      </c>
      <c r="C138" s="42" t="s">
        <v>252</v>
      </c>
      <c r="D138" s="44">
        <v>467.7</v>
      </c>
      <c r="E138" s="45">
        <v>1901</v>
      </c>
      <c r="F138" s="46">
        <f t="shared" si="16"/>
        <v>4.0645713063929874</v>
      </c>
      <c r="G138" s="42" t="str">
        <f t="shared" si="14"/>
        <v>fevereiro</v>
      </c>
      <c r="H138" s="42">
        <f t="shared" si="15"/>
        <v>2023</v>
      </c>
    </row>
    <row r="139" spans="1:8" hidden="1" x14ac:dyDescent="0.25">
      <c r="A139" s="42">
        <v>4032404</v>
      </c>
      <c r="B139" s="43">
        <v>44958</v>
      </c>
      <c r="C139" s="42" t="s">
        <v>254</v>
      </c>
      <c r="D139" s="44">
        <v>106.8</v>
      </c>
      <c r="E139" s="45">
        <v>443.54</v>
      </c>
      <c r="F139" s="46">
        <f t="shared" si="16"/>
        <v>4.1529962546816481</v>
      </c>
      <c r="G139" s="42" t="str">
        <f t="shared" si="14"/>
        <v>fevereiro</v>
      </c>
      <c r="H139" s="42">
        <f t="shared" si="15"/>
        <v>2023</v>
      </c>
    </row>
    <row r="140" spans="1:8" hidden="1" x14ac:dyDescent="0.25">
      <c r="A140" s="73">
        <v>4032500</v>
      </c>
      <c r="B140" s="74">
        <v>44958</v>
      </c>
      <c r="C140" s="73" t="s">
        <v>256</v>
      </c>
      <c r="D140" s="75">
        <v>538.4</v>
      </c>
      <c r="E140" s="76">
        <v>1321.3</v>
      </c>
      <c r="F140" s="77">
        <f t="shared" si="16"/>
        <v>2.4541233283803865</v>
      </c>
      <c r="G140" s="73" t="str">
        <f t="shared" si="14"/>
        <v>fevereiro</v>
      </c>
      <c r="H140" s="73">
        <f t="shared" si="15"/>
        <v>2023</v>
      </c>
    </row>
    <row r="141" spans="1:8" hidden="1" x14ac:dyDescent="0.25">
      <c r="A141" s="73">
        <v>4032611</v>
      </c>
      <c r="B141" s="74">
        <v>44958</v>
      </c>
      <c r="C141" s="73" t="s">
        <v>258</v>
      </c>
      <c r="D141" s="75">
        <v>100.61</v>
      </c>
      <c r="E141" s="76">
        <v>296.52</v>
      </c>
      <c r="F141" s="77">
        <f t="shared" si="16"/>
        <v>2.9472219461286153</v>
      </c>
      <c r="G141" s="73" t="str">
        <f t="shared" si="14"/>
        <v>fevereiro</v>
      </c>
      <c r="H141" s="73">
        <f t="shared" si="15"/>
        <v>2023</v>
      </c>
    </row>
    <row r="142" spans="1:8" hidden="1" x14ac:dyDescent="0.25">
      <c r="A142" s="73">
        <v>4032704</v>
      </c>
      <c r="B142" s="74">
        <v>44958</v>
      </c>
      <c r="C142" s="73" t="s">
        <v>260</v>
      </c>
      <c r="D142" s="75">
        <v>318</v>
      </c>
      <c r="E142" s="76">
        <v>870.87</v>
      </c>
      <c r="F142" s="77">
        <f t="shared" si="16"/>
        <v>2.7385849056603773</v>
      </c>
      <c r="G142" s="73" t="str">
        <f t="shared" si="14"/>
        <v>fevereiro</v>
      </c>
      <c r="H142" s="73">
        <f t="shared" si="15"/>
        <v>2023</v>
      </c>
    </row>
    <row r="143" spans="1:8" hidden="1" x14ac:dyDescent="0.25">
      <c r="A143" s="48">
        <v>4032800</v>
      </c>
      <c r="B143" s="49">
        <v>44958</v>
      </c>
      <c r="C143" s="48" t="s">
        <v>262</v>
      </c>
      <c r="D143" s="50">
        <v>470.45</v>
      </c>
      <c r="E143" s="51">
        <v>2465.5500000000002</v>
      </c>
      <c r="F143" s="52">
        <f t="shared" si="16"/>
        <v>5.2408332447656507</v>
      </c>
      <c r="G143" s="48" t="str">
        <f t="shared" si="14"/>
        <v>fevereiro</v>
      </c>
      <c r="H143" s="48">
        <f t="shared" si="15"/>
        <v>2023</v>
      </c>
    </row>
    <row r="144" spans="1:8" hidden="1" x14ac:dyDescent="0.25">
      <c r="A144" s="48">
        <v>4032902</v>
      </c>
      <c r="B144" s="49">
        <v>44958</v>
      </c>
      <c r="C144" s="48" t="s">
        <v>264</v>
      </c>
      <c r="D144" s="50">
        <v>780</v>
      </c>
      <c r="E144" s="51">
        <v>3975</v>
      </c>
      <c r="F144" s="52">
        <f t="shared" si="16"/>
        <v>5.0961538461538458</v>
      </c>
      <c r="G144" s="48" t="str">
        <f t="shared" si="14"/>
        <v>fevereiro</v>
      </c>
      <c r="H144" s="48">
        <f t="shared" si="15"/>
        <v>2023</v>
      </c>
    </row>
    <row r="145" spans="1:8" hidden="1" x14ac:dyDescent="0.25">
      <c r="A145" s="42">
        <v>4033011</v>
      </c>
      <c r="B145" s="43">
        <v>44958</v>
      </c>
      <c r="C145" s="42" t="s">
        <v>266</v>
      </c>
      <c r="D145" s="44">
        <v>62.4</v>
      </c>
      <c r="E145" s="45">
        <v>314.20999999999998</v>
      </c>
      <c r="F145" s="46">
        <f t="shared" si="16"/>
        <v>5.0354166666666664</v>
      </c>
      <c r="G145" s="42" t="str">
        <f t="shared" si="14"/>
        <v>fevereiro</v>
      </c>
      <c r="H145" s="42">
        <f t="shared" si="15"/>
        <v>2023</v>
      </c>
    </row>
    <row r="146" spans="1:8" hidden="1" x14ac:dyDescent="0.25">
      <c r="A146" s="42">
        <v>4033111</v>
      </c>
      <c r="B146" s="43">
        <v>44958</v>
      </c>
      <c r="C146" s="42" t="s">
        <v>268</v>
      </c>
      <c r="D146" s="44">
        <v>64.3</v>
      </c>
      <c r="E146" s="45">
        <v>300.39</v>
      </c>
      <c r="F146" s="46">
        <f t="shared" si="16"/>
        <v>4.671695178849145</v>
      </c>
      <c r="G146" s="42" t="str">
        <f t="shared" si="14"/>
        <v>fevereiro</v>
      </c>
      <c r="H146" s="42">
        <f t="shared" si="15"/>
        <v>2023</v>
      </c>
    </row>
    <row r="147" spans="1:8" hidden="1" x14ac:dyDescent="0.25">
      <c r="A147" s="42">
        <v>4033211</v>
      </c>
      <c r="B147" s="43">
        <v>44958</v>
      </c>
      <c r="C147" s="42" t="s">
        <v>270</v>
      </c>
      <c r="D147" s="44">
        <v>84.12</v>
      </c>
      <c r="E147" s="45">
        <v>375.44</v>
      </c>
      <c r="F147" s="46">
        <f t="shared" si="16"/>
        <v>4.4631478839752727</v>
      </c>
      <c r="G147" s="42" t="str">
        <f t="shared" si="14"/>
        <v>fevereiro</v>
      </c>
      <c r="H147" s="42">
        <f t="shared" si="15"/>
        <v>2023</v>
      </c>
    </row>
    <row r="148" spans="1:8" hidden="1" x14ac:dyDescent="0.25">
      <c r="A148">
        <v>4033311</v>
      </c>
      <c r="B148" s="1">
        <v>44958</v>
      </c>
      <c r="C148" t="s">
        <v>272</v>
      </c>
      <c r="D148" s="6">
        <v>5.7</v>
      </c>
      <c r="E148" s="9">
        <v>32.08</v>
      </c>
      <c r="F148" s="20">
        <f t="shared" si="16"/>
        <v>5.6280701754385962</v>
      </c>
      <c r="G148" t="str">
        <f t="shared" si="14"/>
        <v>fevereiro</v>
      </c>
      <c r="H148">
        <f t="shared" si="15"/>
        <v>2023</v>
      </c>
    </row>
    <row r="149" spans="1:8" hidden="1" x14ac:dyDescent="0.25">
      <c r="A149" s="73">
        <v>4033400</v>
      </c>
      <c r="B149" s="74">
        <v>44958</v>
      </c>
      <c r="C149" s="73" t="s">
        <v>274</v>
      </c>
      <c r="D149" s="75">
        <v>2101</v>
      </c>
      <c r="E149" s="76">
        <v>6320</v>
      </c>
      <c r="F149" s="77">
        <f t="shared" si="16"/>
        <v>3.0080913850547359</v>
      </c>
      <c r="G149" s="73" t="str">
        <f t="shared" si="14"/>
        <v>fevereiro</v>
      </c>
      <c r="H149" s="73">
        <f t="shared" si="15"/>
        <v>2023</v>
      </c>
    </row>
    <row r="150" spans="1:8" hidden="1" x14ac:dyDescent="0.25">
      <c r="A150" s="73">
        <v>4033511</v>
      </c>
      <c r="B150" s="74">
        <v>44958</v>
      </c>
      <c r="C150" s="73" t="s">
        <v>276</v>
      </c>
      <c r="D150" s="75">
        <v>2910</v>
      </c>
      <c r="E150" s="76">
        <v>9127</v>
      </c>
      <c r="F150" s="77">
        <f t="shared" si="16"/>
        <v>3.1364261168384879</v>
      </c>
      <c r="G150" s="73" t="str">
        <f t="shared" si="14"/>
        <v>fevereiro</v>
      </c>
      <c r="H150" s="73">
        <f t="shared" si="15"/>
        <v>2023</v>
      </c>
    </row>
    <row r="151" spans="1:8" hidden="1" x14ac:dyDescent="0.25">
      <c r="A151" s="37">
        <v>4033900</v>
      </c>
      <c r="B151" s="38">
        <v>44958</v>
      </c>
      <c r="C151" s="37" t="s">
        <v>278</v>
      </c>
      <c r="D151" s="39">
        <v>166</v>
      </c>
      <c r="E151" s="40">
        <v>800</v>
      </c>
      <c r="F151" s="41">
        <f t="shared" si="16"/>
        <v>4.8192771084337354</v>
      </c>
      <c r="G151" s="37" t="str">
        <f t="shared" si="14"/>
        <v>fevereiro</v>
      </c>
      <c r="H151" s="37">
        <f t="shared" si="15"/>
        <v>2023</v>
      </c>
    </row>
    <row r="152" spans="1:8" hidden="1" x14ac:dyDescent="0.25">
      <c r="A152" s="37">
        <v>4034011</v>
      </c>
      <c r="B152" s="38">
        <v>44958</v>
      </c>
      <c r="C152" s="37" t="s">
        <v>280</v>
      </c>
      <c r="D152" s="39">
        <v>1096</v>
      </c>
      <c r="E152" s="40">
        <v>5362</v>
      </c>
      <c r="F152" s="41">
        <f t="shared" si="16"/>
        <v>4.8923357664233578</v>
      </c>
      <c r="G152" s="37" t="str">
        <f t="shared" si="14"/>
        <v>fevereiro</v>
      </c>
      <c r="H152" s="37">
        <f t="shared" si="15"/>
        <v>2023</v>
      </c>
    </row>
    <row r="153" spans="1:8" hidden="1" x14ac:dyDescent="0.25">
      <c r="A153" s="58">
        <v>4034211</v>
      </c>
      <c r="B153" s="59">
        <v>44958</v>
      </c>
      <c r="C153" s="58" t="s">
        <v>282</v>
      </c>
      <c r="D153" s="60">
        <v>112.69</v>
      </c>
      <c r="E153" s="61">
        <v>469</v>
      </c>
      <c r="F153" s="62">
        <f t="shared" si="16"/>
        <v>4.1618599698287335</v>
      </c>
      <c r="G153" s="58" t="str">
        <f t="shared" si="14"/>
        <v>fevereiro</v>
      </c>
      <c r="H153" s="58">
        <f t="shared" si="15"/>
        <v>2023</v>
      </c>
    </row>
    <row r="154" spans="1:8" hidden="1" x14ac:dyDescent="0.25">
      <c r="A154" s="48">
        <v>4034400</v>
      </c>
      <c r="B154" s="49">
        <v>44958</v>
      </c>
      <c r="C154" s="48" t="s">
        <v>284</v>
      </c>
      <c r="D154" s="50">
        <v>385.1</v>
      </c>
      <c r="E154" s="51">
        <v>1051.04</v>
      </c>
      <c r="F154" s="52">
        <f t="shared" si="16"/>
        <v>2.7292651259413137</v>
      </c>
      <c r="G154" s="48" t="str">
        <f t="shared" si="14"/>
        <v>fevereiro</v>
      </c>
      <c r="H154" s="48">
        <f t="shared" si="15"/>
        <v>2023</v>
      </c>
    </row>
    <row r="155" spans="1:8" hidden="1" x14ac:dyDescent="0.25">
      <c r="A155" s="48">
        <v>4034502</v>
      </c>
      <c r="B155" s="49">
        <v>44958</v>
      </c>
      <c r="C155" s="48" t="s">
        <v>286</v>
      </c>
      <c r="D155" s="50">
        <v>516</v>
      </c>
      <c r="E155" s="51">
        <v>1389</v>
      </c>
      <c r="F155" s="52">
        <f t="shared" si="16"/>
        <v>2.691860465116279</v>
      </c>
      <c r="G155" s="48" t="str">
        <f t="shared" si="14"/>
        <v>fevereiro</v>
      </c>
      <c r="H155" s="48">
        <f t="shared" si="15"/>
        <v>2023</v>
      </c>
    </row>
    <row r="156" spans="1:8" hidden="1" x14ac:dyDescent="0.25">
      <c r="A156" s="88">
        <v>3020103</v>
      </c>
      <c r="B156" s="89">
        <v>44986</v>
      </c>
      <c r="C156" s="88" t="s">
        <v>131</v>
      </c>
      <c r="D156" s="90">
        <v>6138.86</v>
      </c>
      <c r="E156" s="91">
        <v>19775.28</v>
      </c>
      <c r="F156" s="92">
        <f t="shared" ref="F156:F177" si="20">E156/D156</f>
        <v>3.2213277383748773</v>
      </c>
      <c r="G156" s="88" t="str">
        <f t="shared" ref="G156:G171" si="21">TEXT(B156,"mmmm")</f>
        <v>março</v>
      </c>
      <c r="H156" s="88">
        <f t="shared" ref="H156:H171" si="22">YEAR(B156)</f>
        <v>2023</v>
      </c>
    </row>
    <row r="157" spans="1:8" hidden="1" x14ac:dyDescent="0.25">
      <c r="A157" s="88">
        <v>3020212</v>
      </c>
      <c r="B157" s="89">
        <v>44986</v>
      </c>
      <c r="C157" s="88" t="s">
        <v>133</v>
      </c>
      <c r="D157" s="90">
        <v>1299.75</v>
      </c>
      <c r="E157" s="91">
        <v>5001.03</v>
      </c>
      <c r="F157" s="92">
        <f t="shared" si="20"/>
        <v>3.8476860934795152</v>
      </c>
      <c r="G157" s="88" t="str">
        <f t="shared" si="21"/>
        <v>março</v>
      </c>
      <c r="H157" s="88">
        <f t="shared" si="22"/>
        <v>2023</v>
      </c>
    </row>
    <row r="158" spans="1:8" hidden="1" x14ac:dyDescent="0.25">
      <c r="A158" s="88">
        <v>3020214</v>
      </c>
      <c r="B158" s="89">
        <v>44986</v>
      </c>
      <c r="C158" s="88" t="s">
        <v>135</v>
      </c>
      <c r="D158" s="90">
        <v>532.5</v>
      </c>
      <c r="E158" s="91">
        <v>1968.81</v>
      </c>
      <c r="F158" s="92">
        <f t="shared" si="20"/>
        <v>3.6972957746478872</v>
      </c>
      <c r="G158" s="88" t="str">
        <f t="shared" si="21"/>
        <v>março</v>
      </c>
      <c r="H158" s="88">
        <f t="shared" si="22"/>
        <v>2023</v>
      </c>
    </row>
    <row r="159" spans="1:8" hidden="1" x14ac:dyDescent="0.25">
      <c r="A159" s="88">
        <v>3020315</v>
      </c>
      <c r="B159" s="89">
        <v>44986</v>
      </c>
      <c r="C159" s="88" t="s">
        <v>137</v>
      </c>
      <c r="D159" s="90">
        <v>2210.92</v>
      </c>
      <c r="E159" s="91">
        <v>8235.92</v>
      </c>
      <c r="F159" s="92">
        <f t="shared" si="20"/>
        <v>3.7251099089971595</v>
      </c>
      <c r="G159" s="88" t="str">
        <f t="shared" si="21"/>
        <v>março</v>
      </c>
      <c r="H159" s="88">
        <f t="shared" si="22"/>
        <v>2023</v>
      </c>
    </row>
    <row r="160" spans="1:8" hidden="1" x14ac:dyDescent="0.25">
      <c r="A160" s="88">
        <v>3020316</v>
      </c>
      <c r="B160" s="89">
        <v>44986</v>
      </c>
      <c r="C160" s="88" t="s">
        <v>139</v>
      </c>
      <c r="D160" s="90">
        <v>416.28</v>
      </c>
      <c r="E160" s="91">
        <v>1430.23</v>
      </c>
      <c r="F160" s="92">
        <f t="shared" si="20"/>
        <v>3.4357403670606326</v>
      </c>
      <c r="G160" s="88" t="str">
        <f t="shared" si="21"/>
        <v>março</v>
      </c>
      <c r="H160" s="88">
        <f t="shared" si="22"/>
        <v>2023</v>
      </c>
    </row>
    <row r="161" spans="1:8" hidden="1" x14ac:dyDescent="0.25">
      <c r="A161" s="88">
        <v>3020402</v>
      </c>
      <c r="B161" s="89">
        <v>44986</v>
      </c>
      <c r="C161" s="88" t="s">
        <v>141</v>
      </c>
      <c r="D161" s="90">
        <v>1684.31</v>
      </c>
      <c r="E161" s="91">
        <v>5953.19</v>
      </c>
      <c r="F161" s="92">
        <f t="shared" si="20"/>
        <v>3.5344978062233197</v>
      </c>
      <c r="G161" s="88" t="str">
        <f t="shared" si="21"/>
        <v>março</v>
      </c>
      <c r="H161" s="88">
        <f t="shared" si="22"/>
        <v>2023</v>
      </c>
    </row>
    <row r="162" spans="1:8" hidden="1" x14ac:dyDescent="0.25">
      <c r="A162" s="88">
        <v>3020504</v>
      </c>
      <c r="B162" s="89">
        <v>44986</v>
      </c>
      <c r="C162" s="88" t="s">
        <v>143</v>
      </c>
      <c r="D162" s="90">
        <v>536.61</v>
      </c>
      <c r="E162" s="91">
        <v>2045.31</v>
      </c>
      <c r="F162" s="92">
        <f t="shared" si="20"/>
        <v>3.8115391066137416</v>
      </c>
      <c r="G162" s="88" t="str">
        <f t="shared" si="21"/>
        <v>março</v>
      </c>
      <c r="H162" s="88">
        <f t="shared" si="22"/>
        <v>2023</v>
      </c>
    </row>
    <row r="163" spans="1:8" hidden="1" x14ac:dyDescent="0.25">
      <c r="A163" s="42">
        <v>3020622</v>
      </c>
      <c r="B163" s="43">
        <v>44986</v>
      </c>
      <c r="C163" s="42" t="s">
        <v>145</v>
      </c>
      <c r="D163" s="44">
        <v>4986.49</v>
      </c>
      <c r="E163" s="45">
        <v>18249.66</v>
      </c>
      <c r="F163" s="46">
        <f t="shared" si="20"/>
        <v>3.6598208358985982</v>
      </c>
      <c r="G163" s="42" t="str">
        <f t="shared" si="21"/>
        <v>março</v>
      </c>
      <c r="H163" s="42">
        <f t="shared" si="22"/>
        <v>2023</v>
      </c>
    </row>
    <row r="164" spans="1:8" hidden="1" x14ac:dyDescent="0.25">
      <c r="A164" s="42">
        <v>3020623</v>
      </c>
      <c r="B164" s="43">
        <v>44986</v>
      </c>
      <c r="C164" s="42" t="s">
        <v>147</v>
      </c>
      <c r="D164" s="44">
        <v>1093.93</v>
      </c>
      <c r="E164" s="45">
        <v>4215.99</v>
      </c>
      <c r="F164" s="46">
        <f t="shared" si="20"/>
        <v>3.8539851727258596</v>
      </c>
      <c r="G164" s="42" t="str">
        <f t="shared" si="21"/>
        <v>março</v>
      </c>
      <c r="H164" s="42">
        <f t="shared" si="22"/>
        <v>2023</v>
      </c>
    </row>
    <row r="165" spans="1:8" hidden="1" x14ac:dyDescent="0.25">
      <c r="A165" s="42">
        <v>3020725</v>
      </c>
      <c r="B165" s="43">
        <v>44986</v>
      </c>
      <c r="C165" s="42" t="s">
        <v>149</v>
      </c>
      <c r="D165" s="44">
        <v>459.51</v>
      </c>
      <c r="E165" s="45">
        <v>1814.07</v>
      </c>
      <c r="F165" s="46">
        <f t="shared" si="20"/>
        <v>3.9478357380688123</v>
      </c>
      <c r="G165" s="42" t="str">
        <f t="shared" si="21"/>
        <v>março</v>
      </c>
      <c r="H165" s="42">
        <f t="shared" si="22"/>
        <v>2023</v>
      </c>
    </row>
    <row r="166" spans="1:8" hidden="1" x14ac:dyDescent="0.25">
      <c r="A166" s="42">
        <v>3020823</v>
      </c>
      <c r="B166" s="43">
        <v>44986</v>
      </c>
      <c r="C166" s="42" t="s">
        <v>151</v>
      </c>
      <c r="D166" s="44">
        <v>1726.59</v>
      </c>
      <c r="E166" s="45">
        <v>6596.66</v>
      </c>
      <c r="F166" s="46">
        <f t="shared" si="20"/>
        <v>3.8206291012921425</v>
      </c>
      <c r="G166" s="42" t="str">
        <f t="shared" si="21"/>
        <v>março</v>
      </c>
      <c r="H166" s="42">
        <f t="shared" si="22"/>
        <v>2023</v>
      </c>
    </row>
    <row r="167" spans="1:8" hidden="1" x14ac:dyDescent="0.25">
      <c r="A167" s="42">
        <v>3020824</v>
      </c>
      <c r="B167" s="43">
        <v>44986</v>
      </c>
      <c r="C167" s="42" t="s">
        <v>153</v>
      </c>
      <c r="D167" s="44">
        <v>2435.4899999999998</v>
      </c>
      <c r="E167" s="45">
        <v>8843.66</v>
      </c>
      <c r="F167" s="46">
        <f t="shared" si="20"/>
        <v>3.6311625176042606</v>
      </c>
      <c r="G167" s="42" t="str">
        <f t="shared" si="21"/>
        <v>março</v>
      </c>
      <c r="H167" s="42">
        <f t="shared" si="22"/>
        <v>2023</v>
      </c>
    </row>
    <row r="168" spans="1:8" hidden="1" x14ac:dyDescent="0.25">
      <c r="A168" s="42">
        <v>3020924</v>
      </c>
      <c r="B168" s="43">
        <v>44986</v>
      </c>
      <c r="C168" s="42" t="s">
        <v>155</v>
      </c>
      <c r="D168" s="44">
        <v>1284.72</v>
      </c>
      <c r="E168" s="45">
        <v>5008.8599999999997</v>
      </c>
      <c r="F168" s="46">
        <f t="shared" si="20"/>
        <v>3.8987950681860637</v>
      </c>
      <c r="G168" s="42" t="str">
        <f t="shared" si="21"/>
        <v>março</v>
      </c>
      <c r="H168" s="42">
        <f t="shared" si="22"/>
        <v>2023</v>
      </c>
    </row>
    <row r="169" spans="1:8" hidden="1" x14ac:dyDescent="0.25">
      <c r="A169" s="42">
        <v>3020925</v>
      </c>
      <c r="B169" s="43">
        <v>44986</v>
      </c>
      <c r="C169" s="42" t="s">
        <v>157</v>
      </c>
      <c r="D169" s="44">
        <v>1915.96</v>
      </c>
      <c r="E169" s="45">
        <v>7255.87</v>
      </c>
      <c r="F169" s="46">
        <f t="shared" si="20"/>
        <v>3.7870675796989497</v>
      </c>
      <c r="G169" s="42" t="str">
        <f t="shared" si="21"/>
        <v>março</v>
      </c>
      <c r="H169" s="42">
        <f t="shared" si="22"/>
        <v>2023</v>
      </c>
    </row>
    <row r="170" spans="1:8" hidden="1" x14ac:dyDescent="0.25">
      <c r="A170" s="73">
        <v>3021435</v>
      </c>
      <c r="B170" s="74">
        <v>44986</v>
      </c>
      <c r="C170" s="73" t="s">
        <v>159</v>
      </c>
      <c r="D170" s="75">
        <v>485.47</v>
      </c>
      <c r="E170" s="76">
        <v>1567.03</v>
      </c>
      <c r="F170" s="77">
        <f t="shared" si="20"/>
        <v>3.2278616598347991</v>
      </c>
      <c r="G170" s="73" t="str">
        <f t="shared" si="21"/>
        <v>março</v>
      </c>
      <c r="H170" s="73">
        <f t="shared" si="22"/>
        <v>2023</v>
      </c>
    </row>
    <row r="171" spans="1:8" hidden="1" x14ac:dyDescent="0.25">
      <c r="A171" s="73">
        <v>3021537</v>
      </c>
      <c r="B171" s="74">
        <v>44986</v>
      </c>
      <c r="C171" s="73" t="s">
        <v>161</v>
      </c>
      <c r="D171" s="75">
        <v>60.45</v>
      </c>
      <c r="E171" s="76">
        <v>197.22</v>
      </c>
      <c r="F171" s="77">
        <f t="shared" si="20"/>
        <v>3.2625310173697271</v>
      </c>
      <c r="G171" s="73" t="str">
        <f t="shared" si="21"/>
        <v>março</v>
      </c>
      <c r="H171" s="73">
        <f t="shared" si="22"/>
        <v>2023</v>
      </c>
    </row>
    <row r="172" spans="1:8" hidden="1" x14ac:dyDescent="0.25">
      <c r="A172" s="73">
        <v>3021638</v>
      </c>
      <c r="B172" s="74">
        <v>44986</v>
      </c>
      <c r="C172" s="73" t="s">
        <v>163</v>
      </c>
      <c r="D172" s="75">
        <v>53.77</v>
      </c>
      <c r="E172" s="76">
        <v>184.12</v>
      </c>
      <c r="F172" s="77">
        <f t="shared" si="20"/>
        <v>3.4242142458620046</v>
      </c>
      <c r="G172" s="73" t="str">
        <f t="shared" ref="G172:G231" si="23">TEXT(B172,"mmmm")</f>
        <v>março</v>
      </c>
      <c r="H172" s="73">
        <f t="shared" ref="H172:H231" si="24">YEAR(B172)</f>
        <v>2023</v>
      </c>
    </row>
    <row r="173" spans="1:8" hidden="1" x14ac:dyDescent="0.25">
      <c r="A173" s="73">
        <v>3021739</v>
      </c>
      <c r="B173" s="74">
        <v>44986</v>
      </c>
      <c r="C173" s="73" t="s">
        <v>165</v>
      </c>
      <c r="D173" s="75">
        <v>304.73</v>
      </c>
      <c r="E173" s="76">
        <v>915.47</v>
      </c>
      <c r="F173" s="77">
        <f t="shared" si="20"/>
        <v>3.0042004397335345</v>
      </c>
      <c r="G173" s="73" t="str">
        <f t="shared" si="23"/>
        <v>março</v>
      </c>
      <c r="H173" s="73">
        <f t="shared" si="24"/>
        <v>2023</v>
      </c>
    </row>
    <row r="174" spans="1:8" hidden="1" x14ac:dyDescent="0.25">
      <c r="A174" s="83">
        <v>3021760</v>
      </c>
      <c r="B174" s="84">
        <v>44986</v>
      </c>
      <c r="C174" s="83" t="s">
        <v>167</v>
      </c>
      <c r="D174" s="85">
        <v>1746.9</v>
      </c>
      <c r="E174" s="86">
        <v>4296.8900000000003</v>
      </c>
      <c r="F174" s="87">
        <f t="shared" si="20"/>
        <v>2.4597229377754881</v>
      </c>
      <c r="G174" s="83" t="str">
        <f t="shared" si="23"/>
        <v>março</v>
      </c>
      <c r="H174" s="83">
        <f t="shared" si="24"/>
        <v>2023</v>
      </c>
    </row>
    <row r="175" spans="1:8" hidden="1" x14ac:dyDescent="0.25">
      <c r="A175" s="37">
        <v>3021811</v>
      </c>
      <c r="B175" s="38">
        <v>44986</v>
      </c>
      <c r="C175" s="37" t="s">
        <v>169</v>
      </c>
      <c r="D175" s="39">
        <v>489.5</v>
      </c>
      <c r="E175" s="40">
        <v>1231.67</v>
      </c>
      <c r="F175" s="41">
        <f t="shared" si="20"/>
        <v>2.5161797752808992</v>
      </c>
      <c r="G175" s="37" t="str">
        <f t="shared" si="23"/>
        <v>março</v>
      </c>
      <c r="H175" s="37">
        <f t="shared" si="24"/>
        <v>2023</v>
      </c>
    </row>
    <row r="176" spans="1:8" hidden="1" x14ac:dyDescent="0.25">
      <c r="A176" s="37">
        <v>3021812</v>
      </c>
      <c r="B176" s="38">
        <v>44986</v>
      </c>
      <c r="C176" s="37" t="s">
        <v>171</v>
      </c>
      <c r="D176" s="39">
        <v>823.5</v>
      </c>
      <c r="E176" s="40">
        <v>1940.21</v>
      </c>
      <c r="F176" s="41">
        <f t="shared" si="20"/>
        <v>2.3560534304796601</v>
      </c>
      <c r="G176" s="37" t="str">
        <f t="shared" si="23"/>
        <v>março</v>
      </c>
      <c r="H176" s="37">
        <f t="shared" si="24"/>
        <v>2023</v>
      </c>
    </row>
    <row r="177" spans="1:8" hidden="1" x14ac:dyDescent="0.25">
      <c r="A177" s="42">
        <v>3022100</v>
      </c>
      <c r="B177" s="43">
        <v>44986</v>
      </c>
      <c r="C177" s="42" t="s">
        <v>173</v>
      </c>
      <c r="D177" s="44">
        <v>69.2</v>
      </c>
      <c r="E177" s="45">
        <v>271.41000000000003</v>
      </c>
      <c r="F177" s="46">
        <f t="shared" si="20"/>
        <v>3.9221098265895957</v>
      </c>
      <c r="G177" s="42" t="str">
        <f t="shared" si="23"/>
        <v>março</v>
      </c>
      <c r="H177" s="42">
        <f t="shared" si="24"/>
        <v>2023</v>
      </c>
    </row>
    <row r="178" spans="1:8" hidden="1" x14ac:dyDescent="0.25">
      <c r="A178" s="42">
        <v>3022208</v>
      </c>
      <c r="B178" s="43">
        <v>44986</v>
      </c>
      <c r="C178" s="42" t="s">
        <v>307</v>
      </c>
      <c r="D178" s="44">
        <v>179.95</v>
      </c>
      <c r="E178" s="45">
        <v>693.76</v>
      </c>
      <c r="F178" s="46">
        <f t="shared" ref="F178:F231" si="25">E178/D178</f>
        <v>3.8552931369824952</v>
      </c>
      <c r="G178" s="42" t="str">
        <f t="shared" si="23"/>
        <v>março</v>
      </c>
      <c r="H178" s="42">
        <f t="shared" si="24"/>
        <v>2023</v>
      </c>
    </row>
    <row r="179" spans="1:8" hidden="1" x14ac:dyDescent="0.25">
      <c r="A179" s="58">
        <v>3022311</v>
      </c>
      <c r="B179" s="59">
        <v>44986</v>
      </c>
      <c r="C179" s="58" t="s">
        <v>176</v>
      </c>
      <c r="D179" s="60">
        <v>2246.75</v>
      </c>
      <c r="E179" s="61">
        <v>5363.9</v>
      </c>
      <c r="F179" s="62">
        <f t="shared" si="25"/>
        <v>2.3874040280405029</v>
      </c>
      <c r="G179" s="58" t="str">
        <f t="shared" si="23"/>
        <v>março</v>
      </c>
      <c r="H179" s="58">
        <f t="shared" si="24"/>
        <v>2023</v>
      </c>
    </row>
    <row r="180" spans="1:8" hidden="1" x14ac:dyDescent="0.25">
      <c r="A180" s="58">
        <v>3022312</v>
      </c>
      <c r="B180" s="59">
        <v>44986</v>
      </c>
      <c r="C180" s="58" t="s">
        <v>308</v>
      </c>
      <c r="D180" s="60">
        <v>117.43</v>
      </c>
      <c r="E180" s="61">
        <v>328.82</v>
      </c>
      <c r="F180" s="62">
        <f t="shared" si="25"/>
        <v>2.8001362513838028</v>
      </c>
      <c r="G180" s="58" t="str">
        <f t="shared" si="23"/>
        <v>março</v>
      </c>
      <c r="H180" s="58">
        <f t="shared" si="24"/>
        <v>2023</v>
      </c>
    </row>
    <row r="181" spans="1:8" hidden="1" x14ac:dyDescent="0.25">
      <c r="A181" s="58">
        <v>3022411</v>
      </c>
      <c r="B181" s="59">
        <v>44986</v>
      </c>
      <c r="C181" s="58" t="s">
        <v>178</v>
      </c>
      <c r="D181" s="60">
        <v>117.96</v>
      </c>
      <c r="E181" s="61">
        <v>301.69</v>
      </c>
      <c r="F181" s="62">
        <f t="shared" si="25"/>
        <v>2.5575618853848763</v>
      </c>
      <c r="G181" s="58" t="str">
        <f t="shared" si="23"/>
        <v>março</v>
      </c>
      <c r="H181" s="58">
        <f t="shared" si="24"/>
        <v>2023</v>
      </c>
    </row>
    <row r="182" spans="1:8" hidden="1" x14ac:dyDescent="0.25">
      <c r="A182" s="58">
        <v>3022511</v>
      </c>
      <c r="B182" s="59">
        <v>44986</v>
      </c>
      <c r="C182" s="58" t="s">
        <v>180</v>
      </c>
      <c r="D182" s="60">
        <v>25.87</v>
      </c>
      <c r="E182" s="61">
        <v>66.12</v>
      </c>
      <c r="F182" s="62">
        <f t="shared" si="25"/>
        <v>2.55585620409741</v>
      </c>
      <c r="G182" s="58" t="str">
        <f t="shared" si="23"/>
        <v>março</v>
      </c>
      <c r="H182" s="58">
        <f t="shared" si="24"/>
        <v>2023</v>
      </c>
    </row>
    <row r="183" spans="1:8" hidden="1" x14ac:dyDescent="0.25">
      <c r="A183" s="48">
        <v>3022601</v>
      </c>
      <c r="B183" s="49">
        <v>44986</v>
      </c>
      <c r="C183" s="48" t="s">
        <v>182</v>
      </c>
      <c r="D183" s="50">
        <v>332</v>
      </c>
      <c r="E183" s="51">
        <v>1484.55</v>
      </c>
      <c r="F183" s="52">
        <f t="shared" si="25"/>
        <v>4.4715361445783133</v>
      </c>
      <c r="G183" s="48" t="str">
        <f t="shared" si="23"/>
        <v>março</v>
      </c>
      <c r="H183" s="48">
        <f t="shared" si="24"/>
        <v>2023</v>
      </c>
    </row>
    <row r="184" spans="1:8" hidden="1" x14ac:dyDescent="0.25">
      <c r="A184" s="48">
        <v>3022703</v>
      </c>
      <c r="B184" s="49">
        <v>44986</v>
      </c>
      <c r="C184" s="48" t="s">
        <v>309</v>
      </c>
      <c r="D184" s="50">
        <v>757</v>
      </c>
      <c r="E184" s="51">
        <v>1745.95</v>
      </c>
      <c r="F184" s="52">
        <f t="shared" si="25"/>
        <v>2.3064068692206079</v>
      </c>
      <c r="G184" s="48" t="str">
        <f t="shared" si="23"/>
        <v>março</v>
      </c>
      <c r="H184" s="48">
        <f t="shared" si="24"/>
        <v>2023</v>
      </c>
    </row>
    <row r="185" spans="1:8" hidden="1" x14ac:dyDescent="0.25">
      <c r="A185" s="48">
        <v>3022805</v>
      </c>
      <c r="B185" s="49">
        <v>44986</v>
      </c>
      <c r="C185" s="48" t="s">
        <v>186</v>
      </c>
      <c r="D185" s="50">
        <v>1560</v>
      </c>
      <c r="E185" s="51">
        <v>3062.5</v>
      </c>
      <c r="F185" s="52">
        <f t="shared" si="25"/>
        <v>1.9631410256410255</v>
      </c>
      <c r="G185" s="48" t="str">
        <f t="shared" si="23"/>
        <v>março</v>
      </c>
      <c r="H185" s="48">
        <f t="shared" si="24"/>
        <v>2023</v>
      </c>
    </row>
    <row r="186" spans="1:8" hidden="1" x14ac:dyDescent="0.25">
      <c r="A186" s="48">
        <v>3022906</v>
      </c>
      <c r="B186" s="49">
        <v>44986</v>
      </c>
      <c r="C186" s="48" t="s">
        <v>188</v>
      </c>
      <c r="D186" s="50">
        <v>4390</v>
      </c>
      <c r="E186" s="51">
        <v>8671.5</v>
      </c>
      <c r="F186" s="52">
        <f t="shared" si="25"/>
        <v>1.9752847380410024</v>
      </c>
      <c r="G186" s="48" t="str">
        <f t="shared" si="23"/>
        <v>março</v>
      </c>
      <c r="H186" s="48">
        <f t="shared" si="24"/>
        <v>2023</v>
      </c>
    </row>
    <row r="187" spans="1:8" hidden="1" x14ac:dyDescent="0.25">
      <c r="A187" s="48">
        <v>3023007</v>
      </c>
      <c r="B187" s="49">
        <v>44986</v>
      </c>
      <c r="C187" s="48" t="s">
        <v>190</v>
      </c>
      <c r="D187" s="50">
        <v>1600</v>
      </c>
      <c r="E187" s="51">
        <v>3212.2</v>
      </c>
      <c r="F187" s="52">
        <f t="shared" si="25"/>
        <v>2.007625</v>
      </c>
      <c r="G187" s="48" t="str">
        <f t="shared" si="23"/>
        <v>março</v>
      </c>
      <c r="H187" s="48">
        <f t="shared" si="24"/>
        <v>2023</v>
      </c>
    </row>
    <row r="188" spans="1:8" hidden="1" x14ac:dyDescent="0.25">
      <c r="A188" s="37">
        <v>4030100</v>
      </c>
      <c r="B188" s="38">
        <v>44986</v>
      </c>
      <c r="C188" s="37" t="s">
        <v>200</v>
      </c>
      <c r="D188" s="39">
        <v>394.5</v>
      </c>
      <c r="E188" s="40">
        <v>2439.4</v>
      </c>
      <c r="F188" s="41">
        <f t="shared" si="25"/>
        <v>6.1835234474017744</v>
      </c>
      <c r="G188" s="37" t="str">
        <f t="shared" si="23"/>
        <v>março</v>
      </c>
      <c r="H188" s="37">
        <f t="shared" si="24"/>
        <v>2023</v>
      </c>
    </row>
    <row r="189" spans="1:8" hidden="1" x14ac:dyDescent="0.25">
      <c r="A189" s="37">
        <v>4030211</v>
      </c>
      <c r="B189" s="38">
        <v>44986</v>
      </c>
      <c r="C189" s="37" t="s">
        <v>202</v>
      </c>
      <c r="D189" s="39">
        <v>879</v>
      </c>
      <c r="E189" s="40">
        <v>5341.6</v>
      </c>
      <c r="F189" s="41">
        <f t="shared" si="25"/>
        <v>6.0769055745164966</v>
      </c>
      <c r="G189" s="37" t="str">
        <f t="shared" si="23"/>
        <v>março</v>
      </c>
      <c r="H189" s="37">
        <f t="shared" si="24"/>
        <v>2023</v>
      </c>
    </row>
    <row r="190" spans="1:8" hidden="1" x14ac:dyDescent="0.25">
      <c r="A190" s="37">
        <v>4030311</v>
      </c>
      <c r="B190" s="38">
        <v>44986</v>
      </c>
      <c r="C190" s="37" t="s">
        <v>311</v>
      </c>
      <c r="D190" s="39">
        <v>341.51</v>
      </c>
      <c r="E190" s="40">
        <v>2368.5500000000002</v>
      </c>
      <c r="F190" s="41">
        <f t="shared" si="25"/>
        <v>6.9355216538315139</v>
      </c>
      <c r="G190" s="37" t="str">
        <f t="shared" si="23"/>
        <v>março</v>
      </c>
      <c r="H190" s="37">
        <f t="shared" si="24"/>
        <v>2023</v>
      </c>
    </row>
    <row r="191" spans="1:8" hidden="1" x14ac:dyDescent="0.25">
      <c r="A191" s="37">
        <v>4030400</v>
      </c>
      <c r="B191" s="38">
        <v>44986</v>
      </c>
      <c r="C191" s="37" t="s">
        <v>312</v>
      </c>
      <c r="D191" s="39">
        <v>199.18</v>
      </c>
      <c r="E191" s="40">
        <v>1036.6099999999999</v>
      </c>
      <c r="F191" s="41">
        <f t="shared" si="25"/>
        <v>5.2043879907621244</v>
      </c>
      <c r="G191" s="37" t="str">
        <f t="shared" si="23"/>
        <v>março</v>
      </c>
      <c r="H191" s="37">
        <f t="shared" si="24"/>
        <v>2023</v>
      </c>
    </row>
    <row r="192" spans="1:8" hidden="1" x14ac:dyDescent="0.25">
      <c r="A192" s="37">
        <v>4030511</v>
      </c>
      <c r="B192" s="38">
        <v>44986</v>
      </c>
      <c r="C192" s="37" t="s">
        <v>208</v>
      </c>
      <c r="D192" s="39">
        <v>996</v>
      </c>
      <c r="E192" s="40">
        <v>4712.68</v>
      </c>
      <c r="F192" s="41">
        <f t="shared" si="25"/>
        <v>4.7316064257028119</v>
      </c>
      <c r="G192" s="37" t="str">
        <f t="shared" si="23"/>
        <v>março</v>
      </c>
      <c r="H192" s="37">
        <f t="shared" si="24"/>
        <v>2023</v>
      </c>
    </row>
    <row r="193" spans="1:8" hidden="1" x14ac:dyDescent="0.25">
      <c r="A193" s="58">
        <v>4030600</v>
      </c>
      <c r="B193" s="59">
        <v>44986</v>
      </c>
      <c r="C193" s="58" t="s">
        <v>212</v>
      </c>
      <c r="D193" s="60">
        <v>1140.21</v>
      </c>
      <c r="E193" s="61">
        <v>3374.27</v>
      </c>
      <c r="F193" s="62">
        <f t="shared" si="25"/>
        <v>2.9593408231816944</v>
      </c>
      <c r="G193" s="58" t="str">
        <f t="shared" si="23"/>
        <v>março</v>
      </c>
      <c r="H193" s="58">
        <f t="shared" si="24"/>
        <v>2023</v>
      </c>
    </row>
    <row r="194" spans="1:8" hidden="1" x14ac:dyDescent="0.25">
      <c r="A194" s="58">
        <v>4030711</v>
      </c>
      <c r="B194" s="59">
        <v>44986</v>
      </c>
      <c r="C194" s="58" t="s">
        <v>214</v>
      </c>
      <c r="D194" s="60">
        <v>1543.37</v>
      </c>
      <c r="E194" s="61">
        <v>5078.3599999999997</v>
      </c>
      <c r="F194" s="62">
        <f t="shared" si="25"/>
        <v>3.2904358643747127</v>
      </c>
      <c r="G194" s="58" t="str">
        <f t="shared" si="23"/>
        <v>março</v>
      </c>
      <c r="H194" s="58">
        <f t="shared" si="24"/>
        <v>2023</v>
      </c>
    </row>
    <row r="195" spans="1:8" hidden="1" x14ac:dyDescent="0.25">
      <c r="A195" s="73">
        <v>4030811</v>
      </c>
      <c r="B195" s="74">
        <v>44986</v>
      </c>
      <c r="C195" s="73" t="s">
        <v>216</v>
      </c>
      <c r="D195" s="75">
        <v>2253.56</v>
      </c>
      <c r="E195" s="76">
        <v>7022.99</v>
      </c>
      <c r="F195" s="77">
        <f t="shared" si="25"/>
        <v>3.1163980546335575</v>
      </c>
      <c r="G195" s="73" t="str">
        <f t="shared" si="23"/>
        <v>março</v>
      </c>
      <c r="H195" s="73">
        <f t="shared" si="24"/>
        <v>2023</v>
      </c>
    </row>
    <row r="196" spans="1:8" hidden="1" x14ac:dyDescent="0.25">
      <c r="A196" s="73">
        <v>4030813</v>
      </c>
      <c r="B196" s="74">
        <v>44986</v>
      </c>
      <c r="C196" s="73" t="s">
        <v>218</v>
      </c>
      <c r="D196" s="75">
        <v>2891.8</v>
      </c>
      <c r="E196" s="76">
        <v>8515.15</v>
      </c>
      <c r="F196" s="77">
        <f t="shared" si="25"/>
        <v>2.9445846877377408</v>
      </c>
      <c r="G196" s="73" t="str">
        <f t="shared" si="23"/>
        <v>março</v>
      </c>
      <c r="H196" s="73">
        <f t="shared" si="24"/>
        <v>2023</v>
      </c>
    </row>
    <row r="197" spans="1:8" hidden="1" x14ac:dyDescent="0.25">
      <c r="A197" s="73">
        <v>4030910</v>
      </c>
      <c r="B197" s="74">
        <v>44986</v>
      </c>
      <c r="C197" s="73" t="s">
        <v>222</v>
      </c>
      <c r="D197" s="75">
        <v>177.07</v>
      </c>
      <c r="E197" s="76">
        <v>586.01</v>
      </c>
      <c r="F197" s="77">
        <f t="shared" ref="F197" si="26">E197/D197</f>
        <v>3.3094821257129947</v>
      </c>
      <c r="G197" s="73" t="str">
        <f t="shared" ref="G197" si="27">TEXT(B197,"mmmm")</f>
        <v>março</v>
      </c>
      <c r="H197" s="73">
        <f t="shared" ref="H197" si="28">YEAR(B197)</f>
        <v>2023</v>
      </c>
    </row>
    <row r="198" spans="1:8" hidden="1" x14ac:dyDescent="0.25">
      <c r="A198" s="42">
        <v>4030900</v>
      </c>
      <c r="B198" s="43">
        <v>44986</v>
      </c>
      <c r="C198" s="42" t="s">
        <v>220</v>
      </c>
      <c r="D198" s="44">
        <v>4552.7</v>
      </c>
      <c r="E198" s="45">
        <v>14162.03</v>
      </c>
      <c r="F198" s="46">
        <f t="shared" si="25"/>
        <v>3.1106881630680698</v>
      </c>
      <c r="G198" s="42" t="str">
        <f t="shared" si="23"/>
        <v>março</v>
      </c>
      <c r="H198" s="42">
        <f t="shared" si="24"/>
        <v>2023</v>
      </c>
    </row>
    <row r="199" spans="1:8" hidden="1" x14ac:dyDescent="0.25">
      <c r="A199" s="42">
        <v>4031012</v>
      </c>
      <c r="B199" s="43">
        <v>44986</v>
      </c>
      <c r="C199" s="42" t="s">
        <v>224</v>
      </c>
      <c r="D199" s="44">
        <v>1400.94</v>
      </c>
      <c r="E199" s="45">
        <v>4251.75</v>
      </c>
      <c r="F199" s="46">
        <f t="shared" si="25"/>
        <v>3.0349265493168871</v>
      </c>
      <c r="G199" s="42" t="str">
        <f t="shared" si="23"/>
        <v>março</v>
      </c>
      <c r="H199" s="42">
        <f t="shared" si="24"/>
        <v>2023</v>
      </c>
    </row>
    <row r="200" spans="1:8" hidden="1" x14ac:dyDescent="0.25">
      <c r="A200" s="42">
        <v>4031017</v>
      </c>
      <c r="B200" s="43">
        <v>44986</v>
      </c>
      <c r="C200" s="42" t="s">
        <v>226</v>
      </c>
      <c r="D200" s="44">
        <v>593.6</v>
      </c>
      <c r="E200" s="45">
        <v>1826.59</v>
      </c>
      <c r="F200" s="46">
        <f t="shared" si="25"/>
        <v>3.0771394878706197</v>
      </c>
      <c r="G200" s="42" t="str">
        <f t="shared" si="23"/>
        <v>março</v>
      </c>
      <c r="H200" s="42">
        <f t="shared" si="24"/>
        <v>2023</v>
      </c>
    </row>
    <row r="201" spans="1:8" hidden="1" x14ac:dyDescent="0.25">
      <c r="A201" s="42">
        <v>4031102</v>
      </c>
      <c r="B201" s="43">
        <v>44986</v>
      </c>
      <c r="C201" s="42" t="s">
        <v>228</v>
      </c>
      <c r="D201" s="44">
        <v>9483.11</v>
      </c>
      <c r="E201" s="45">
        <v>27126.44</v>
      </c>
      <c r="F201" s="46">
        <f t="shared" si="25"/>
        <v>2.860500405457703</v>
      </c>
      <c r="G201" s="42" t="str">
        <f t="shared" si="23"/>
        <v>março</v>
      </c>
      <c r="H201" s="42">
        <f t="shared" si="24"/>
        <v>2023</v>
      </c>
    </row>
    <row r="202" spans="1:8" hidden="1" x14ac:dyDescent="0.25">
      <c r="A202" s="88">
        <v>4031200</v>
      </c>
      <c r="B202" s="89">
        <v>44986</v>
      </c>
      <c r="C202" s="88" t="s">
        <v>230</v>
      </c>
      <c r="D202" s="90">
        <v>1216</v>
      </c>
      <c r="E202" s="91">
        <v>3578.18</v>
      </c>
      <c r="F202" s="92">
        <f t="shared" si="25"/>
        <v>2.9425822368421053</v>
      </c>
      <c r="G202" s="88" t="str">
        <f t="shared" si="23"/>
        <v>março</v>
      </c>
      <c r="H202" s="88">
        <f t="shared" si="24"/>
        <v>2023</v>
      </c>
    </row>
    <row r="203" spans="1:8" hidden="1" x14ac:dyDescent="0.25">
      <c r="A203" s="88">
        <v>4031304</v>
      </c>
      <c r="B203" s="89">
        <v>44986</v>
      </c>
      <c r="C203" s="88" t="s">
        <v>232</v>
      </c>
      <c r="D203" s="90">
        <v>1774.25</v>
      </c>
      <c r="E203" s="91">
        <v>4910.07</v>
      </c>
      <c r="F203" s="92">
        <f t="shared" si="25"/>
        <v>2.7674059461744398</v>
      </c>
      <c r="G203" s="88" t="str">
        <f t="shared" si="23"/>
        <v>março</v>
      </c>
      <c r="H203" s="88">
        <f t="shared" si="24"/>
        <v>2023</v>
      </c>
    </row>
    <row r="204" spans="1:8" hidden="1" x14ac:dyDescent="0.25">
      <c r="A204" s="88">
        <v>4031411</v>
      </c>
      <c r="B204" s="89">
        <v>44986</v>
      </c>
      <c r="C204" s="88" t="s">
        <v>234</v>
      </c>
      <c r="D204" s="90">
        <v>155.30000000000001</v>
      </c>
      <c r="E204" s="91">
        <v>470.61</v>
      </c>
      <c r="F204" s="92">
        <f t="shared" si="25"/>
        <v>3.0303283966516417</v>
      </c>
      <c r="G204" s="88" t="str">
        <f t="shared" si="23"/>
        <v>março</v>
      </c>
      <c r="H204" s="88">
        <f t="shared" si="24"/>
        <v>2023</v>
      </c>
    </row>
    <row r="205" spans="1:8" hidden="1" x14ac:dyDescent="0.25">
      <c r="A205" s="88">
        <v>4031500</v>
      </c>
      <c r="B205" s="89">
        <v>44986</v>
      </c>
      <c r="C205" s="88" t="s">
        <v>236</v>
      </c>
      <c r="D205" s="90">
        <v>6197</v>
      </c>
      <c r="E205" s="91">
        <v>17232.98</v>
      </c>
      <c r="F205" s="92">
        <f t="shared" si="25"/>
        <v>2.7808584799096336</v>
      </c>
      <c r="G205" s="88" t="str">
        <f t="shared" si="23"/>
        <v>março</v>
      </c>
      <c r="H205" s="88">
        <f t="shared" si="24"/>
        <v>2023</v>
      </c>
    </row>
    <row r="206" spans="1:8" hidden="1" x14ac:dyDescent="0.25">
      <c r="A206" s="88">
        <v>4031604</v>
      </c>
      <c r="B206" s="89">
        <v>44986</v>
      </c>
      <c r="C206" s="88" t="s">
        <v>238</v>
      </c>
      <c r="D206" s="90">
        <v>5893.7</v>
      </c>
      <c r="E206" s="91">
        <v>15535.69</v>
      </c>
      <c r="F206" s="92">
        <f t="shared" si="25"/>
        <v>2.6359824897772199</v>
      </c>
      <c r="G206" s="88" t="str">
        <f t="shared" si="23"/>
        <v>março</v>
      </c>
      <c r="H206" s="88">
        <f t="shared" si="24"/>
        <v>2023</v>
      </c>
    </row>
    <row r="207" spans="1:8" hidden="1" x14ac:dyDescent="0.25">
      <c r="A207" s="88">
        <v>4031605</v>
      </c>
      <c r="B207" s="89">
        <v>44986</v>
      </c>
      <c r="C207" s="88" t="s">
        <v>240</v>
      </c>
      <c r="D207" s="90">
        <v>78.849999999999994</v>
      </c>
      <c r="E207" s="91">
        <v>249.25</v>
      </c>
      <c r="F207" s="92">
        <f t="shared" si="25"/>
        <v>3.1610653138871276</v>
      </c>
      <c r="G207" s="88" t="str">
        <f t="shared" si="23"/>
        <v>março</v>
      </c>
      <c r="H207" s="88">
        <f t="shared" si="24"/>
        <v>2023</v>
      </c>
    </row>
    <row r="208" spans="1:8" hidden="1" x14ac:dyDescent="0.25">
      <c r="A208" s="88">
        <v>4031700</v>
      </c>
      <c r="B208" s="89">
        <v>44986</v>
      </c>
      <c r="C208" s="88" t="s">
        <v>242</v>
      </c>
      <c r="D208" s="90">
        <v>653.70000000000005</v>
      </c>
      <c r="E208" s="91">
        <v>1946.18</v>
      </c>
      <c r="F208" s="92">
        <f t="shared" si="25"/>
        <v>2.9771760746519811</v>
      </c>
      <c r="G208" s="88" t="str">
        <f t="shared" si="23"/>
        <v>março</v>
      </c>
      <c r="H208" s="88">
        <f t="shared" si="24"/>
        <v>2023</v>
      </c>
    </row>
    <row r="209" spans="1:8" hidden="1" x14ac:dyDescent="0.25">
      <c r="A209" s="88">
        <v>4031812</v>
      </c>
      <c r="B209" s="89">
        <v>44986</v>
      </c>
      <c r="C209" s="88" t="s">
        <v>244</v>
      </c>
      <c r="D209" s="90">
        <v>383</v>
      </c>
      <c r="E209" s="91">
        <v>1124.18</v>
      </c>
      <c r="F209" s="92">
        <f t="shared" si="25"/>
        <v>2.9351958224543084</v>
      </c>
      <c r="G209" s="88" t="str">
        <f t="shared" si="23"/>
        <v>março</v>
      </c>
      <c r="H209" s="88">
        <f t="shared" si="24"/>
        <v>2023</v>
      </c>
    </row>
    <row r="210" spans="1:8" hidden="1" x14ac:dyDescent="0.25">
      <c r="A210" s="88">
        <v>4031813</v>
      </c>
      <c r="B210" s="89">
        <v>44986</v>
      </c>
      <c r="C210" s="88" t="s">
        <v>313</v>
      </c>
      <c r="D210" s="90">
        <v>245</v>
      </c>
      <c r="E210" s="91">
        <v>164.15</v>
      </c>
      <c r="F210" s="92">
        <f t="shared" si="25"/>
        <v>0.67</v>
      </c>
      <c r="G210" s="88" t="str">
        <f t="shared" si="23"/>
        <v>março</v>
      </c>
      <c r="H210" s="88">
        <f t="shared" si="24"/>
        <v>2023</v>
      </c>
    </row>
    <row r="211" spans="1:8" hidden="1" x14ac:dyDescent="0.25">
      <c r="A211" s="88">
        <v>4031904</v>
      </c>
      <c r="B211" s="89">
        <v>44986</v>
      </c>
      <c r="C211" s="88" t="s">
        <v>246</v>
      </c>
      <c r="D211" s="90">
        <v>978.59</v>
      </c>
      <c r="E211" s="91">
        <v>2773.75</v>
      </c>
      <c r="F211" s="92">
        <f t="shared" si="25"/>
        <v>2.8344352588928969</v>
      </c>
      <c r="G211" s="88" t="str">
        <f t="shared" si="23"/>
        <v>março</v>
      </c>
      <c r="H211" s="88">
        <f t="shared" si="24"/>
        <v>2023</v>
      </c>
    </row>
    <row r="212" spans="1:8" hidden="1" x14ac:dyDescent="0.25">
      <c r="A212" s="58">
        <v>4032111</v>
      </c>
      <c r="B212" s="59">
        <v>44986</v>
      </c>
      <c r="C212" s="58" t="s">
        <v>314</v>
      </c>
      <c r="D212" s="60">
        <v>92.47</v>
      </c>
      <c r="E212" s="61">
        <v>469.44</v>
      </c>
      <c r="F212" s="62">
        <f t="shared" si="25"/>
        <v>5.0766735157348331</v>
      </c>
      <c r="G212" s="58" t="str">
        <f t="shared" si="23"/>
        <v>março</v>
      </c>
      <c r="H212" s="58">
        <f t="shared" si="24"/>
        <v>2023</v>
      </c>
    </row>
    <row r="213" spans="1:8" hidden="1" x14ac:dyDescent="0.25">
      <c r="A213" s="58">
        <v>4032204</v>
      </c>
      <c r="B213" s="59">
        <v>44986</v>
      </c>
      <c r="C213" s="58" t="s">
        <v>315</v>
      </c>
      <c r="D213" s="60">
        <v>171.66</v>
      </c>
      <c r="E213" s="61">
        <v>917.92</v>
      </c>
      <c r="F213" s="62">
        <f t="shared" si="25"/>
        <v>5.3473144588139343</v>
      </c>
      <c r="G213" s="58" t="str">
        <f t="shared" si="23"/>
        <v>março</v>
      </c>
      <c r="H213" s="58">
        <f t="shared" si="24"/>
        <v>2023</v>
      </c>
    </row>
    <row r="214" spans="1:8" hidden="1" x14ac:dyDescent="0.25">
      <c r="A214" s="37">
        <v>4032312</v>
      </c>
      <c r="B214" s="38">
        <v>44986</v>
      </c>
      <c r="C214" s="37" t="s">
        <v>252</v>
      </c>
      <c r="D214" s="39">
        <v>533.6</v>
      </c>
      <c r="E214" s="40">
        <v>2232.65</v>
      </c>
      <c r="F214" s="41">
        <f t="shared" si="25"/>
        <v>4.184126686656672</v>
      </c>
      <c r="G214" s="37" t="str">
        <f t="shared" si="23"/>
        <v>março</v>
      </c>
      <c r="H214" s="37">
        <f t="shared" si="24"/>
        <v>2023</v>
      </c>
    </row>
    <row r="215" spans="1:8" hidden="1" x14ac:dyDescent="0.25">
      <c r="A215" s="37">
        <v>4032404</v>
      </c>
      <c r="B215" s="38">
        <v>44986</v>
      </c>
      <c r="C215" s="37" t="s">
        <v>254</v>
      </c>
      <c r="D215" s="39">
        <v>91.9</v>
      </c>
      <c r="E215" s="40">
        <v>401.76</v>
      </c>
      <c r="F215" s="41">
        <f t="shared" si="25"/>
        <v>4.3717083786724693</v>
      </c>
      <c r="G215" s="37" t="str">
        <f t="shared" si="23"/>
        <v>março</v>
      </c>
      <c r="H215" s="37">
        <f t="shared" si="24"/>
        <v>2023</v>
      </c>
    </row>
    <row r="216" spans="1:8" hidden="1" x14ac:dyDescent="0.25">
      <c r="A216" s="73">
        <v>4032500</v>
      </c>
      <c r="B216" s="74">
        <v>44986</v>
      </c>
      <c r="C216" s="73" t="s">
        <v>256</v>
      </c>
      <c r="D216" s="75">
        <v>398.76</v>
      </c>
      <c r="E216" s="76">
        <v>1058.68</v>
      </c>
      <c r="F216" s="77">
        <f t="shared" si="25"/>
        <v>2.6549302838800282</v>
      </c>
      <c r="G216" s="73" t="str">
        <f t="shared" si="23"/>
        <v>março</v>
      </c>
      <c r="H216" s="73">
        <f t="shared" si="24"/>
        <v>2023</v>
      </c>
    </row>
    <row r="217" spans="1:8" hidden="1" x14ac:dyDescent="0.25">
      <c r="A217" s="73">
        <v>4032611</v>
      </c>
      <c r="B217" s="74">
        <v>44986</v>
      </c>
      <c r="C217" s="73" t="s">
        <v>258</v>
      </c>
      <c r="D217" s="75">
        <v>84.34</v>
      </c>
      <c r="E217" s="76">
        <v>248.53</v>
      </c>
      <c r="F217" s="77">
        <f t="shared" si="25"/>
        <v>2.9467631017310882</v>
      </c>
      <c r="G217" s="73" t="str">
        <f t="shared" si="23"/>
        <v>março</v>
      </c>
      <c r="H217" s="73">
        <f t="shared" si="24"/>
        <v>2023</v>
      </c>
    </row>
    <row r="218" spans="1:8" hidden="1" x14ac:dyDescent="0.25">
      <c r="A218" s="73">
        <v>4032704</v>
      </c>
      <c r="B218" s="74">
        <v>44986</v>
      </c>
      <c r="C218" s="73" t="s">
        <v>260</v>
      </c>
      <c r="D218" s="75">
        <v>290.66000000000003</v>
      </c>
      <c r="E218" s="76">
        <v>825.67</v>
      </c>
      <c r="F218" s="77">
        <f t="shared" si="25"/>
        <v>2.840672951214477</v>
      </c>
      <c r="G218" s="73" t="str">
        <f t="shared" si="23"/>
        <v>março</v>
      </c>
      <c r="H218" s="73">
        <f t="shared" si="24"/>
        <v>2023</v>
      </c>
    </row>
    <row r="219" spans="1:8" hidden="1" x14ac:dyDescent="0.25">
      <c r="A219" s="42">
        <v>4032800</v>
      </c>
      <c r="B219" s="43">
        <v>44986</v>
      </c>
      <c r="C219" s="42" t="s">
        <v>262</v>
      </c>
      <c r="D219" s="44">
        <v>137.5</v>
      </c>
      <c r="E219" s="45">
        <v>710.87</v>
      </c>
      <c r="F219" s="46">
        <f t="shared" si="25"/>
        <v>5.1699636363636365</v>
      </c>
      <c r="G219" s="42" t="str">
        <f t="shared" si="23"/>
        <v>março</v>
      </c>
      <c r="H219" s="42">
        <f t="shared" si="24"/>
        <v>2023</v>
      </c>
    </row>
    <row r="220" spans="1:8" hidden="1" x14ac:dyDescent="0.25">
      <c r="A220" s="42">
        <v>4032902</v>
      </c>
      <c r="B220" s="43">
        <v>44986</v>
      </c>
      <c r="C220" s="42" t="s">
        <v>264</v>
      </c>
      <c r="D220" s="44">
        <v>132.03</v>
      </c>
      <c r="E220" s="45">
        <v>693.83</v>
      </c>
      <c r="F220" s="46">
        <f t="shared" si="25"/>
        <v>5.2550935393471185</v>
      </c>
      <c r="G220" s="42" t="str">
        <f t="shared" si="23"/>
        <v>março</v>
      </c>
      <c r="H220" s="42">
        <f t="shared" si="24"/>
        <v>2023</v>
      </c>
    </row>
    <row r="221" spans="1:8" hidden="1" x14ac:dyDescent="0.25">
      <c r="A221" s="48">
        <v>4033011</v>
      </c>
      <c r="B221" s="49">
        <v>44986</v>
      </c>
      <c r="C221" s="48" t="s">
        <v>266</v>
      </c>
      <c r="D221" s="50">
        <v>59.65</v>
      </c>
      <c r="E221" s="51">
        <v>301.26</v>
      </c>
      <c r="F221" s="52">
        <f t="shared" si="25"/>
        <v>5.0504610226320201</v>
      </c>
      <c r="G221" s="48" t="str">
        <f t="shared" si="23"/>
        <v>março</v>
      </c>
      <c r="H221" s="48">
        <f t="shared" si="24"/>
        <v>2023</v>
      </c>
    </row>
    <row r="222" spans="1:8" hidden="1" x14ac:dyDescent="0.25">
      <c r="A222" s="48">
        <v>4033111</v>
      </c>
      <c r="B222" s="49">
        <v>44986</v>
      </c>
      <c r="C222" s="48" t="s">
        <v>268</v>
      </c>
      <c r="D222" s="50">
        <v>26.1</v>
      </c>
      <c r="E222" s="51">
        <v>119.17</v>
      </c>
      <c r="F222" s="52">
        <f t="shared" si="25"/>
        <v>4.5659003831417619</v>
      </c>
      <c r="G222" s="48" t="str">
        <f t="shared" si="23"/>
        <v>março</v>
      </c>
      <c r="H222" s="48">
        <f t="shared" si="24"/>
        <v>2023</v>
      </c>
    </row>
    <row r="223" spans="1:8" hidden="1" x14ac:dyDescent="0.25">
      <c r="A223" s="48">
        <v>4033211</v>
      </c>
      <c r="B223" s="49">
        <v>44986</v>
      </c>
      <c r="C223" s="48" t="s">
        <v>270</v>
      </c>
      <c r="D223" s="50">
        <v>207.18</v>
      </c>
      <c r="E223" s="51">
        <v>910.79</v>
      </c>
      <c r="F223" s="52">
        <f t="shared" si="25"/>
        <v>4.3961289699777968</v>
      </c>
      <c r="G223" s="48" t="str">
        <f t="shared" si="23"/>
        <v>março</v>
      </c>
      <c r="H223" s="48">
        <f t="shared" si="24"/>
        <v>2023</v>
      </c>
    </row>
    <row r="224" spans="1:8" hidden="1" x14ac:dyDescent="0.25">
      <c r="A224">
        <v>4033311</v>
      </c>
      <c r="B224" s="1">
        <v>44986</v>
      </c>
      <c r="C224" t="s">
        <v>272</v>
      </c>
      <c r="D224" s="6">
        <v>17.84</v>
      </c>
      <c r="E224" s="9">
        <v>108.04</v>
      </c>
      <c r="F224" s="20">
        <f t="shared" si="25"/>
        <v>6.0560538116591935</v>
      </c>
      <c r="G224" t="str">
        <f t="shared" si="23"/>
        <v>março</v>
      </c>
      <c r="H224">
        <f t="shared" si="24"/>
        <v>2023</v>
      </c>
    </row>
    <row r="225" spans="1:8" hidden="1" x14ac:dyDescent="0.25">
      <c r="A225" s="58">
        <v>4033400</v>
      </c>
      <c r="B225" s="59">
        <v>44986</v>
      </c>
      <c r="C225" s="58" t="s">
        <v>274</v>
      </c>
      <c r="D225" s="60">
        <v>498.9</v>
      </c>
      <c r="E225" s="61">
        <v>1534.94</v>
      </c>
      <c r="F225" s="62">
        <f t="shared" si="25"/>
        <v>3.0766486269793547</v>
      </c>
      <c r="G225" s="58" t="str">
        <f t="shared" si="23"/>
        <v>março</v>
      </c>
      <c r="H225" s="58">
        <f t="shared" si="24"/>
        <v>2023</v>
      </c>
    </row>
    <row r="226" spans="1:8" hidden="1" x14ac:dyDescent="0.25">
      <c r="A226" s="58">
        <v>4033511</v>
      </c>
      <c r="B226" s="59">
        <v>44986</v>
      </c>
      <c r="C226" s="58" t="s">
        <v>276</v>
      </c>
      <c r="D226" s="60">
        <v>2045.17</v>
      </c>
      <c r="E226" s="61">
        <v>6563.85</v>
      </c>
      <c r="F226" s="62">
        <f t="shared" si="25"/>
        <v>3.2094398020702437</v>
      </c>
      <c r="G226" s="58" t="str">
        <f t="shared" si="23"/>
        <v>março</v>
      </c>
      <c r="H226" s="58">
        <f t="shared" si="24"/>
        <v>2023</v>
      </c>
    </row>
    <row r="227" spans="1:8" hidden="1" x14ac:dyDescent="0.25">
      <c r="A227" s="37">
        <v>4033900</v>
      </c>
      <c r="B227" s="38">
        <v>44986</v>
      </c>
      <c r="C227" s="37" t="s">
        <v>278</v>
      </c>
      <c r="D227" s="39">
        <v>62.33</v>
      </c>
      <c r="E227" s="40">
        <v>336.2</v>
      </c>
      <c r="F227" s="41">
        <f t="shared" si="25"/>
        <v>5.3938713300176477</v>
      </c>
      <c r="G227" s="37" t="str">
        <f t="shared" si="23"/>
        <v>março</v>
      </c>
      <c r="H227" s="37">
        <f t="shared" si="24"/>
        <v>2023</v>
      </c>
    </row>
    <row r="228" spans="1:8" hidden="1" x14ac:dyDescent="0.25">
      <c r="A228" s="37">
        <v>4034011</v>
      </c>
      <c r="B228" s="38">
        <v>44986</v>
      </c>
      <c r="C228" s="37" t="s">
        <v>280</v>
      </c>
      <c r="D228" s="39">
        <v>695.21</v>
      </c>
      <c r="E228" s="40">
        <v>3654.63</v>
      </c>
      <c r="F228" s="41">
        <f t="shared" si="25"/>
        <v>5.2568720242804332</v>
      </c>
      <c r="G228" s="37" t="str">
        <f t="shared" si="23"/>
        <v>março</v>
      </c>
      <c r="H228" s="37">
        <f t="shared" si="24"/>
        <v>2023</v>
      </c>
    </row>
    <row r="229" spans="1:8" hidden="1" x14ac:dyDescent="0.25">
      <c r="A229" s="73">
        <v>4034211</v>
      </c>
      <c r="B229" s="74">
        <v>44986</v>
      </c>
      <c r="C229" s="73" t="s">
        <v>282</v>
      </c>
      <c r="D229" s="75">
        <v>202.95</v>
      </c>
      <c r="E229" s="76">
        <v>854.7</v>
      </c>
      <c r="F229" s="77">
        <f t="shared" si="25"/>
        <v>4.2113821138211387</v>
      </c>
      <c r="G229" s="73" t="str">
        <f t="shared" si="23"/>
        <v>março</v>
      </c>
      <c r="H229" s="73">
        <f t="shared" si="24"/>
        <v>2023</v>
      </c>
    </row>
    <row r="230" spans="1:8" hidden="1" x14ac:dyDescent="0.25">
      <c r="A230" s="42">
        <v>4034400</v>
      </c>
      <c r="B230" s="43">
        <v>44986</v>
      </c>
      <c r="C230" s="42" t="s">
        <v>284</v>
      </c>
      <c r="D230" s="44">
        <v>181.1</v>
      </c>
      <c r="E230" s="45">
        <v>473.88</v>
      </c>
      <c r="F230" s="46">
        <f t="shared" si="25"/>
        <v>2.616675869685257</v>
      </c>
      <c r="G230" s="42" t="str">
        <f t="shared" si="23"/>
        <v>março</v>
      </c>
      <c r="H230" s="42">
        <f t="shared" si="24"/>
        <v>2023</v>
      </c>
    </row>
    <row r="231" spans="1:8" hidden="1" x14ac:dyDescent="0.25">
      <c r="A231" s="42">
        <v>4034502</v>
      </c>
      <c r="B231" s="43">
        <v>44986</v>
      </c>
      <c r="C231" s="42" t="s">
        <v>286</v>
      </c>
      <c r="D231" s="44">
        <v>78</v>
      </c>
      <c r="E231" s="45">
        <v>217.34</v>
      </c>
      <c r="F231" s="46">
        <f t="shared" si="25"/>
        <v>2.7864102564102566</v>
      </c>
      <c r="G231" s="42" t="str">
        <f t="shared" si="23"/>
        <v>março</v>
      </c>
      <c r="H231" s="42">
        <f t="shared" si="24"/>
        <v>2023</v>
      </c>
    </row>
    <row r="232" spans="1:8" hidden="1" x14ac:dyDescent="0.25">
      <c r="A232" s="58">
        <v>3020103</v>
      </c>
      <c r="B232" s="59">
        <v>45017</v>
      </c>
      <c r="C232" s="122" t="s">
        <v>131</v>
      </c>
      <c r="D232" s="123">
        <v>6713.51</v>
      </c>
      <c r="E232" s="124">
        <v>22114.3</v>
      </c>
      <c r="F232" s="62">
        <f t="shared" ref="F232:F234" si="29">E232/D232</f>
        <v>3.2939997110304442</v>
      </c>
      <c r="G232" s="58" t="str">
        <f t="shared" ref="G232:G289" si="30">TEXT(B232,"mmmm")</f>
        <v>abril</v>
      </c>
      <c r="H232" s="58">
        <f t="shared" ref="H232:H289" si="31">YEAR(B232)</f>
        <v>2023</v>
      </c>
    </row>
    <row r="233" spans="1:8" hidden="1" x14ac:dyDescent="0.25">
      <c r="A233" s="58">
        <v>3020212</v>
      </c>
      <c r="B233" s="59">
        <v>45017</v>
      </c>
      <c r="C233" s="125" t="s">
        <v>133</v>
      </c>
      <c r="D233" s="126">
        <v>2009.34</v>
      </c>
      <c r="E233" s="127">
        <v>7626.51</v>
      </c>
      <c r="F233" s="62">
        <f t="shared" si="29"/>
        <v>3.7955298754815017</v>
      </c>
      <c r="G233" s="58" t="str">
        <f t="shared" si="30"/>
        <v>abril</v>
      </c>
      <c r="H233" s="58">
        <f t="shared" si="31"/>
        <v>2023</v>
      </c>
    </row>
    <row r="234" spans="1:8" hidden="1" x14ac:dyDescent="0.25">
      <c r="A234" s="58">
        <v>3020214</v>
      </c>
      <c r="B234" s="59">
        <v>45017</v>
      </c>
      <c r="C234" s="122" t="s">
        <v>135</v>
      </c>
      <c r="D234" s="123">
        <v>729.99</v>
      </c>
      <c r="E234" s="124">
        <v>2694.16</v>
      </c>
      <c r="F234" s="62">
        <f t="shared" si="29"/>
        <v>3.6906806942560855</v>
      </c>
      <c r="G234" s="58" t="str">
        <f t="shared" si="30"/>
        <v>abril</v>
      </c>
      <c r="H234" s="58">
        <f t="shared" si="31"/>
        <v>2023</v>
      </c>
    </row>
    <row r="235" spans="1:8" hidden="1" x14ac:dyDescent="0.25">
      <c r="A235" s="58">
        <v>3020315</v>
      </c>
      <c r="B235" s="59">
        <v>45017</v>
      </c>
      <c r="C235" s="125" t="s">
        <v>137</v>
      </c>
      <c r="D235" s="126">
        <v>2562.06</v>
      </c>
      <c r="E235" s="127">
        <v>9407.3799999999992</v>
      </c>
      <c r="F235" s="62">
        <f t="shared" ref="F235:F295" si="32">E235/D235</f>
        <v>3.6718031583959778</v>
      </c>
      <c r="G235" s="58" t="str">
        <f t="shared" si="30"/>
        <v>abril</v>
      </c>
      <c r="H235" s="58">
        <f t="shared" si="31"/>
        <v>2023</v>
      </c>
    </row>
    <row r="236" spans="1:8" hidden="1" x14ac:dyDescent="0.25">
      <c r="A236" s="58">
        <v>3020316</v>
      </c>
      <c r="B236" s="59">
        <v>45017</v>
      </c>
      <c r="C236" s="122" t="s">
        <v>139</v>
      </c>
      <c r="D236" s="123">
        <v>169.25</v>
      </c>
      <c r="E236" s="124">
        <v>575.45000000000005</v>
      </c>
      <c r="F236" s="62">
        <f t="shared" si="32"/>
        <v>3.4000000000000004</v>
      </c>
      <c r="G236" s="58" t="str">
        <f t="shared" si="30"/>
        <v>abril</v>
      </c>
      <c r="H236" s="58">
        <f t="shared" si="31"/>
        <v>2023</v>
      </c>
    </row>
    <row r="237" spans="1:8" hidden="1" x14ac:dyDescent="0.25">
      <c r="A237" s="58">
        <v>3020402</v>
      </c>
      <c r="B237" s="59">
        <v>45017</v>
      </c>
      <c r="C237" s="125" t="s">
        <v>141</v>
      </c>
      <c r="D237" s="126">
        <v>1097.01</v>
      </c>
      <c r="E237" s="127">
        <v>3716.86</v>
      </c>
      <c r="F237" s="62">
        <f t="shared" si="32"/>
        <v>3.3881733074447817</v>
      </c>
      <c r="G237" s="58" t="str">
        <f t="shared" si="30"/>
        <v>abril</v>
      </c>
      <c r="H237" s="58">
        <f t="shared" si="31"/>
        <v>2023</v>
      </c>
    </row>
    <row r="238" spans="1:8" hidden="1" x14ac:dyDescent="0.25">
      <c r="A238" s="58">
        <v>3020504</v>
      </c>
      <c r="B238" s="59">
        <v>45017</v>
      </c>
      <c r="C238" s="122" t="s">
        <v>143</v>
      </c>
      <c r="D238" s="123">
        <v>451.81</v>
      </c>
      <c r="E238" s="124">
        <v>1700.15</v>
      </c>
      <c r="F238" s="62">
        <f t="shared" si="32"/>
        <v>3.7629755870830661</v>
      </c>
      <c r="G238" s="58" t="str">
        <f t="shared" si="30"/>
        <v>abril</v>
      </c>
      <c r="H238" s="58">
        <f t="shared" si="31"/>
        <v>2023</v>
      </c>
    </row>
    <row r="239" spans="1:8" hidden="1" x14ac:dyDescent="0.25">
      <c r="A239" s="88">
        <v>3020622</v>
      </c>
      <c r="B239" s="89">
        <v>45017</v>
      </c>
      <c r="C239" s="137" t="s">
        <v>145</v>
      </c>
      <c r="D239" s="138">
        <v>6527.83</v>
      </c>
      <c r="E239" s="139">
        <v>23443.03</v>
      </c>
      <c r="F239" s="92">
        <f t="shared" si="32"/>
        <v>3.5912439508994565</v>
      </c>
      <c r="G239" s="88" t="str">
        <f t="shared" si="30"/>
        <v>abril</v>
      </c>
      <c r="H239" s="88">
        <f t="shared" si="31"/>
        <v>2023</v>
      </c>
    </row>
    <row r="240" spans="1:8" hidden="1" x14ac:dyDescent="0.25">
      <c r="A240" s="88">
        <v>3020623</v>
      </c>
      <c r="B240" s="89">
        <v>45017</v>
      </c>
      <c r="C240" s="140" t="s">
        <v>147</v>
      </c>
      <c r="D240" s="141">
        <v>990.56</v>
      </c>
      <c r="E240" s="142">
        <v>3853.81</v>
      </c>
      <c r="F240" s="92">
        <f t="shared" si="32"/>
        <v>3.8905366661282508</v>
      </c>
      <c r="G240" s="88" t="str">
        <f t="shared" si="30"/>
        <v>abril</v>
      </c>
      <c r="H240" s="88">
        <f t="shared" si="31"/>
        <v>2023</v>
      </c>
    </row>
    <row r="241" spans="1:8" hidden="1" x14ac:dyDescent="0.25">
      <c r="A241" s="88">
        <v>3020725</v>
      </c>
      <c r="B241" s="89">
        <v>45017</v>
      </c>
      <c r="C241" s="137" t="s">
        <v>149</v>
      </c>
      <c r="D241" s="138">
        <v>383.82</v>
      </c>
      <c r="E241" s="139">
        <v>1509.45</v>
      </c>
      <c r="F241" s="92">
        <f t="shared" si="32"/>
        <v>3.9327028294513053</v>
      </c>
      <c r="G241" s="88" t="str">
        <f t="shared" si="30"/>
        <v>abril</v>
      </c>
      <c r="H241" s="88">
        <f t="shared" si="31"/>
        <v>2023</v>
      </c>
    </row>
    <row r="242" spans="1:8" hidden="1" x14ac:dyDescent="0.25">
      <c r="A242" s="88">
        <v>3020823</v>
      </c>
      <c r="B242" s="89">
        <v>45017</v>
      </c>
      <c r="C242" s="140" t="s">
        <v>151</v>
      </c>
      <c r="D242" s="141">
        <v>1587.53</v>
      </c>
      <c r="E242" s="142">
        <v>5995.09</v>
      </c>
      <c r="F242" s="92">
        <f t="shared" si="32"/>
        <v>3.7763632813238175</v>
      </c>
      <c r="G242" s="88" t="str">
        <f t="shared" si="30"/>
        <v>abril</v>
      </c>
      <c r="H242" s="88">
        <f t="shared" si="31"/>
        <v>2023</v>
      </c>
    </row>
    <row r="243" spans="1:8" hidden="1" x14ac:dyDescent="0.25">
      <c r="A243" s="88">
        <v>3020824</v>
      </c>
      <c r="B243" s="89">
        <v>45017</v>
      </c>
      <c r="C243" s="137" t="s">
        <v>153</v>
      </c>
      <c r="D243" s="138">
        <v>1984.33</v>
      </c>
      <c r="E243" s="139">
        <v>7399.25</v>
      </c>
      <c r="F243" s="92">
        <f t="shared" si="32"/>
        <v>3.7288404650436169</v>
      </c>
      <c r="G243" s="88" t="str">
        <f t="shared" si="30"/>
        <v>abril</v>
      </c>
      <c r="H243" s="88">
        <f t="shared" si="31"/>
        <v>2023</v>
      </c>
    </row>
    <row r="244" spans="1:8" hidden="1" x14ac:dyDescent="0.25">
      <c r="A244" s="88">
        <v>3020825</v>
      </c>
      <c r="B244" s="89">
        <v>45017</v>
      </c>
      <c r="C244" s="140" t="s">
        <v>455</v>
      </c>
      <c r="D244" s="141">
        <v>225.42</v>
      </c>
      <c r="E244" s="142">
        <v>890.41</v>
      </c>
      <c r="F244" s="92">
        <f t="shared" si="32"/>
        <v>3.950004436163606</v>
      </c>
      <c r="G244" s="88" t="str">
        <f t="shared" si="30"/>
        <v>abril</v>
      </c>
      <c r="H244" s="88">
        <f t="shared" si="31"/>
        <v>2023</v>
      </c>
    </row>
    <row r="245" spans="1:8" hidden="1" x14ac:dyDescent="0.25">
      <c r="A245" s="88">
        <v>3020924</v>
      </c>
      <c r="B245" s="89">
        <v>45017</v>
      </c>
      <c r="C245" s="137" t="s">
        <v>155</v>
      </c>
      <c r="D245" s="138">
        <v>1418.23</v>
      </c>
      <c r="E245" s="139">
        <v>5512.89</v>
      </c>
      <c r="F245" s="92">
        <f t="shared" si="32"/>
        <v>3.8871621669263803</v>
      </c>
      <c r="G245" s="88" t="str">
        <f t="shared" si="30"/>
        <v>abril</v>
      </c>
      <c r="H245" s="88">
        <f t="shared" si="31"/>
        <v>2023</v>
      </c>
    </row>
    <row r="246" spans="1:8" hidden="1" x14ac:dyDescent="0.25">
      <c r="A246" s="88">
        <v>3020925</v>
      </c>
      <c r="B246" s="89">
        <v>45017</v>
      </c>
      <c r="C246" s="140" t="s">
        <v>157</v>
      </c>
      <c r="D246" s="141">
        <v>2181.85</v>
      </c>
      <c r="E246" s="142">
        <v>8416.82</v>
      </c>
      <c r="F246" s="92">
        <f t="shared" si="32"/>
        <v>3.8576529092284071</v>
      </c>
      <c r="G246" s="88" t="str">
        <f t="shared" si="30"/>
        <v>abril</v>
      </c>
      <c r="H246" s="88">
        <f t="shared" si="31"/>
        <v>2023</v>
      </c>
    </row>
    <row r="247" spans="1:8" hidden="1" x14ac:dyDescent="0.25">
      <c r="A247" s="128">
        <v>3021435</v>
      </c>
      <c r="B247" s="129">
        <v>45017</v>
      </c>
      <c r="C247" s="134" t="s">
        <v>159</v>
      </c>
      <c r="D247" s="135">
        <v>902.49</v>
      </c>
      <c r="E247" s="136">
        <v>2928.92</v>
      </c>
      <c r="F247" s="133">
        <f t="shared" si="32"/>
        <v>3.2453766800740174</v>
      </c>
      <c r="G247" s="128" t="str">
        <f t="shared" si="30"/>
        <v>abril</v>
      </c>
      <c r="H247" s="128">
        <f t="shared" si="31"/>
        <v>2023</v>
      </c>
    </row>
    <row r="248" spans="1:8" hidden="1" x14ac:dyDescent="0.25">
      <c r="A248" s="128">
        <v>3021537</v>
      </c>
      <c r="B248" s="129">
        <v>45017</v>
      </c>
      <c r="C248" s="130" t="s">
        <v>161</v>
      </c>
      <c r="D248" s="131">
        <v>52</v>
      </c>
      <c r="E248" s="132">
        <v>174.42</v>
      </c>
      <c r="F248" s="133">
        <f t="shared" si="32"/>
        <v>3.3542307692307691</v>
      </c>
      <c r="G248" s="128" t="str">
        <f t="shared" si="30"/>
        <v>abril</v>
      </c>
      <c r="H248" s="128">
        <f t="shared" si="31"/>
        <v>2023</v>
      </c>
    </row>
    <row r="249" spans="1:8" hidden="1" x14ac:dyDescent="0.25">
      <c r="A249" s="128">
        <v>3021638</v>
      </c>
      <c r="B249" s="129">
        <v>45017</v>
      </c>
      <c r="C249" s="134" t="s">
        <v>163</v>
      </c>
      <c r="D249" s="135">
        <v>51</v>
      </c>
      <c r="E249" s="136">
        <v>164.93</v>
      </c>
      <c r="F249" s="133">
        <f t="shared" si="32"/>
        <v>3.2339215686274509</v>
      </c>
      <c r="G249" s="128" t="str">
        <f t="shared" si="30"/>
        <v>abril</v>
      </c>
      <c r="H249" s="128">
        <f t="shared" si="31"/>
        <v>2023</v>
      </c>
    </row>
    <row r="250" spans="1:8" hidden="1" x14ac:dyDescent="0.25">
      <c r="A250" s="128">
        <v>3021639</v>
      </c>
      <c r="B250" s="129">
        <v>45017</v>
      </c>
      <c r="C250" s="130" t="s">
        <v>457</v>
      </c>
      <c r="D250" s="131">
        <v>5.7</v>
      </c>
      <c r="E250" s="132">
        <v>17.670000000000002</v>
      </c>
      <c r="F250" s="133">
        <f t="shared" si="32"/>
        <v>3.1</v>
      </c>
      <c r="G250" s="128" t="str">
        <f t="shared" si="30"/>
        <v>abril</v>
      </c>
      <c r="H250" s="128">
        <f t="shared" si="31"/>
        <v>2023</v>
      </c>
    </row>
    <row r="251" spans="1:8" hidden="1" x14ac:dyDescent="0.25">
      <c r="A251" s="128">
        <v>3021739</v>
      </c>
      <c r="B251" s="129">
        <v>45017</v>
      </c>
      <c r="C251" s="134" t="s">
        <v>165</v>
      </c>
      <c r="D251" s="135">
        <v>377.33</v>
      </c>
      <c r="E251" s="136">
        <v>1061.75</v>
      </c>
      <c r="F251" s="133">
        <f t="shared" si="32"/>
        <v>2.8138499456708983</v>
      </c>
      <c r="G251" s="128" t="str">
        <f t="shared" si="30"/>
        <v>abril</v>
      </c>
      <c r="H251" s="128">
        <f t="shared" si="31"/>
        <v>2023</v>
      </c>
    </row>
    <row r="252" spans="1:8" hidden="1" x14ac:dyDescent="0.25">
      <c r="A252" s="128">
        <v>3021740</v>
      </c>
      <c r="B252" s="129">
        <v>45017</v>
      </c>
      <c r="C252" s="130" t="s">
        <v>459</v>
      </c>
      <c r="D252" s="131">
        <v>235.3</v>
      </c>
      <c r="E252" s="132">
        <v>658.84</v>
      </c>
      <c r="F252" s="133">
        <f t="shared" si="32"/>
        <v>2.8</v>
      </c>
      <c r="G252" s="128" t="str">
        <f t="shared" si="30"/>
        <v>abril</v>
      </c>
      <c r="H252" s="128">
        <f t="shared" si="31"/>
        <v>2023</v>
      </c>
    </row>
    <row r="253" spans="1:8" hidden="1" x14ac:dyDescent="0.25">
      <c r="A253" s="58">
        <v>3021760</v>
      </c>
      <c r="B253" s="59">
        <v>45017</v>
      </c>
      <c r="C253" s="125" t="s">
        <v>167</v>
      </c>
      <c r="D253" s="126">
        <v>2007.18</v>
      </c>
      <c r="E253" s="127">
        <v>4866.24</v>
      </c>
      <c r="F253" s="62">
        <f t="shared" si="32"/>
        <v>2.4244163453202998</v>
      </c>
      <c r="G253" s="58" t="str">
        <f t="shared" si="30"/>
        <v>abril</v>
      </c>
      <c r="H253" s="58">
        <f t="shared" si="31"/>
        <v>2023</v>
      </c>
    </row>
    <row r="254" spans="1:8" hidden="1" x14ac:dyDescent="0.25">
      <c r="A254" s="73">
        <v>3021811</v>
      </c>
      <c r="B254" s="74">
        <v>45017</v>
      </c>
      <c r="C254" s="119" t="s">
        <v>169</v>
      </c>
      <c r="D254" s="120">
        <v>457.83</v>
      </c>
      <c r="E254" s="121">
        <v>1128.54</v>
      </c>
      <c r="F254" s="77">
        <f t="shared" si="32"/>
        <v>2.464976082825503</v>
      </c>
      <c r="G254" s="73" t="str">
        <f t="shared" si="30"/>
        <v>abril</v>
      </c>
      <c r="H254" s="73">
        <f t="shared" si="31"/>
        <v>2023</v>
      </c>
    </row>
    <row r="255" spans="1:8" hidden="1" x14ac:dyDescent="0.25">
      <c r="A255" s="73">
        <v>3021812</v>
      </c>
      <c r="B255" s="74">
        <v>45017</v>
      </c>
      <c r="C255" s="116" t="s">
        <v>171</v>
      </c>
      <c r="D255" s="117">
        <v>811.67</v>
      </c>
      <c r="E255" s="118">
        <v>1893.19</v>
      </c>
      <c r="F255" s="77">
        <f t="shared" si="32"/>
        <v>2.3324627003585201</v>
      </c>
      <c r="G255" s="73" t="str">
        <f t="shared" si="30"/>
        <v>abril</v>
      </c>
      <c r="H255" s="73">
        <f t="shared" si="31"/>
        <v>2023</v>
      </c>
    </row>
    <row r="256" spans="1:8" hidden="1" x14ac:dyDescent="0.25">
      <c r="A256" s="48">
        <v>3022100</v>
      </c>
      <c r="B256" s="49">
        <v>45017</v>
      </c>
      <c r="C256" s="113" t="s">
        <v>173</v>
      </c>
      <c r="D256" s="114">
        <v>161.5</v>
      </c>
      <c r="E256" s="115">
        <v>613.48</v>
      </c>
      <c r="F256" s="52">
        <f t="shared" si="32"/>
        <v>3.7986377708978329</v>
      </c>
      <c r="G256" s="48" t="str">
        <f t="shared" si="30"/>
        <v>abril</v>
      </c>
      <c r="H256" s="48">
        <f t="shared" si="31"/>
        <v>2023</v>
      </c>
    </row>
    <row r="257" spans="1:8" hidden="1" x14ac:dyDescent="0.25">
      <c r="A257" s="48">
        <v>3022208</v>
      </c>
      <c r="B257" s="49">
        <v>45017</v>
      </c>
      <c r="C257" s="110" t="s">
        <v>307</v>
      </c>
      <c r="D257" s="111">
        <v>290.33</v>
      </c>
      <c r="E257" s="112">
        <v>1098.18</v>
      </c>
      <c r="F257" s="52">
        <f t="shared" si="32"/>
        <v>3.7825233355147594</v>
      </c>
      <c r="G257" s="48" t="str">
        <f t="shared" si="30"/>
        <v>abril</v>
      </c>
      <c r="H257" s="48">
        <f t="shared" si="31"/>
        <v>2023</v>
      </c>
    </row>
    <row r="258" spans="1:8" hidden="1" x14ac:dyDescent="0.25">
      <c r="A258" s="149">
        <v>3022311</v>
      </c>
      <c r="B258" s="150">
        <v>45017</v>
      </c>
      <c r="C258" s="151" t="s">
        <v>176</v>
      </c>
      <c r="D258" s="152">
        <v>1952.93</v>
      </c>
      <c r="E258" s="153">
        <v>4710.42</v>
      </c>
      <c r="F258" s="154">
        <f t="shared" si="32"/>
        <v>2.4119758516690304</v>
      </c>
      <c r="G258" s="149" t="str">
        <f t="shared" si="30"/>
        <v>abril</v>
      </c>
      <c r="H258" s="149">
        <f t="shared" si="31"/>
        <v>2023</v>
      </c>
    </row>
    <row r="259" spans="1:8" hidden="1" x14ac:dyDescent="0.25">
      <c r="A259" s="149">
        <v>3022411</v>
      </c>
      <c r="B259" s="150">
        <v>45017</v>
      </c>
      <c r="C259" s="155" t="s">
        <v>178</v>
      </c>
      <c r="D259" s="156">
        <v>19.420000000000002</v>
      </c>
      <c r="E259" s="157">
        <v>56.82</v>
      </c>
      <c r="F259" s="154">
        <f t="shared" si="32"/>
        <v>2.9258496395468585</v>
      </c>
      <c r="G259" s="149" t="str">
        <f t="shared" si="30"/>
        <v>abril</v>
      </c>
      <c r="H259" s="149">
        <f t="shared" si="31"/>
        <v>2023</v>
      </c>
    </row>
    <row r="260" spans="1:8" hidden="1" x14ac:dyDescent="0.25">
      <c r="A260" s="149">
        <v>3022511</v>
      </c>
      <c r="B260" s="150">
        <v>45017</v>
      </c>
      <c r="C260" s="151" t="s">
        <v>180</v>
      </c>
      <c r="D260" s="152">
        <v>10.76</v>
      </c>
      <c r="E260" s="153">
        <v>28.81</v>
      </c>
      <c r="F260" s="154">
        <f t="shared" si="32"/>
        <v>2.6775092936802976</v>
      </c>
      <c r="G260" s="149" t="str">
        <f t="shared" si="30"/>
        <v>abril</v>
      </c>
      <c r="H260" s="149">
        <f t="shared" si="31"/>
        <v>2023</v>
      </c>
    </row>
    <row r="261" spans="1:8" hidden="1" x14ac:dyDescent="0.25">
      <c r="A261" s="42">
        <v>3022601</v>
      </c>
      <c r="B261" s="43">
        <v>45017</v>
      </c>
      <c r="C261" s="104" t="s">
        <v>182</v>
      </c>
      <c r="D261" s="105">
        <v>241.5</v>
      </c>
      <c r="E261" s="106">
        <v>1013.31</v>
      </c>
      <c r="F261" s="46">
        <f t="shared" si="32"/>
        <v>4.1959006211180121</v>
      </c>
      <c r="G261" s="42" t="str">
        <f t="shared" si="30"/>
        <v>abril</v>
      </c>
      <c r="H261" s="42">
        <f t="shared" si="31"/>
        <v>2023</v>
      </c>
    </row>
    <row r="262" spans="1:8" hidden="1" x14ac:dyDescent="0.25">
      <c r="A262" s="42">
        <v>3022703</v>
      </c>
      <c r="B262" s="43">
        <v>45017</v>
      </c>
      <c r="C262" s="107" t="s">
        <v>309</v>
      </c>
      <c r="D262" s="108">
        <v>606</v>
      </c>
      <c r="E262" s="109">
        <v>1672.55</v>
      </c>
      <c r="F262" s="46">
        <f t="shared" si="32"/>
        <v>2.7599834983498348</v>
      </c>
      <c r="G262" s="42" t="str">
        <f t="shared" si="30"/>
        <v>abril</v>
      </c>
      <c r="H262" s="42">
        <f t="shared" si="31"/>
        <v>2023</v>
      </c>
    </row>
    <row r="263" spans="1:8" hidden="1" x14ac:dyDescent="0.25">
      <c r="A263" s="42">
        <v>3022805</v>
      </c>
      <c r="B263" s="43">
        <v>45017</v>
      </c>
      <c r="C263" s="104" t="s">
        <v>186</v>
      </c>
      <c r="D263" s="105">
        <v>1520</v>
      </c>
      <c r="E263" s="106">
        <v>3181.7</v>
      </c>
      <c r="F263" s="46">
        <f t="shared" si="32"/>
        <v>2.0932236842105261</v>
      </c>
      <c r="G263" s="42" t="str">
        <f t="shared" si="30"/>
        <v>abril</v>
      </c>
      <c r="H263" s="42">
        <f t="shared" si="31"/>
        <v>2023</v>
      </c>
    </row>
    <row r="264" spans="1:8" hidden="1" x14ac:dyDescent="0.25">
      <c r="A264" s="42">
        <v>3022906</v>
      </c>
      <c r="B264" s="43">
        <v>45017</v>
      </c>
      <c r="C264" s="107" t="s">
        <v>188</v>
      </c>
      <c r="D264" s="108">
        <v>3350</v>
      </c>
      <c r="E264" s="109">
        <v>6740.96</v>
      </c>
      <c r="F264" s="46">
        <f t="shared" si="32"/>
        <v>2.012226865671642</v>
      </c>
      <c r="G264" s="42" t="str">
        <f t="shared" si="30"/>
        <v>abril</v>
      </c>
      <c r="H264" s="42">
        <f t="shared" si="31"/>
        <v>2023</v>
      </c>
    </row>
    <row r="265" spans="1:8" hidden="1" x14ac:dyDescent="0.25">
      <c r="A265" s="42">
        <v>3023007</v>
      </c>
      <c r="B265" s="43">
        <v>45017</v>
      </c>
      <c r="C265" s="104" t="s">
        <v>190</v>
      </c>
      <c r="D265" s="105">
        <v>2400</v>
      </c>
      <c r="E265" s="106">
        <v>4879</v>
      </c>
      <c r="F265" s="46">
        <f t="shared" si="32"/>
        <v>2.0329166666666665</v>
      </c>
      <c r="G265" s="42" t="str">
        <f t="shared" si="30"/>
        <v>abril</v>
      </c>
      <c r="H265" s="42">
        <f t="shared" si="31"/>
        <v>2023</v>
      </c>
    </row>
    <row r="266" spans="1:8" hidden="1" x14ac:dyDescent="0.25">
      <c r="A266" s="37">
        <v>4030100</v>
      </c>
      <c r="B266" s="38">
        <v>45017</v>
      </c>
      <c r="C266" s="98" t="s">
        <v>200</v>
      </c>
      <c r="D266" s="99">
        <v>285.2</v>
      </c>
      <c r="E266" s="100">
        <v>1766.76</v>
      </c>
      <c r="F266" s="41">
        <f t="shared" si="32"/>
        <v>6.194810659186536</v>
      </c>
      <c r="G266" s="37" t="str">
        <f t="shared" si="30"/>
        <v>abril</v>
      </c>
      <c r="H266" s="37">
        <f t="shared" si="31"/>
        <v>2023</v>
      </c>
    </row>
    <row r="267" spans="1:8" hidden="1" x14ac:dyDescent="0.25">
      <c r="A267" s="37">
        <v>4030211</v>
      </c>
      <c r="B267" s="38">
        <v>45017</v>
      </c>
      <c r="C267" s="101" t="s">
        <v>202</v>
      </c>
      <c r="D267" s="102">
        <v>503.08</v>
      </c>
      <c r="E267" s="103">
        <v>2989.74</v>
      </c>
      <c r="F267" s="41">
        <f t="shared" si="32"/>
        <v>5.9428719090403117</v>
      </c>
      <c r="G267" s="37" t="str">
        <f t="shared" si="30"/>
        <v>abril</v>
      </c>
      <c r="H267" s="37">
        <f t="shared" si="31"/>
        <v>2023</v>
      </c>
    </row>
    <row r="268" spans="1:8" hidden="1" x14ac:dyDescent="0.25">
      <c r="A268" s="37">
        <v>4030311</v>
      </c>
      <c r="B268" s="38">
        <v>45017</v>
      </c>
      <c r="C268" s="98" t="s">
        <v>311</v>
      </c>
      <c r="D268" s="99">
        <v>306.67</v>
      </c>
      <c r="E268" s="100">
        <v>2070.17</v>
      </c>
      <c r="F268" s="41">
        <f t="shared" si="32"/>
        <v>6.7504809730329018</v>
      </c>
      <c r="G268" s="37" t="str">
        <f t="shared" si="30"/>
        <v>abril</v>
      </c>
      <c r="H268" s="37">
        <f t="shared" si="31"/>
        <v>2023</v>
      </c>
    </row>
    <row r="269" spans="1:8" hidden="1" x14ac:dyDescent="0.25">
      <c r="A269" s="37">
        <v>4030400</v>
      </c>
      <c r="B269" s="38">
        <v>45017</v>
      </c>
      <c r="C269" s="101" t="s">
        <v>312</v>
      </c>
      <c r="D269" s="102">
        <v>134.36000000000001</v>
      </c>
      <c r="E269" s="103">
        <v>671.83</v>
      </c>
      <c r="F269" s="41">
        <f t="shared" si="32"/>
        <v>5.0002232807383145</v>
      </c>
      <c r="G269" s="37" t="str">
        <f t="shared" si="30"/>
        <v>abril</v>
      </c>
      <c r="H269" s="37">
        <f t="shared" si="31"/>
        <v>2023</v>
      </c>
    </row>
    <row r="270" spans="1:8" hidden="1" x14ac:dyDescent="0.25">
      <c r="A270" s="37">
        <v>4030401</v>
      </c>
      <c r="B270" s="38">
        <v>45017</v>
      </c>
      <c r="C270" s="98" t="s">
        <v>461</v>
      </c>
      <c r="D270" s="99">
        <v>63.2</v>
      </c>
      <c r="E270" s="100">
        <v>328.9</v>
      </c>
      <c r="F270" s="41">
        <f t="shared" si="32"/>
        <v>5.204113924050632</v>
      </c>
      <c r="G270" s="37" t="str">
        <f t="shared" si="30"/>
        <v>abril</v>
      </c>
      <c r="H270" s="37">
        <f t="shared" si="31"/>
        <v>2023</v>
      </c>
    </row>
    <row r="271" spans="1:8" hidden="1" x14ac:dyDescent="0.25">
      <c r="A271" s="37">
        <v>4030511</v>
      </c>
      <c r="B271" s="38">
        <v>45017</v>
      </c>
      <c r="C271" s="101" t="s">
        <v>208</v>
      </c>
      <c r="D271" s="102">
        <v>82.54</v>
      </c>
      <c r="E271" s="103">
        <v>431.36</v>
      </c>
      <c r="F271" s="41">
        <f t="shared" si="32"/>
        <v>5.2260722074145862</v>
      </c>
      <c r="G271" s="37" t="str">
        <f t="shared" si="30"/>
        <v>abril</v>
      </c>
      <c r="H271" s="37">
        <f t="shared" si="31"/>
        <v>2023</v>
      </c>
    </row>
    <row r="272" spans="1:8" hidden="1" x14ac:dyDescent="0.25">
      <c r="A272" s="48">
        <v>4030600</v>
      </c>
      <c r="B272" s="49">
        <v>45017</v>
      </c>
      <c r="C272" s="110" t="s">
        <v>212</v>
      </c>
      <c r="D272" s="111">
        <v>749.4</v>
      </c>
      <c r="E272" s="112">
        <v>2289.09</v>
      </c>
      <c r="F272" s="52">
        <f t="shared" si="32"/>
        <v>3.0545636509207368</v>
      </c>
      <c r="G272" s="48" t="str">
        <f t="shared" si="30"/>
        <v>abril</v>
      </c>
      <c r="H272" s="48">
        <f t="shared" si="31"/>
        <v>2023</v>
      </c>
    </row>
    <row r="273" spans="1:8" hidden="1" x14ac:dyDescent="0.25">
      <c r="A273" s="48">
        <v>4030711</v>
      </c>
      <c r="B273" s="49">
        <v>45017</v>
      </c>
      <c r="C273" s="113" t="s">
        <v>214</v>
      </c>
      <c r="D273" s="114">
        <v>712.86</v>
      </c>
      <c r="E273" s="115">
        <v>2394.06</v>
      </c>
      <c r="F273" s="52">
        <f t="shared" si="32"/>
        <v>3.358387341132901</v>
      </c>
      <c r="G273" s="48" t="str">
        <f t="shared" si="30"/>
        <v>abril</v>
      </c>
      <c r="H273" s="48">
        <f t="shared" si="31"/>
        <v>2023</v>
      </c>
    </row>
    <row r="274" spans="1:8" hidden="1" x14ac:dyDescent="0.25">
      <c r="A274" s="58">
        <v>4030811</v>
      </c>
      <c r="B274" s="59">
        <v>45017</v>
      </c>
      <c r="C274" s="125" t="s">
        <v>216</v>
      </c>
      <c r="D274" s="126">
        <v>1305.3900000000001</v>
      </c>
      <c r="E274" s="127">
        <v>4104.01</v>
      </c>
      <c r="F274" s="62">
        <f t="shared" si="32"/>
        <v>3.143895694007155</v>
      </c>
      <c r="G274" s="58" t="str">
        <f t="shared" si="30"/>
        <v>abril</v>
      </c>
      <c r="H274" s="58">
        <f t="shared" si="31"/>
        <v>2023</v>
      </c>
    </row>
    <row r="275" spans="1:8" hidden="1" x14ac:dyDescent="0.25">
      <c r="A275" s="58">
        <v>4030813</v>
      </c>
      <c r="B275" s="59">
        <v>45017</v>
      </c>
      <c r="C275" s="122" t="s">
        <v>462</v>
      </c>
      <c r="D275" s="123">
        <v>2368.9499999999998</v>
      </c>
      <c r="E275" s="124">
        <v>7088.97</v>
      </c>
      <c r="F275" s="62">
        <f t="shared" si="32"/>
        <v>2.9924523523079847</v>
      </c>
      <c r="G275" s="58" t="str">
        <f t="shared" si="30"/>
        <v>abril</v>
      </c>
      <c r="H275" s="58">
        <f t="shared" si="31"/>
        <v>2023</v>
      </c>
    </row>
    <row r="276" spans="1:8" hidden="1" x14ac:dyDescent="0.25">
      <c r="A276" s="58">
        <v>4030910</v>
      </c>
      <c r="B276" s="59">
        <v>45017</v>
      </c>
      <c r="C276" s="122" t="s">
        <v>222</v>
      </c>
      <c r="D276" s="123">
        <v>51.38</v>
      </c>
      <c r="E276" s="124">
        <v>162.55000000000001</v>
      </c>
      <c r="F276" s="62">
        <f t="shared" ref="F276" si="33">E276/D276</f>
        <v>3.1636823666796419</v>
      </c>
      <c r="G276" s="58" t="str">
        <f t="shared" ref="G276" si="34">TEXT(B276,"mmmm")</f>
        <v>abril</v>
      </c>
      <c r="H276" s="58">
        <f t="shared" ref="H276" si="35">YEAR(B276)</f>
        <v>2023</v>
      </c>
    </row>
    <row r="277" spans="1:8" hidden="1" x14ac:dyDescent="0.25">
      <c r="A277" s="73">
        <v>4030900</v>
      </c>
      <c r="B277" s="74">
        <v>45017</v>
      </c>
      <c r="C277" s="116" t="s">
        <v>220</v>
      </c>
      <c r="D277" s="117">
        <v>4180.3500000000004</v>
      </c>
      <c r="E277" s="118">
        <v>12757.55</v>
      </c>
      <c r="F277" s="77">
        <f t="shared" si="32"/>
        <v>3.0517899218964915</v>
      </c>
      <c r="G277" s="73" t="str">
        <f t="shared" si="30"/>
        <v>abril</v>
      </c>
      <c r="H277" s="73">
        <f t="shared" si="31"/>
        <v>2023</v>
      </c>
    </row>
    <row r="278" spans="1:8" hidden="1" x14ac:dyDescent="0.25">
      <c r="A278" s="73">
        <v>4031012</v>
      </c>
      <c r="B278" s="74">
        <v>45017</v>
      </c>
      <c r="C278" s="116" t="s">
        <v>224</v>
      </c>
      <c r="D278" s="117">
        <v>1152.73</v>
      </c>
      <c r="E278" s="118">
        <v>3511.28</v>
      </c>
      <c r="F278" s="77">
        <f t="shared" si="32"/>
        <v>3.046055884725825</v>
      </c>
      <c r="G278" s="73" t="str">
        <f t="shared" si="30"/>
        <v>abril</v>
      </c>
      <c r="H278" s="73">
        <f t="shared" si="31"/>
        <v>2023</v>
      </c>
    </row>
    <row r="279" spans="1:8" hidden="1" x14ac:dyDescent="0.25">
      <c r="A279" s="73">
        <v>4031017</v>
      </c>
      <c r="B279" s="74">
        <v>45017</v>
      </c>
      <c r="C279" s="119" t="s">
        <v>226</v>
      </c>
      <c r="D279" s="120">
        <v>70</v>
      </c>
      <c r="E279" s="121">
        <v>241.5</v>
      </c>
      <c r="F279" s="77">
        <f t="shared" si="32"/>
        <v>3.45</v>
      </c>
      <c r="G279" s="73" t="str">
        <f t="shared" si="30"/>
        <v>abril</v>
      </c>
      <c r="H279" s="73">
        <f t="shared" si="31"/>
        <v>2023</v>
      </c>
    </row>
    <row r="280" spans="1:8" hidden="1" x14ac:dyDescent="0.25">
      <c r="A280" s="73">
        <v>4031102</v>
      </c>
      <c r="B280" s="74">
        <v>45017</v>
      </c>
      <c r="C280" s="116" t="s">
        <v>228</v>
      </c>
      <c r="D280" s="117">
        <v>8047.83</v>
      </c>
      <c r="E280" s="118">
        <v>23003.46</v>
      </c>
      <c r="F280" s="77">
        <f t="shared" si="32"/>
        <v>2.8583431807083399</v>
      </c>
      <c r="G280" s="73" t="str">
        <f t="shared" si="30"/>
        <v>abril</v>
      </c>
      <c r="H280" s="73">
        <f t="shared" si="31"/>
        <v>2023</v>
      </c>
    </row>
    <row r="281" spans="1:8" hidden="1" x14ac:dyDescent="0.25">
      <c r="A281" s="128">
        <v>4031200</v>
      </c>
      <c r="B281" s="129">
        <v>45017</v>
      </c>
      <c r="C281" s="130" t="s">
        <v>230</v>
      </c>
      <c r="D281" s="131">
        <v>927.3</v>
      </c>
      <c r="E281" s="132">
        <v>2779.85</v>
      </c>
      <c r="F281" s="133">
        <f t="shared" si="32"/>
        <v>2.9977892807074302</v>
      </c>
      <c r="G281" s="128" t="str">
        <f t="shared" si="30"/>
        <v>abril</v>
      </c>
      <c r="H281" s="128">
        <f t="shared" si="31"/>
        <v>2023</v>
      </c>
    </row>
    <row r="282" spans="1:8" hidden="1" x14ac:dyDescent="0.25">
      <c r="A282" s="128">
        <v>4031304</v>
      </c>
      <c r="B282" s="129">
        <v>45017</v>
      </c>
      <c r="C282" s="134" t="s">
        <v>232</v>
      </c>
      <c r="D282" s="135">
        <v>1748.1</v>
      </c>
      <c r="E282" s="136">
        <v>4956.3599999999997</v>
      </c>
      <c r="F282" s="133">
        <f t="shared" si="32"/>
        <v>2.8352840226531661</v>
      </c>
      <c r="G282" s="128" t="str">
        <f t="shared" si="30"/>
        <v>abril</v>
      </c>
      <c r="H282" s="128">
        <f t="shared" si="31"/>
        <v>2023</v>
      </c>
    </row>
    <row r="283" spans="1:8" hidden="1" x14ac:dyDescent="0.25">
      <c r="A283" s="128">
        <v>4031411</v>
      </c>
      <c r="B283" s="129">
        <v>45017</v>
      </c>
      <c r="C283" s="130" t="s">
        <v>234</v>
      </c>
      <c r="D283" s="131">
        <v>63.1</v>
      </c>
      <c r="E283" s="132">
        <v>182.19</v>
      </c>
      <c r="F283" s="133">
        <f t="shared" si="32"/>
        <v>2.887321711568938</v>
      </c>
      <c r="G283" s="128" t="str">
        <f t="shared" si="30"/>
        <v>abril</v>
      </c>
      <c r="H283" s="128">
        <f t="shared" si="31"/>
        <v>2023</v>
      </c>
    </row>
    <row r="284" spans="1:8" hidden="1" x14ac:dyDescent="0.25">
      <c r="A284" s="128">
        <v>4031500</v>
      </c>
      <c r="B284" s="129">
        <v>45017</v>
      </c>
      <c r="C284" s="134" t="s">
        <v>236</v>
      </c>
      <c r="D284" s="135">
        <v>5124.8599999999997</v>
      </c>
      <c r="E284" s="136">
        <v>14464.68</v>
      </c>
      <c r="F284" s="133">
        <f t="shared" si="32"/>
        <v>2.8224536865397303</v>
      </c>
      <c r="G284" s="128" t="str">
        <f t="shared" si="30"/>
        <v>abril</v>
      </c>
      <c r="H284" s="128">
        <f t="shared" si="31"/>
        <v>2023</v>
      </c>
    </row>
    <row r="285" spans="1:8" hidden="1" x14ac:dyDescent="0.25">
      <c r="A285" s="128">
        <v>4031604</v>
      </c>
      <c r="B285" s="129">
        <v>45017</v>
      </c>
      <c r="C285" s="130" t="s">
        <v>238</v>
      </c>
      <c r="D285" s="131">
        <v>5324.32</v>
      </c>
      <c r="E285" s="132">
        <v>14236.16</v>
      </c>
      <c r="F285" s="133">
        <f t="shared" si="32"/>
        <v>2.6737987198365238</v>
      </c>
      <c r="G285" s="128" t="str">
        <f t="shared" si="30"/>
        <v>abril</v>
      </c>
      <c r="H285" s="128">
        <f t="shared" si="31"/>
        <v>2023</v>
      </c>
    </row>
    <row r="286" spans="1:8" hidden="1" x14ac:dyDescent="0.25">
      <c r="A286" s="128">
        <v>4031605</v>
      </c>
      <c r="B286" s="129">
        <v>45017</v>
      </c>
      <c r="C286" s="134" t="s">
        <v>240</v>
      </c>
      <c r="D286" s="135">
        <v>14.98</v>
      </c>
      <c r="E286" s="136">
        <v>47.49</v>
      </c>
      <c r="F286" s="133">
        <f t="shared" si="32"/>
        <v>3.1702269692923899</v>
      </c>
      <c r="G286" s="128" t="str">
        <f t="shared" si="30"/>
        <v>abril</v>
      </c>
      <c r="H286" s="128">
        <f t="shared" si="31"/>
        <v>2023</v>
      </c>
    </row>
    <row r="287" spans="1:8" hidden="1" x14ac:dyDescent="0.25">
      <c r="A287" s="128">
        <v>4031700</v>
      </c>
      <c r="B287" s="129">
        <v>45017</v>
      </c>
      <c r="C287" s="130" t="s">
        <v>242</v>
      </c>
      <c r="D287" s="131">
        <v>577</v>
      </c>
      <c r="E287" s="132">
        <v>1718.34</v>
      </c>
      <c r="F287" s="133">
        <f t="shared" si="32"/>
        <v>2.9780589254766028</v>
      </c>
      <c r="G287" s="128" t="str">
        <f t="shared" si="30"/>
        <v>abril</v>
      </c>
      <c r="H287" s="128">
        <f t="shared" si="31"/>
        <v>2023</v>
      </c>
    </row>
    <row r="288" spans="1:8" hidden="1" x14ac:dyDescent="0.25">
      <c r="A288" s="128">
        <v>4031812</v>
      </c>
      <c r="B288" s="129">
        <v>45017</v>
      </c>
      <c r="C288" s="134" t="s">
        <v>244</v>
      </c>
      <c r="D288" s="135">
        <v>433.47</v>
      </c>
      <c r="E288" s="136">
        <v>1319.84</v>
      </c>
      <c r="F288" s="133">
        <f t="shared" si="32"/>
        <v>3.044824324636076</v>
      </c>
      <c r="G288" s="128" t="str">
        <f t="shared" si="30"/>
        <v>abril</v>
      </c>
      <c r="H288" s="128">
        <f t="shared" si="31"/>
        <v>2023</v>
      </c>
    </row>
    <row r="289" spans="1:8" hidden="1" x14ac:dyDescent="0.25">
      <c r="A289" s="128">
        <v>4031813</v>
      </c>
      <c r="B289" s="129">
        <v>45017</v>
      </c>
      <c r="C289" s="130" t="s">
        <v>464</v>
      </c>
      <c r="D289" s="131">
        <v>350</v>
      </c>
      <c r="E289" s="132">
        <v>234.5</v>
      </c>
      <c r="F289" s="133">
        <f t="shared" si="32"/>
        <v>0.67</v>
      </c>
      <c r="G289" s="128" t="str">
        <f t="shared" si="30"/>
        <v>abril</v>
      </c>
      <c r="H289" s="128">
        <f t="shared" si="31"/>
        <v>2023</v>
      </c>
    </row>
    <row r="290" spans="1:8" hidden="1" x14ac:dyDescent="0.25">
      <c r="A290" s="128">
        <v>4031904</v>
      </c>
      <c r="B290" s="129">
        <v>45017</v>
      </c>
      <c r="C290" s="134" t="s">
        <v>246</v>
      </c>
      <c r="D290" s="135">
        <v>898.69</v>
      </c>
      <c r="E290" s="136">
        <v>2580.35</v>
      </c>
      <c r="F290" s="133">
        <f t="shared" si="32"/>
        <v>2.871234797316093</v>
      </c>
      <c r="G290" s="128" t="str">
        <f t="shared" ref="G290:G310" si="36">TEXT(B290,"mmmm")</f>
        <v>abril</v>
      </c>
      <c r="H290" s="128">
        <f t="shared" ref="H290:H310" si="37">YEAR(B290)</f>
        <v>2023</v>
      </c>
    </row>
    <row r="291" spans="1:8" hidden="1" x14ac:dyDescent="0.25">
      <c r="A291" s="58">
        <v>4032111</v>
      </c>
      <c r="B291" s="59">
        <v>45017</v>
      </c>
      <c r="C291" s="122" t="s">
        <v>314</v>
      </c>
      <c r="D291" s="123">
        <v>43.95</v>
      </c>
      <c r="E291" s="124">
        <v>230.95</v>
      </c>
      <c r="F291" s="62">
        <f t="shared" si="32"/>
        <v>5.2548350398179746</v>
      </c>
      <c r="G291" s="58" t="str">
        <f t="shared" si="36"/>
        <v>abril</v>
      </c>
      <c r="H291" s="58">
        <f t="shared" si="37"/>
        <v>2023</v>
      </c>
    </row>
    <row r="292" spans="1:8" hidden="1" x14ac:dyDescent="0.25">
      <c r="A292" s="58">
        <v>4032204</v>
      </c>
      <c r="B292" s="59">
        <v>45017</v>
      </c>
      <c r="C292" s="125" t="s">
        <v>315</v>
      </c>
      <c r="D292" s="126">
        <v>132.63</v>
      </c>
      <c r="E292" s="127">
        <v>687.8</v>
      </c>
      <c r="F292" s="62">
        <f t="shared" si="32"/>
        <v>5.1858553871673072</v>
      </c>
      <c r="G292" s="58" t="str">
        <f t="shared" si="36"/>
        <v>abril</v>
      </c>
      <c r="H292" s="58">
        <f t="shared" si="37"/>
        <v>2023</v>
      </c>
    </row>
    <row r="293" spans="1:8" hidden="1" x14ac:dyDescent="0.25">
      <c r="A293" s="73">
        <v>4032312</v>
      </c>
      <c r="B293" s="74">
        <v>45017</v>
      </c>
      <c r="C293" s="119" t="s">
        <v>252</v>
      </c>
      <c r="D293" s="120">
        <v>374.28</v>
      </c>
      <c r="E293" s="121">
        <v>1579.87</v>
      </c>
      <c r="F293" s="77">
        <f t="shared" si="32"/>
        <v>4.2210911616971254</v>
      </c>
      <c r="G293" s="73" t="str">
        <f t="shared" si="36"/>
        <v>abril</v>
      </c>
      <c r="H293" s="73">
        <f t="shared" si="37"/>
        <v>2023</v>
      </c>
    </row>
    <row r="294" spans="1:8" hidden="1" x14ac:dyDescent="0.25">
      <c r="A294" s="73">
        <v>4032404</v>
      </c>
      <c r="B294" s="74">
        <v>45017</v>
      </c>
      <c r="C294" s="116" t="s">
        <v>254</v>
      </c>
      <c r="D294" s="117">
        <v>85.87</v>
      </c>
      <c r="E294" s="118">
        <v>381.32</v>
      </c>
      <c r="F294" s="77">
        <f t="shared" si="32"/>
        <v>4.4406661232095024</v>
      </c>
      <c r="G294" s="73" t="str">
        <f t="shared" si="36"/>
        <v>abril</v>
      </c>
      <c r="H294" s="73">
        <f t="shared" si="37"/>
        <v>2023</v>
      </c>
    </row>
    <row r="295" spans="1:8" hidden="1" x14ac:dyDescent="0.25">
      <c r="A295" s="68">
        <v>4032500</v>
      </c>
      <c r="B295" s="69">
        <v>45017</v>
      </c>
      <c r="C295" s="143" t="s">
        <v>256</v>
      </c>
      <c r="D295" s="144">
        <v>248.44</v>
      </c>
      <c r="E295" s="145">
        <v>664.75</v>
      </c>
      <c r="F295" s="72">
        <f t="shared" si="32"/>
        <v>2.6756963451940106</v>
      </c>
      <c r="G295" s="68" t="str">
        <f t="shared" si="36"/>
        <v>abril</v>
      </c>
      <c r="H295" s="68">
        <f t="shared" si="37"/>
        <v>2023</v>
      </c>
    </row>
    <row r="296" spans="1:8" hidden="1" x14ac:dyDescent="0.25">
      <c r="A296" s="68">
        <v>4032611</v>
      </c>
      <c r="B296" s="69">
        <v>45017</v>
      </c>
      <c r="C296" s="146" t="s">
        <v>258</v>
      </c>
      <c r="D296" s="147">
        <v>84.12</v>
      </c>
      <c r="E296" s="148">
        <v>254.3</v>
      </c>
      <c r="F296" s="72">
        <f t="shared" ref="F296:F310" si="38">E296/D296</f>
        <v>3.023062291963861</v>
      </c>
      <c r="G296" s="68" t="str">
        <f t="shared" si="36"/>
        <v>abril</v>
      </c>
      <c r="H296" s="68">
        <f t="shared" si="37"/>
        <v>2023</v>
      </c>
    </row>
    <row r="297" spans="1:8" hidden="1" x14ac:dyDescent="0.25">
      <c r="A297" s="68">
        <v>4032704</v>
      </c>
      <c r="B297" s="69">
        <v>45017</v>
      </c>
      <c r="C297" s="143" t="s">
        <v>260</v>
      </c>
      <c r="D297" s="144">
        <v>311.35000000000002</v>
      </c>
      <c r="E297" s="145">
        <v>915.09</v>
      </c>
      <c r="F297" s="72">
        <f t="shared" si="38"/>
        <v>2.9391039023606873</v>
      </c>
      <c r="G297" s="68" t="str">
        <f t="shared" si="36"/>
        <v>abril</v>
      </c>
      <c r="H297" s="68">
        <f t="shared" si="37"/>
        <v>2023</v>
      </c>
    </row>
    <row r="298" spans="1:8" hidden="1" x14ac:dyDescent="0.25">
      <c r="A298" s="149">
        <v>4032800</v>
      </c>
      <c r="B298" s="150">
        <v>45017</v>
      </c>
      <c r="C298" s="155" t="s">
        <v>262</v>
      </c>
      <c r="D298" s="156">
        <v>77.58</v>
      </c>
      <c r="E298" s="157">
        <v>428.79</v>
      </c>
      <c r="F298" s="154">
        <f t="shared" si="38"/>
        <v>5.5270688321732413</v>
      </c>
      <c r="G298" s="149" t="str">
        <f t="shared" si="36"/>
        <v>abril</v>
      </c>
      <c r="H298" s="149">
        <f t="shared" si="37"/>
        <v>2023</v>
      </c>
    </row>
    <row r="299" spans="1:8" hidden="1" x14ac:dyDescent="0.25">
      <c r="A299" s="149">
        <v>4032902</v>
      </c>
      <c r="B299" s="150">
        <v>45017</v>
      </c>
      <c r="C299" s="151" t="s">
        <v>264</v>
      </c>
      <c r="D299" s="152">
        <v>56.46</v>
      </c>
      <c r="E299" s="153">
        <v>312.52999999999997</v>
      </c>
      <c r="F299" s="154">
        <f t="shared" si="38"/>
        <v>5.535423308537017</v>
      </c>
      <c r="G299" s="149" t="str">
        <f t="shared" si="36"/>
        <v>abril</v>
      </c>
      <c r="H299" s="149">
        <f t="shared" si="37"/>
        <v>2023</v>
      </c>
    </row>
    <row r="300" spans="1:8" hidden="1" x14ac:dyDescent="0.25">
      <c r="A300" s="58">
        <v>4033011</v>
      </c>
      <c r="B300" s="59">
        <v>45017</v>
      </c>
      <c r="C300" s="125" t="s">
        <v>266</v>
      </c>
      <c r="D300" s="126">
        <v>24.52</v>
      </c>
      <c r="E300" s="127">
        <v>126.31</v>
      </c>
      <c r="F300" s="62">
        <f t="shared" si="38"/>
        <v>5.1513050570962484</v>
      </c>
      <c r="G300" s="58" t="str">
        <f t="shared" si="36"/>
        <v>abril</v>
      </c>
      <c r="H300" s="58">
        <f t="shared" si="37"/>
        <v>2023</v>
      </c>
    </row>
    <row r="301" spans="1:8" hidden="1" x14ac:dyDescent="0.25">
      <c r="A301" s="58">
        <v>4033111</v>
      </c>
      <c r="B301" s="59">
        <v>45017</v>
      </c>
      <c r="C301" s="122" t="s">
        <v>268</v>
      </c>
      <c r="D301" s="123">
        <v>206.9</v>
      </c>
      <c r="E301" s="124">
        <v>882.37</v>
      </c>
      <c r="F301" s="62">
        <f t="shared" si="38"/>
        <v>4.264717254712421</v>
      </c>
      <c r="G301" s="58" t="str">
        <f t="shared" si="36"/>
        <v>abril</v>
      </c>
      <c r="H301" s="58">
        <f t="shared" si="37"/>
        <v>2023</v>
      </c>
    </row>
    <row r="302" spans="1:8" hidden="1" x14ac:dyDescent="0.25">
      <c r="A302" s="58">
        <v>4033211</v>
      </c>
      <c r="B302" s="59">
        <v>45017</v>
      </c>
      <c r="C302" s="125" t="s">
        <v>270</v>
      </c>
      <c r="D302" s="126">
        <v>76.239999999999995</v>
      </c>
      <c r="E302" s="127">
        <v>339.3</v>
      </c>
      <c r="F302" s="62">
        <f t="shared" si="38"/>
        <v>4.4504197271773354</v>
      </c>
      <c r="G302" s="58" t="str">
        <f t="shared" si="36"/>
        <v>abril</v>
      </c>
      <c r="H302" s="58">
        <f t="shared" si="37"/>
        <v>2023</v>
      </c>
    </row>
    <row r="303" spans="1:8" hidden="1" x14ac:dyDescent="0.25">
      <c r="A303">
        <v>4033311</v>
      </c>
      <c r="B303" s="1">
        <v>45017</v>
      </c>
      <c r="C303" s="93" t="s">
        <v>272</v>
      </c>
      <c r="D303" s="94">
        <v>11.8</v>
      </c>
      <c r="E303" s="95">
        <v>73.83</v>
      </c>
      <c r="F303" s="20">
        <f t="shared" si="38"/>
        <v>6.2567796610169486</v>
      </c>
      <c r="G303" t="str">
        <f t="shared" si="36"/>
        <v>abril</v>
      </c>
      <c r="H303">
        <f t="shared" si="37"/>
        <v>2023</v>
      </c>
    </row>
    <row r="304" spans="1:8" hidden="1" x14ac:dyDescent="0.25">
      <c r="A304" s="48">
        <v>4033400</v>
      </c>
      <c r="B304" s="49">
        <v>45017</v>
      </c>
      <c r="C304" s="110" t="s">
        <v>274</v>
      </c>
      <c r="D304" s="111">
        <v>636.5</v>
      </c>
      <c r="E304" s="112">
        <v>1862.36</v>
      </c>
      <c r="F304" s="52">
        <f t="shared" si="38"/>
        <v>2.9259387274155535</v>
      </c>
      <c r="G304" s="48" t="str">
        <f t="shared" si="36"/>
        <v>abril</v>
      </c>
      <c r="H304" s="48">
        <f t="shared" si="37"/>
        <v>2023</v>
      </c>
    </row>
    <row r="305" spans="1:8" hidden="1" x14ac:dyDescent="0.25">
      <c r="A305" s="48">
        <v>4033511</v>
      </c>
      <c r="B305" s="49">
        <v>45017</v>
      </c>
      <c r="C305" s="113" t="s">
        <v>276</v>
      </c>
      <c r="D305" s="114">
        <v>882.54</v>
      </c>
      <c r="E305" s="115">
        <v>2853.48</v>
      </c>
      <c r="F305" s="52">
        <f t="shared" si="38"/>
        <v>3.2332585491875725</v>
      </c>
      <c r="G305" s="48" t="str">
        <f t="shared" si="36"/>
        <v>abril</v>
      </c>
      <c r="H305" s="48">
        <f t="shared" si="37"/>
        <v>2023</v>
      </c>
    </row>
    <row r="306" spans="1:8" hidden="1" x14ac:dyDescent="0.25">
      <c r="A306" s="128">
        <v>4033900</v>
      </c>
      <c r="B306" s="129">
        <v>45017</v>
      </c>
      <c r="C306" s="134" t="s">
        <v>278</v>
      </c>
      <c r="D306" s="135">
        <v>67.760000000000005</v>
      </c>
      <c r="E306" s="136">
        <v>349.82</v>
      </c>
      <c r="F306" s="133">
        <f t="shared" si="38"/>
        <v>5.1626328217237303</v>
      </c>
      <c r="G306" s="128" t="str">
        <f t="shared" si="36"/>
        <v>abril</v>
      </c>
      <c r="H306" s="128">
        <f t="shared" si="37"/>
        <v>2023</v>
      </c>
    </row>
    <row r="307" spans="1:8" hidden="1" x14ac:dyDescent="0.25">
      <c r="A307" s="128">
        <v>4034011</v>
      </c>
      <c r="B307" s="129">
        <v>45017</v>
      </c>
      <c r="C307" s="130" t="s">
        <v>280</v>
      </c>
      <c r="D307" s="131">
        <v>728.62</v>
      </c>
      <c r="E307" s="132">
        <v>3782.45</v>
      </c>
      <c r="F307" s="133">
        <f t="shared" si="38"/>
        <v>5.1912519557519694</v>
      </c>
      <c r="G307" s="128" t="str">
        <f t="shared" si="36"/>
        <v>abril</v>
      </c>
      <c r="H307" s="128">
        <f t="shared" si="37"/>
        <v>2023</v>
      </c>
    </row>
    <row r="308" spans="1:8" hidden="1" x14ac:dyDescent="0.25">
      <c r="A308" s="158">
        <v>4034211</v>
      </c>
      <c r="B308" s="159">
        <v>45017</v>
      </c>
      <c r="C308" s="160" t="s">
        <v>282</v>
      </c>
      <c r="D308" s="161">
        <v>131.71</v>
      </c>
      <c r="E308" s="162">
        <v>572.27</v>
      </c>
      <c r="F308" s="163">
        <f t="shared" si="38"/>
        <v>4.3449244552425776</v>
      </c>
      <c r="G308" s="158" t="str">
        <f t="shared" si="36"/>
        <v>abril</v>
      </c>
      <c r="H308" s="158">
        <f t="shared" si="37"/>
        <v>2023</v>
      </c>
    </row>
    <row r="309" spans="1:8" hidden="1" x14ac:dyDescent="0.25">
      <c r="A309" s="42">
        <v>4034400</v>
      </c>
      <c r="B309" s="43">
        <v>45017</v>
      </c>
      <c r="C309" s="107" t="s">
        <v>284</v>
      </c>
      <c r="D309" s="108">
        <v>92.41</v>
      </c>
      <c r="E309" s="109">
        <v>246.25</v>
      </c>
      <c r="F309" s="46">
        <f t="shared" si="38"/>
        <v>2.664754896656206</v>
      </c>
      <c r="G309" s="42" t="str">
        <f t="shared" si="36"/>
        <v>abril</v>
      </c>
      <c r="H309" s="42">
        <f t="shared" si="37"/>
        <v>2023</v>
      </c>
    </row>
    <row r="310" spans="1:8" hidden="1" x14ac:dyDescent="0.25">
      <c r="A310" s="42">
        <v>4034502</v>
      </c>
      <c r="B310" s="43">
        <v>45017</v>
      </c>
      <c r="C310" s="104" t="s">
        <v>286</v>
      </c>
      <c r="D310" s="105">
        <v>38.39</v>
      </c>
      <c r="E310" s="106">
        <v>109.33</v>
      </c>
      <c r="F310" s="46">
        <f t="shared" si="38"/>
        <v>2.8478770513154466</v>
      </c>
      <c r="G310" s="42" t="str">
        <f t="shared" si="36"/>
        <v>abril</v>
      </c>
      <c r="H310" s="42">
        <f t="shared" si="37"/>
        <v>2023</v>
      </c>
    </row>
    <row r="311" spans="1:8" x14ac:dyDescent="0.25">
      <c r="A311" s="185">
        <v>3020103</v>
      </c>
      <c r="B311" s="38">
        <v>45047</v>
      </c>
      <c r="C311" s="101" t="s">
        <v>131</v>
      </c>
      <c r="D311" s="102">
        <v>6771.5</v>
      </c>
      <c r="E311" s="186">
        <v>22494.21</v>
      </c>
      <c r="F311" s="41">
        <f t="shared" ref="F311:F359" si="39">E311/D311</f>
        <v>3.3218947057520487</v>
      </c>
      <c r="G311" s="37" t="str">
        <f t="shared" ref="G311:G353" si="40">TEXT(B311,"mmmm")</f>
        <v>maio</v>
      </c>
      <c r="H311" s="37">
        <f t="shared" ref="H311:H353" si="41">YEAR(B311)</f>
        <v>2023</v>
      </c>
    </row>
    <row r="312" spans="1:8" x14ac:dyDescent="0.25">
      <c r="A312" s="187">
        <v>3020212</v>
      </c>
      <c r="B312" s="38">
        <v>45047</v>
      </c>
      <c r="C312" s="98" t="s">
        <v>133</v>
      </c>
      <c r="D312" s="99">
        <v>2158.7399999999998</v>
      </c>
      <c r="E312" s="188">
        <v>8170.92</v>
      </c>
      <c r="F312" s="41">
        <f t="shared" si="39"/>
        <v>3.7850412740765451</v>
      </c>
      <c r="G312" s="37" t="str">
        <f t="shared" si="40"/>
        <v>maio</v>
      </c>
      <c r="H312" s="37">
        <f t="shared" si="41"/>
        <v>2023</v>
      </c>
    </row>
    <row r="313" spans="1:8" x14ac:dyDescent="0.25">
      <c r="A313" s="185">
        <v>3020214</v>
      </c>
      <c r="B313" s="38">
        <v>45047</v>
      </c>
      <c r="C313" s="101" t="s">
        <v>135</v>
      </c>
      <c r="D313" s="102">
        <v>868.08</v>
      </c>
      <c r="E313" s="186">
        <v>3205.15</v>
      </c>
      <c r="F313" s="41">
        <f t="shared" si="39"/>
        <v>3.6922288268362364</v>
      </c>
      <c r="G313" s="37" t="str">
        <f t="shared" si="40"/>
        <v>maio</v>
      </c>
      <c r="H313" s="37">
        <f t="shared" si="41"/>
        <v>2023</v>
      </c>
    </row>
    <row r="314" spans="1:8" x14ac:dyDescent="0.25">
      <c r="A314" s="187">
        <v>3020315</v>
      </c>
      <c r="B314" s="38">
        <v>45047</v>
      </c>
      <c r="C314" s="98" t="s">
        <v>137</v>
      </c>
      <c r="D314" s="99">
        <v>3226.12</v>
      </c>
      <c r="E314" s="188">
        <v>11819.84</v>
      </c>
      <c r="F314" s="41">
        <f t="shared" si="39"/>
        <v>3.6637942791960625</v>
      </c>
      <c r="G314" s="37" t="str">
        <f t="shared" si="40"/>
        <v>maio</v>
      </c>
      <c r="H314" s="37">
        <f t="shared" si="41"/>
        <v>2023</v>
      </c>
    </row>
    <row r="315" spans="1:8" x14ac:dyDescent="0.25">
      <c r="A315" s="185">
        <v>3020316</v>
      </c>
      <c r="B315" s="38">
        <v>45047</v>
      </c>
      <c r="C315" s="101" t="s">
        <v>139</v>
      </c>
      <c r="D315" s="102">
        <v>177.98</v>
      </c>
      <c r="E315" s="186">
        <v>565.98</v>
      </c>
      <c r="F315" s="41">
        <f t="shared" si="39"/>
        <v>3.1800202269917972</v>
      </c>
      <c r="G315" s="37" t="str">
        <f t="shared" si="40"/>
        <v>maio</v>
      </c>
      <c r="H315" s="37">
        <f t="shared" si="41"/>
        <v>2023</v>
      </c>
    </row>
    <row r="316" spans="1:8" x14ac:dyDescent="0.25">
      <c r="A316" s="187">
        <v>3020402</v>
      </c>
      <c r="B316" s="38">
        <v>45047</v>
      </c>
      <c r="C316" s="98" t="s">
        <v>141</v>
      </c>
      <c r="D316" s="99">
        <v>2517.9</v>
      </c>
      <c r="E316" s="188">
        <v>9270.41</v>
      </c>
      <c r="F316" s="41">
        <f t="shared" si="39"/>
        <v>3.6818022955637635</v>
      </c>
      <c r="G316" s="37" t="str">
        <f t="shared" si="40"/>
        <v>maio</v>
      </c>
      <c r="H316" s="37">
        <f t="shared" si="41"/>
        <v>2023</v>
      </c>
    </row>
    <row r="317" spans="1:8" x14ac:dyDescent="0.25">
      <c r="A317" s="185">
        <v>3020504</v>
      </c>
      <c r="B317" s="38">
        <v>45047</v>
      </c>
      <c r="C317" s="101" t="s">
        <v>143</v>
      </c>
      <c r="D317" s="102">
        <v>703.13</v>
      </c>
      <c r="E317" s="186">
        <v>2653.99</v>
      </c>
      <c r="F317" s="41">
        <f t="shared" si="39"/>
        <v>3.7745367144055861</v>
      </c>
      <c r="G317" s="37" t="str">
        <f t="shared" si="40"/>
        <v>maio</v>
      </c>
      <c r="H317" s="37">
        <f t="shared" si="41"/>
        <v>2023</v>
      </c>
    </row>
    <row r="318" spans="1:8" x14ac:dyDescent="0.25">
      <c r="A318" s="179">
        <v>3020622</v>
      </c>
      <c r="B318" s="43">
        <v>45047</v>
      </c>
      <c r="C318" s="104" t="s">
        <v>145</v>
      </c>
      <c r="D318" s="105">
        <v>7738.13</v>
      </c>
      <c r="E318" s="180">
        <v>28395.63</v>
      </c>
      <c r="F318" s="46">
        <f t="shared" si="39"/>
        <v>3.6695726228429866</v>
      </c>
      <c r="G318" s="42" t="str">
        <f t="shared" si="40"/>
        <v>maio</v>
      </c>
      <c r="H318" s="42">
        <f t="shared" si="41"/>
        <v>2023</v>
      </c>
    </row>
    <row r="319" spans="1:8" x14ac:dyDescent="0.25">
      <c r="A319" s="177">
        <v>3020623</v>
      </c>
      <c r="B319" s="43">
        <v>45047</v>
      </c>
      <c r="C319" s="107" t="s">
        <v>147</v>
      </c>
      <c r="D319" s="108">
        <v>958.14</v>
      </c>
      <c r="E319" s="178">
        <v>3715.68</v>
      </c>
      <c r="F319" s="46">
        <f t="shared" si="39"/>
        <v>3.8780136514496837</v>
      </c>
      <c r="G319" s="42" t="str">
        <f t="shared" si="40"/>
        <v>maio</v>
      </c>
      <c r="H319" s="42">
        <f t="shared" si="41"/>
        <v>2023</v>
      </c>
    </row>
    <row r="320" spans="1:8" x14ac:dyDescent="0.25">
      <c r="A320" s="179">
        <v>3020725</v>
      </c>
      <c r="B320" s="43">
        <v>45047</v>
      </c>
      <c r="C320" s="104" t="s">
        <v>149</v>
      </c>
      <c r="D320" s="105">
        <v>454.16</v>
      </c>
      <c r="E320" s="180">
        <v>1749.07</v>
      </c>
      <c r="F320" s="46">
        <f t="shared" si="39"/>
        <v>3.8512198344195876</v>
      </c>
      <c r="G320" s="42" t="str">
        <f t="shared" si="40"/>
        <v>maio</v>
      </c>
      <c r="H320" s="42">
        <f t="shared" si="41"/>
        <v>2023</v>
      </c>
    </row>
    <row r="321" spans="1:8" x14ac:dyDescent="0.25">
      <c r="A321" s="177">
        <v>3020823</v>
      </c>
      <c r="B321" s="43">
        <v>45047</v>
      </c>
      <c r="C321" s="107" t="s">
        <v>151</v>
      </c>
      <c r="D321" s="108">
        <v>1550.92</v>
      </c>
      <c r="E321" s="178">
        <v>5940.15</v>
      </c>
      <c r="F321" s="46">
        <f t="shared" si="39"/>
        <v>3.8300815000128954</v>
      </c>
      <c r="G321" s="42" t="str">
        <f t="shared" si="40"/>
        <v>maio</v>
      </c>
      <c r="H321" s="42">
        <f t="shared" si="41"/>
        <v>2023</v>
      </c>
    </row>
    <row r="322" spans="1:8" x14ac:dyDescent="0.25">
      <c r="A322" s="179">
        <v>3020824</v>
      </c>
      <c r="B322" s="43">
        <v>45047</v>
      </c>
      <c r="C322" s="104" t="s">
        <v>153</v>
      </c>
      <c r="D322" s="105">
        <v>2274.61</v>
      </c>
      <c r="E322" s="180">
        <v>8460.2000000000007</v>
      </c>
      <c r="F322" s="46">
        <f t="shared" si="39"/>
        <v>3.7194068433709515</v>
      </c>
      <c r="G322" s="42" t="str">
        <f t="shared" si="40"/>
        <v>maio</v>
      </c>
      <c r="H322" s="42">
        <f t="shared" si="41"/>
        <v>2023</v>
      </c>
    </row>
    <row r="323" spans="1:8" x14ac:dyDescent="0.25">
      <c r="A323" s="177">
        <v>3020825</v>
      </c>
      <c r="B323" s="43">
        <v>45047</v>
      </c>
      <c r="C323" s="107" t="s">
        <v>455</v>
      </c>
      <c r="D323" s="108">
        <v>260.35000000000002</v>
      </c>
      <c r="E323" s="178">
        <v>1041.42</v>
      </c>
      <c r="F323" s="46">
        <f t="shared" si="39"/>
        <v>4.0000768196658347</v>
      </c>
      <c r="G323" s="42" t="str">
        <f t="shared" si="40"/>
        <v>maio</v>
      </c>
      <c r="H323" s="42">
        <f t="shared" si="41"/>
        <v>2023</v>
      </c>
    </row>
    <row r="324" spans="1:8" x14ac:dyDescent="0.25">
      <c r="A324" s="179">
        <v>3020924</v>
      </c>
      <c r="B324" s="43">
        <v>45047</v>
      </c>
      <c r="C324" s="104" t="s">
        <v>155</v>
      </c>
      <c r="D324" s="105">
        <v>1469.62</v>
      </c>
      <c r="E324" s="180">
        <v>5644.74</v>
      </c>
      <c r="F324" s="46">
        <f t="shared" si="39"/>
        <v>3.8409520828513495</v>
      </c>
      <c r="G324" s="42" t="str">
        <f t="shared" si="40"/>
        <v>maio</v>
      </c>
      <c r="H324" s="42">
        <f t="shared" si="41"/>
        <v>2023</v>
      </c>
    </row>
    <row r="325" spans="1:8" x14ac:dyDescent="0.25">
      <c r="A325" s="177">
        <v>3020925</v>
      </c>
      <c r="B325" s="43">
        <v>45047</v>
      </c>
      <c r="C325" s="107" t="s">
        <v>157</v>
      </c>
      <c r="D325" s="108">
        <v>2164</v>
      </c>
      <c r="E325" s="178">
        <v>8210.23</v>
      </c>
      <c r="F325" s="46">
        <f t="shared" si="39"/>
        <v>3.7940064695009239</v>
      </c>
      <c r="G325" s="42" t="str">
        <f t="shared" si="40"/>
        <v>maio</v>
      </c>
      <c r="H325" s="42">
        <f t="shared" si="41"/>
        <v>2023</v>
      </c>
    </row>
    <row r="326" spans="1:8" x14ac:dyDescent="0.25">
      <c r="A326" s="189">
        <v>3021435</v>
      </c>
      <c r="B326" s="190">
        <v>45047</v>
      </c>
      <c r="C326" s="191" t="s">
        <v>159</v>
      </c>
      <c r="D326" s="192">
        <v>730.05</v>
      </c>
      <c r="E326" s="193">
        <v>2380.5500000000002</v>
      </c>
      <c r="F326" s="194">
        <f t="shared" si="39"/>
        <v>3.2608040545168144</v>
      </c>
      <c r="G326" s="195" t="str">
        <f t="shared" si="40"/>
        <v>maio</v>
      </c>
      <c r="H326" s="195">
        <f t="shared" si="41"/>
        <v>2023</v>
      </c>
    </row>
    <row r="327" spans="1:8" x14ac:dyDescent="0.25">
      <c r="A327" s="196">
        <v>3021436</v>
      </c>
      <c r="B327" s="190">
        <v>45047</v>
      </c>
      <c r="C327" s="197" t="s">
        <v>546</v>
      </c>
      <c r="D327" s="198">
        <v>287.01</v>
      </c>
      <c r="E327" s="199">
        <v>924.65</v>
      </c>
      <c r="F327" s="194">
        <f t="shared" si="39"/>
        <v>3.2216647503571303</v>
      </c>
      <c r="G327" s="195" t="str">
        <f t="shared" si="40"/>
        <v>maio</v>
      </c>
      <c r="H327" s="195">
        <f t="shared" si="41"/>
        <v>2023</v>
      </c>
    </row>
    <row r="328" spans="1:8" x14ac:dyDescent="0.25">
      <c r="A328" s="189">
        <v>3021537</v>
      </c>
      <c r="B328" s="190">
        <v>45047</v>
      </c>
      <c r="C328" s="191" t="s">
        <v>161</v>
      </c>
      <c r="D328" s="192">
        <v>22.65</v>
      </c>
      <c r="E328" s="193">
        <v>75.5</v>
      </c>
      <c r="F328" s="194">
        <f t="shared" si="39"/>
        <v>3.3333333333333335</v>
      </c>
      <c r="G328" s="195" t="str">
        <f t="shared" si="40"/>
        <v>maio</v>
      </c>
      <c r="H328" s="195">
        <f t="shared" si="41"/>
        <v>2023</v>
      </c>
    </row>
    <row r="329" spans="1:8" x14ac:dyDescent="0.25">
      <c r="A329" s="196">
        <v>3021538</v>
      </c>
      <c r="B329" s="190">
        <v>45047</v>
      </c>
      <c r="C329" s="197" t="s">
        <v>548</v>
      </c>
      <c r="D329" s="198">
        <v>41.73</v>
      </c>
      <c r="E329" s="199">
        <v>118.93</v>
      </c>
      <c r="F329" s="194">
        <f t="shared" si="39"/>
        <v>2.8499880182123176</v>
      </c>
      <c r="G329" s="195" t="str">
        <f t="shared" si="40"/>
        <v>maio</v>
      </c>
      <c r="H329" s="195">
        <f t="shared" si="41"/>
        <v>2023</v>
      </c>
    </row>
    <row r="330" spans="1:8" x14ac:dyDescent="0.25">
      <c r="A330" s="189">
        <v>3021638</v>
      </c>
      <c r="B330" s="190">
        <v>45047</v>
      </c>
      <c r="C330" s="191" t="s">
        <v>163</v>
      </c>
      <c r="D330" s="192">
        <v>34.04</v>
      </c>
      <c r="E330" s="193">
        <v>114.1</v>
      </c>
      <c r="F330" s="194">
        <f t="shared" si="39"/>
        <v>3.3519388954171561</v>
      </c>
      <c r="G330" s="195" t="str">
        <f t="shared" si="40"/>
        <v>maio</v>
      </c>
      <c r="H330" s="195">
        <f t="shared" si="41"/>
        <v>2023</v>
      </c>
    </row>
    <row r="331" spans="1:8" x14ac:dyDescent="0.25">
      <c r="A331" s="196">
        <v>3021639</v>
      </c>
      <c r="B331" s="190">
        <v>45047</v>
      </c>
      <c r="C331" s="197" t="s">
        <v>457</v>
      </c>
      <c r="D331" s="198">
        <v>28.35</v>
      </c>
      <c r="E331" s="199">
        <v>83.35</v>
      </c>
      <c r="F331" s="194">
        <f t="shared" si="39"/>
        <v>2.9400352733686064</v>
      </c>
      <c r="G331" s="195" t="str">
        <f t="shared" si="40"/>
        <v>maio</v>
      </c>
      <c r="H331" s="195">
        <f t="shared" si="41"/>
        <v>2023</v>
      </c>
    </row>
    <row r="332" spans="1:8" x14ac:dyDescent="0.25">
      <c r="A332" s="189">
        <v>3021739</v>
      </c>
      <c r="B332" s="190">
        <v>45047</v>
      </c>
      <c r="C332" s="191" t="s">
        <v>165</v>
      </c>
      <c r="D332" s="192">
        <v>273.25</v>
      </c>
      <c r="E332" s="193">
        <v>776.54</v>
      </c>
      <c r="F332" s="194">
        <f t="shared" si="39"/>
        <v>2.8418664226898445</v>
      </c>
      <c r="G332" s="195" t="str">
        <f t="shared" si="40"/>
        <v>maio</v>
      </c>
      <c r="H332" s="195">
        <f t="shared" si="41"/>
        <v>2023</v>
      </c>
    </row>
    <row r="333" spans="1:8" x14ac:dyDescent="0.25">
      <c r="A333" s="196">
        <v>3021740</v>
      </c>
      <c r="B333" s="190">
        <v>45047</v>
      </c>
      <c r="C333" s="197" t="s">
        <v>459</v>
      </c>
      <c r="D333" s="198">
        <v>166.26</v>
      </c>
      <c r="E333" s="199">
        <v>485.64</v>
      </c>
      <c r="F333" s="194">
        <f t="shared" si="39"/>
        <v>2.920967159870083</v>
      </c>
      <c r="G333" s="195" t="str">
        <f t="shared" si="40"/>
        <v>maio</v>
      </c>
      <c r="H333" s="195">
        <f t="shared" si="41"/>
        <v>2023</v>
      </c>
    </row>
    <row r="334" spans="1:8" x14ac:dyDescent="0.25">
      <c r="A334" s="179">
        <v>3021760</v>
      </c>
      <c r="B334" s="43">
        <v>45047</v>
      </c>
      <c r="C334" s="104" t="s">
        <v>167</v>
      </c>
      <c r="D334" s="105">
        <v>1382.39</v>
      </c>
      <c r="E334" s="180">
        <v>3479.41</v>
      </c>
      <c r="F334" s="46">
        <f t="shared" si="39"/>
        <v>2.5169525242514772</v>
      </c>
      <c r="G334" s="42" t="str">
        <f t="shared" si="40"/>
        <v>maio</v>
      </c>
      <c r="H334" s="42">
        <f t="shared" si="41"/>
        <v>2023</v>
      </c>
    </row>
    <row r="335" spans="1:8" x14ac:dyDescent="0.25">
      <c r="A335" s="185">
        <v>3021811</v>
      </c>
      <c r="B335" s="38">
        <v>45047</v>
      </c>
      <c r="C335" s="101" t="s">
        <v>169</v>
      </c>
      <c r="D335" s="102">
        <v>719.65</v>
      </c>
      <c r="E335" s="186">
        <v>1808.92</v>
      </c>
      <c r="F335" s="41">
        <f t="shared" si="39"/>
        <v>2.5136107830195233</v>
      </c>
      <c r="G335" s="37" t="str">
        <f t="shared" si="40"/>
        <v>maio</v>
      </c>
      <c r="H335" s="37">
        <f t="shared" si="41"/>
        <v>2023</v>
      </c>
    </row>
    <row r="336" spans="1:8" x14ac:dyDescent="0.25">
      <c r="A336" s="187">
        <v>3021812</v>
      </c>
      <c r="B336" s="38">
        <v>45047</v>
      </c>
      <c r="C336" s="98" t="s">
        <v>171</v>
      </c>
      <c r="D336" s="99">
        <v>725.21</v>
      </c>
      <c r="E336" s="188">
        <v>1703.54</v>
      </c>
      <c r="F336" s="41">
        <f t="shared" si="39"/>
        <v>2.3490299361564233</v>
      </c>
      <c r="G336" s="37" t="str">
        <f t="shared" si="40"/>
        <v>maio</v>
      </c>
      <c r="H336" s="37">
        <f t="shared" si="41"/>
        <v>2023</v>
      </c>
    </row>
    <row r="337" spans="1:8" x14ac:dyDescent="0.25">
      <c r="A337" s="164">
        <v>3022100</v>
      </c>
      <c r="B337" s="165">
        <v>45047</v>
      </c>
      <c r="C337" s="93" t="s">
        <v>173</v>
      </c>
      <c r="D337" s="94">
        <v>220.5</v>
      </c>
      <c r="E337" s="166">
        <v>842.84</v>
      </c>
      <c r="F337" s="20">
        <f t="shared" si="39"/>
        <v>3.8224036281179141</v>
      </c>
      <c r="G337" t="str">
        <f t="shared" si="40"/>
        <v>maio</v>
      </c>
      <c r="H337">
        <f t="shared" si="41"/>
        <v>2023</v>
      </c>
    </row>
    <row r="338" spans="1:8" x14ac:dyDescent="0.25">
      <c r="A338" s="167">
        <v>3022208</v>
      </c>
      <c r="B338" s="165">
        <v>45047</v>
      </c>
      <c r="C338" s="96" t="s">
        <v>173</v>
      </c>
      <c r="D338" s="97">
        <v>392.59</v>
      </c>
      <c r="E338" s="168">
        <v>1497.23</v>
      </c>
      <c r="F338" s="20">
        <f t="shared" si="39"/>
        <v>3.8137242415751804</v>
      </c>
      <c r="G338" t="str">
        <f t="shared" si="40"/>
        <v>maio</v>
      </c>
      <c r="H338">
        <f t="shared" si="41"/>
        <v>2023</v>
      </c>
    </row>
    <row r="339" spans="1:8" x14ac:dyDescent="0.25">
      <c r="A339" s="200">
        <v>3022311</v>
      </c>
      <c r="B339" s="49">
        <v>45047</v>
      </c>
      <c r="C339" s="113" t="s">
        <v>176</v>
      </c>
      <c r="D339" s="114">
        <v>2568.9299999999998</v>
      </c>
      <c r="E339" s="201">
        <v>6132.18</v>
      </c>
      <c r="F339" s="52">
        <f t="shared" si="39"/>
        <v>2.3870560895002981</v>
      </c>
      <c r="G339" s="48" t="str">
        <f t="shared" si="40"/>
        <v>maio</v>
      </c>
      <c r="H339" s="48">
        <f t="shared" si="41"/>
        <v>2023</v>
      </c>
    </row>
    <row r="340" spans="1:8" x14ac:dyDescent="0.25">
      <c r="A340" s="202">
        <v>3022411</v>
      </c>
      <c r="B340" s="49">
        <v>45047</v>
      </c>
      <c r="C340" s="110" t="s">
        <v>178</v>
      </c>
      <c r="D340" s="111">
        <v>75.55</v>
      </c>
      <c r="E340" s="203">
        <v>204.12</v>
      </c>
      <c r="F340" s="52">
        <f t="shared" si="39"/>
        <v>2.7017868960953013</v>
      </c>
      <c r="G340" s="48" t="str">
        <f t="shared" si="40"/>
        <v>maio</v>
      </c>
      <c r="H340" s="48">
        <f t="shared" si="41"/>
        <v>2023</v>
      </c>
    </row>
    <row r="341" spans="1:8" x14ac:dyDescent="0.25">
      <c r="A341" s="200">
        <v>3022511</v>
      </c>
      <c r="B341" s="49">
        <v>45047</v>
      </c>
      <c r="C341" s="113" t="s">
        <v>180</v>
      </c>
      <c r="D341" s="114">
        <v>8.5299999999999994</v>
      </c>
      <c r="E341" s="201">
        <v>22.14</v>
      </c>
      <c r="F341" s="52">
        <f t="shared" si="39"/>
        <v>2.5955451348182885</v>
      </c>
      <c r="G341" s="48" t="str">
        <f t="shared" si="40"/>
        <v>maio</v>
      </c>
      <c r="H341" s="48">
        <f t="shared" si="41"/>
        <v>2023</v>
      </c>
    </row>
    <row r="342" spans="1:8" x14ac:dyDescent="0.25">
      <c r="A342" s="173">
        <v>3022601</v>
      </c>
      <c r="B342" s="59">
        <v>45047</v>
      </c>
      <c r="C342" s="125" t="s">
        <v>182</v>
      </c>
      <c r="D342" s="126">
        <v>276.25</v>
      </c>
      <c r="E342" s="174">
        <v>1150.53</v>
      </c>
      <c r="F342" s="62">
        <f t="shared" si="39"/>
        <v>4.1648144796380091</v>
      </c>
      <c r="G342" s="58" t="str">
        <f t="shared" si="40"/>
        <v>maio</v>
      </c>
      <c r="H342" s="58">
        <f t="shared" si="41"/>
        <v>2023</v>
      </c>
    </row>
    <row r="343" spans="1:8" x14ac:dyDescent="0.25">
      <c r="A343" s="175">
        <v>3022703</v>
      </c>
      <c r="B343" s="59">
        <v>45047</v>
      </c>
      <c r="C343" s="122" t="s">
        <v>184</v>
      </c>
      <c r="D343" s="123">
        <v>765</v>
      </c>
      <c r="E343" s="176">
        <v>2018.6</v>
      </c>
      <c r="F343" s="62">
        <f t="shared" si="39"/>
        <v>2.638692810457516</v>
      </c>
      <c r="G343" s="58" t="str">
        <f t="shared" si="40"/>
        <v>maio</v>
      </c>
      <c r="H343" s="58">
        <f t="shared" si="41"/>
        <v>2023</v>
      </c>
    </row>
    <row r="344" spans="1:8" x14ac:dyDescent="0.25">
      <c r="A344" s="173">
        <v>3022805</v>
      </c>
      <c r="B344" s="59">
        <v>45047</v>
      </c>
      <c r="C344" s="125" t="s">
        <v>186</v>
      </c>
      <c r="D344" s="126">
        <v>4865</v>
      </c>
      <c r="E344" s="174">
        <v>10257.9</v>
      </c>
      <c r="F344" s="62">
        <f t="shared" si="39"/>
        <v>2.1085097636176773</v>
      </c>
      <c r="G344" s="58" t="str">
        <f t="shared" si="40"/>
        <v>maio</v>
      </c>
      <c r="H344" s="58">
        <f t="shared" si="41"/>
        <v>2023</v>
      </c>
    </row>
    <row r="345" spans="1:8" x14ac:dyDescent="0.25">
      <c r="A345" s="175">
        <v>3022906</v>
      </c>
      <c r="B345" s="59">
        <v>45047</v>
      </c>
      <c r="C345" s="122" t="s">
        <v>188</v>
      </c>
      <c r="D345" s="123">
        <v>4340</v>
      </c>
      <c r="E345" s="176">
        <v>8879.73</v>
      </c>
      <c r="F345" s="62">
        <f t="shared" si="39"/>
        <v>2.046020737327189</v>
      </c>
      <c r="G345" s="58" t="str">
        <f t="shared" si="40"/>
        <v>maio</v>
      </c>
      <c r="H345" s="58">
        <f t="shared" si="41"/>
        <v>2023</v>
      </c>
    </row>
    <row r="346" spans="1:8" x14ac:dyDescent="0.25">
      <c r="A346" s="173">
        <v>3023007</v>
      </c>
      <c r="B346" s="59">
        <v>45047</v>
      </c>
      <c r="C346" s="125" t="s">
        <v>190</v>
      </c>
      <c r="D346" s="126">
        <v>2880</v>
      </c>
      <c r="E346" s="174">
        <v>5880.6</v>
      </c>
      <c r="F346" s="62">
        <f t="shared" si="39"/>
        <v>2.0418750000000001</v>
      </c>
      <c r="G346" s="58" t="str">
        <f t="shared" si="40"/>
        <v>maio</v>
      </c>
      <c r="H346" s="58">
        <f t="shared" si="41"/>
        <v>2023</v>
      </c>
    </row>
    <row r="347" spans="1:8" x14ac:dyDescent="0.25">
      <c r="A347" s="169">
        <v>4030100</v>
      </c>
      <c r="B347" s="150">
        <v>45047</v>
      </c>
      <c r="C347" s="151" t="s">
        <v>200</v>
      </c>
      <c r="D347" s="152">
        <v>425.37</v>
      </c>
      <c r="E347" s="170">
        <v>2607.4899999999998</v>
      </c>
      <c r="F347" s="154">
        <f t="shared" si="39"/>
        <v>6.1299339398641175</v>
      </c>
      <c r="G347" s="149" t="str">
        <f t="shared" si="40"/>
        <v>maio</v>
      </c>
      <c r="H347" s="149">
        <f t="shared" si="41"/>
        <v>2023</v>
      </c>
    </row>
    <row r="348" spans="1:8" x14ac:dyDescent="0.25">
      <c r="A348" s="171">
        <v>4030211</v>
      </c>
      <c r="B348" s="150">
        <v>45047</v>
      </c>
      <c r="C348" s="155" t="s">
        <v>202</v>
      </c>
      <c r="D348" s="156">
        <v>350.2</v>
      </c>
      <c r="E348" s="172">
        <v>2180.5700000000002</v>
      </c>
      <c r="F348" s="154">
        <f t="shared" si="39"/>
        <v>6.2266419189034847</v>
      </c>
      <c r="G348" s="149" t="str">
        <f t="shared" si="40"/>
        <v>maio</v>
      </c>
      <c r="H348" s="149">
        <f t="shared" si="41"/>
        <v>2023</v>
      </c>
    </row>
    <row r="349" spans="1:8" x14ac:dyDescent="0.25">
      <c r="A349" s="169">
        <v>4030311</v>
      </c>
      <c r="B349" s="150">
        <v>45047</v>
      </c>
      <c r="C349" s="151" t="s">
        <v>204</v>
      </c>
      <c r="D349" s="152">
        <v>310.35000000000002</v>
      </c>
      <c r="E349" s="170">
        <v>2091.2800000000002</v>
      </c>
      <c r="F349" s="154">
        <f t="shared" si="39"/>
        <v>6.738456581279201</v>
      </c>
      <c r="G349" s="149" t="str">
        <f t="shared" si="40"/>
        <v>maio</v>
      </c>
      <c r="H349" s="149">
        <f t="shared" si="41"/>
        <v>2023</v>
      </c>
    </row>
    <row r="350" spans="1:8" x14ac:dyDescent="0.25">
      <c r="A350" s="171">
        <v>4030401</v>
      </c>
      <c r="B350" s="150">
        <v>45047</v>
      </c>
      <c r="C350" s="155" t="s">
        <v>206</v>
      </c>
      <c r="D350" s="156">
        <v>822.69</v>
      </c>
      <c r="E350" s="172">
        <v>4207.8</v>
      </c>
      <c r="F350" s="154">
        <f t="shared" si="39"/>
        <v>5.1146847536739228</v>
      </c>
      <c r="G350" s="149" t="str">
        <f t="shared" si="40"/>
        <v>maio</v>
      </c>
      <c r="H350" s="149">
        <f t="shared" si="41"/>
        <v>2023</v>
      </c>
    </row>
    <row r="351" spans="1:8" x14ac:dyDescent="0.25">
      <c r="A351" s="169">
        <v>4030511</v>
      </c>
      <c r="B351" s="150">
        <v>45047</v>
      </c>
      <c r="C351" s="151" t="s">
        <v>208</v>
      </c>
      <c r="D351" s="152">
        <v>15.4</v>
      </c>
      <c r="E351" s="170">
        <v>61.72</v>
      </c>
      <c r="F351" s="154">
        <f t="shared" si="39"/>
        <v>4.0077922077922077</v>
      </c>
      <c r="G351" s="149" t="str">
        <f t="shared" si="40"/>
        <v>maio</v>
      </c>
      <c r="H351" s="149">
        <f t="shared" si="41"/>
        <v>2023</v>
      </c>
    </row>
    <row r="352" spans="1:8" x14ac:dyDescent="0.25">
      <c r="A352" s="171">
        <v>4030532</v>
      </c>
      <c r="B352" s="150">
        <v>45047</v>
      </c>
      <c r="C352" s="155" t="s">
        <v>210</v>
      </c>
      <c r="D352" s="156">
        <v>27.7</v>
      </c>
      <c r="E352" s="172">
        <v>145.76</v>
      </c>
      <c r="F352" s="154">
        <f t="shared" si="39"/>
        <v>5.2620938628158846</v>
      </c>
      <c r="G352" s="149" t="str">
        <f t="shared" si="40"/>
        <v>maio</v>
      </c>
      <c r="H352" s="149">
        <f t="shared" si="41"/>
        <v>2023</v>
      </c>
    </row>
    <row r="353" spans="1:8" x14ac:dyDescent="0.25">
      <c r="A353" s="177">
        <v>4030600</v>
      </c>
      <c r="B353" s="43">
        <v>45047</v>
      </c>
      <c r="C353" s="107" t="s">
        <v>212</v>
      </c>
      <c r="D353" s="108">
        <v>632</v>
      </c>
      <c r="E353" s="178">
        <v>1998.65</v>
      </c>
      <c r="F353" s="46">
        <f t="shared" si="39"/>
        <v>3.1624208860759495</v>
      </c>
      <c r="G353" s="42" t="str">
        <f t="shared" si="40"/>
        <v>maio</v>
      </c>
      <c r="H353" s="42">
        <f t="shared" si="41"/>
        <v>2023</v>
      </c>
    </row>
    <row r="354" spans="1:8" x14ac:dyDescent="0.25">
      <c r="A354" s="179">
        <v>4030711</v>
      </c>
      <c r="B354" s="43">
        <v>45047</v>
      </c>
      <c r="C354" s="104" t="s">
        <v>214</v>
      </c>
      <c r="D354" s="105">
        <v>1071.02</v>
      </c>
      <c r="E354" s="180">
        <v>3554.68</v>
      </c>
      <c r="F354" s="46">
        <f t="shared" si="39"/>
        <v>3.3189669660697279</v>
      </c>
      <c r="G354" s="42" t="str">
        <f t="shared" ref="G354:G394" si="42">TEXT(B354,"mmmm")</f>
        <v>maio</v>
      </c>
      <c r="H354" s="42">
        <f t="shared" ref="H354:H394" si="43">YEAR(B354)</f>
        <v>2023</v>
      </c>
    </row>
    <row r="355" spans="1:8" x14ac:dyDescent="0.25">
      <c r="A355" s="181">
        <v>4030811</v>
      </c>
      <c r="B355" s="74">
        <v>45047</v>
      </c>
      <c r="C355" s="119" t="s">
        <v>216</v>
      </c>
      <c r="D355" s="120">
        <v>2129.85</v>
      </c>
      <c r="E355" s="182">
        <v>6693.4</v>
      </c>
      <c r="F355" s="77">
        <f t="shared" si="39"/>
        <v>3.1426626288236261</v>
      </c>
      <c r="G355" s="73" t="str">
        <f t="shared" si="42"/>
        <v>maio</v>
      </c>
      <c r="H355" s="73">
        <f t="shared" si="43"/>
        <v>2023</v>
      </c>
    </row>
    <row r="356" spans="1:8" x14ac:dyDescent="0.25">
      <c r="A356" s="183">
        <v>4030813</v>
      </c>
      <c r="B356" s="74">
        <v>45047</v>
      </c>
      <c r="C356" s="116" t="s">
        <v>218</v>
      </c>
      <c r="D356" s="117">
        <v>1877.88</v>
      </c>
      <c r="E356" s="184">
        <v>5614.58</v>
      </c>
      <c r="F356" s="77">
        <f t="shared" si="39"/>
        <v>2.9898502566724177</v>
      </c>
      <c r="G356" s="73" t="str">
        <f t="shared" si="42"/>
        <v>maio</v>
      </c>
      <c r="H356" s="73">
        <f t="shared" si="43"/>
        <v>2023</v>
      </c>
    </row>
    <row r="357" spans="1:8" x14ac:dyDescent="0.25">
      <c r="A357" s="183">
        <v>4030910</v>
      </c>
      <c r="B357" s="74">
        <v>45047</v>
      </c>
      <c r="C357" s="116" t="s">
        <v>222</v>
      </c>
      <c r="D357" s="117">
        <v>420.42</v>
      </c>
      <c r="E357" s="184">
        <v>1273.08</v>
      </c>
      <c r="F357" s="77">
        <f t="shared" ref="F357" si="44">E357/D357</f>
        <v>3.0281147424004562</v>
      </c>
      <c r="G357" s="73" t="str">
        <f t="shared" ref="G357" si="45">TEXT(B357,"mmmm")</f>
        <v>maio</v>
      </c>
      <c r="H357" s="73">
        <f t="shared" ref="H357" si="46">YEAR(B357)</f>
        <v>2023</v>
      </c>
    </row>
    <row r="358" spans="1:8" x14ac:dyDescent="0.25">
      <c r="A358" s="185">
        <v>4030900</v>
      </c>
      <c r="B358" s="38">
        <v>45047</v>
      </c>
      <c r="C358" s="101" t="s">
        <v>220</v>
      </c>
      <c r="D358" s="102">
        <v>5397.71</v>
      </c>
      <c r="E358" s="186">
        <v>16420.66</v>
      </c>
      <c r="F358" s="41">
        <f t="shared" si="39"/>
        <v>3.0421530612055854</v>
      </c>
      <c r="G358" s="37" t="str">
        <f t="shared" si="42"/>
        <v>maio</v>
      </c>
      <c r="H358" s="37">
        <f t="shared" si="43"/>
        <v>2023</v>
      </c>
    </row>
    <row r="359" spans="1:8" x14ac:dyDescent="0.25">
      <c r="A359" s="185">
        <v>4031012</v>
      </c>
      <c r="B359" s="38">
        <v>45047</v>
      </c>
      <c r="C359" s="101" t="s">
        <v>224</v>
      </c>
      <c r="D359" s="102">
        <v>1229.3599999999999</v>
      </c>
      <c r="E359" s="186">
        <v>3760</v>
      </c>
      <c r="F359" s="41">
        <f t="shared" si="39"/>
        <v>3.058501984772565</v>
      </c>
      <c r="G359" s="37" t="str">
        <f t="shared" si="42"/>
        <v>maio</v>
      </c>
      <c r="H359" s="37">
        <f t="shared" si="43"/>
        <v>2023</v>
      </c>
    </row>
    <row r="360" spans="1:8" x14ac:dyDescent="0.25">
      <c r="A360" s="187">
        <v>4031017</v>
      </c>
      <c r="B360" s="38">
        <v>45047</v>
      </c>
      <c r="C360" s="98" t="s">
        <v>226</v>
      </c>
      <c r="D360" s="99">
        <v>895</v>
      </c>
      <c r="E360" s="188">
        <v>2974.75</v>
      </c>
      <c r="F360" s="41">
        <f t="shared" ref="F360:F394" si="47">E360/D360</f>
        <v>3.3237430167597766</v>
      </c>
      <c r="G360" s="37" t="str">
        <f t="shared" si="42"/>
        <v>maio</v>
      </c>
      <c r="H360" s="37">
        <f t="shared" si="43"/>
        <v>2023</v>
      </c>
    </row>
    <row r="361" spans="1:8" x14ac:dyDescent="0.25">
      <c r="A361" s="187">
        <v>4031102</v>
      </c>
      <c r="B361" s="38">
        <v>45047</v>
      </c>
      <c r="C361" s="98" t="s">
        <v>228</v>
      </c>
      <c r="D361" s="99">
        <v>12085.77</v>
      </c>
      <c r="E361" s="188">
        <v>35552.769999999997</v>
      </c>
      <c r="F361" s="41">
        <f t="shared" ref="F361" si="48">E361/D361</f>
        <v>2.9417049968682174</v>
      </c>
      <c r="G361" s="37" t="str">
        <f t="shared" ref="G361" si="49">TEXT(B361,"mmmm")</f>
        <v>maio</v>
      </c>
      <c r="H361" s="37">
        <f t="shared" ref="H361" si="50">YEAR(B361)</f>
        <v>2023</v>
      </c>
    </row>
    <row r="362" spans="1:8" x14ac:dyDescent="0.25">
      <c r="A362" s="177">
        <v>4031018</v>
      </c>
      <c r="B362" s="43">
        <v>45047</v>
      </c>
      <c r="C362" s="107" t="s">
        <v>550</v>
      </c>
      <c r="D362" s="108">
        <v>70</v>
      </c>
      <c r="E362" s="178">
        <v>234.5</v>
      </c>
      <c r="F362" s="46">
        <f t="shared" si="47"/>
        <v>3.35</v>
      </c>
      <c r="G362" s="42" t="str">
        <f t="shared" si="42"/>
        <v>maio</v>
      </c>
      <c r="H362" s="42">
        <f t="shared" si="43"/>
        <v>2023</v>
      </c>
    </row>
    <row r="363" spans="1:8" x14ac:dyDescent="0.25">
      <c r="A363" s="177">
        <v>4031200</v>
      </c>
      <c r="B363" s="43">
        <v>45047</v>
      </c>
      <c r="C363" s="107" t="s">
        <v>230</v>
      </c>
      <c r="D363" s="108">
        <v>1258.5</v>
      </c>
      <c r="E363" s="178">
        <v>3763.26</v>
      </c>
      <c r="F363" s="46">
        <f t="shared" si="47"/>
        <v>2.9902741358760432</v>
      </c>
      <c r="G363" s="42" t="str">
        <f t="shared" si="42"/>
        <v>maio</v>
      </c>
      <c r="H363" s="42">
        <f t="shared" si="43"/>
        <v>2023</v>
      </c>
    </row>
    <row r="364" spans="1:8" x14ac:dyDescent="0.25">
      <c r="A364" s="179">
        <v>4031304</v>
      </c>
      <c r="B364" s="43">
        <v>45047</v>
      </c>
      <c r="C364" s="104" t="s">
        <v>232</v>
      </c>
      <c r="D364" s="105">
        <v>1288.5999999999999</v>
      </c>
      <c r="E364" s="180">
        <v>3753.58</v>
      </c>
      <c r="F364" s="46">
        <f t="shared" si="47"/>
        <v>2.9129132391742978</v>
      </c>
      <c r="G364" s="42" t="str">
        <f t="shared" si="42"/>
        <v>maio</v>
      </c>
      <c r="H364" s="42">
        <f t="shared" si="43"/>
        <v>2023</v>
      </c>
    </row>
    <row r="365" spans="1:8" x14ac:dyDescent="0.25">
      <c r="A365" s="177">
        <v>4031411</v>
      </c>
      <c r="B365" s="43">
        <v>45047</v>
      </c>
      <c r="C365" s="107" t="s">
        <v>234</v>
      </c>
      <c r="D365" s="108">
        <v>98.74</v>
      </c>
      <c r="E365" s="178">
        <v>302</v>
      </c>
      <c r="F365" s="46">
        <f t="shared" si="47"/>
        <v>3.058537573425157</v>
      </c>
      <c r="G365" s="42" t="str">
        <f t="shared" si="42"/>
        <v>maio</v>
      </c>
      <c r="H365" s="42">
        <f t="shared" si="43"/>
        <v>2023</v>
      </c>
    </row>
    <row r="366" spans="1:8" x14ac:dyDescent="0.25">
      <c r="A366" s="179">
        <v>4031500</v>
      </c>
      <c r="B366" s="43">
        <v>45047</v>
      </c>
      <c r="C366" s="104" t="s">
        <v>236</v>
      </c>
      <c r="D366" s="105">
        <v>6544.86</v>
      </c>
      <c r="E366" s="180">
        <v>18603.87</v>
      </c>
      <c r="F366" s="46">
        <f t="shared" si="47"/>
        <v>2.8425161118801623</v>
      </c>
      <c r="G366" s="42" t="str">
        <f t="shared" si="42"/>
        <v>maio</v>
      </c>
      <c r="H366" s="42">
        <f t="shared" si="43"/>
        <v>2023</v>
      </c>
    </row>
    <row r="367" spans="1:8" x14ac:dyDescent="0.25">
      <c r="A367" s="177">
        <v>4031604</v>
      </c>
      <c r="B367" s="43">
        <v>45047</v>
      </c>
      <c r="C367" s="107" t="s">
        <v>238</v>
      </c>
      <c r="D367" s="108">
        <v>6939.55</v>
      </c>
      <c r="E367" s="178">
        <v>18783.97</v>
      </c>
      <c r="F367" s="46">
        <f t="shared" si="47"/>
        <v>2.7067994322398428</v>
      </c>
      <c r="G367" s="42" t="str">
        <f t="shared" si="42"/>
        <v>maio</v>
      </c>
      <c r="H367" s="42">
        <f t="shared" si="43"/>
        <v>2023</v>
      </c>
    </row>
    <row r="368" spans="1:8" x14ac:dyDescent="0.25">
      <c r="A368" s="179">
        <v>4031605</v>
      </c>
      <c r="B368" s="43">
        <v>45047</v>
      </c>
      <c r="C368" s="104" t="s">
        <v>240</v>
      </c>
      <c r="D368" s="105">
        <v>89.29</v>
      </c>
      <c r="E368" s="180">
        <v>287.08</v>
      </c>
      <c r="F368" s="46">
        <f t="shared" si="47"/>
        <v>3.2151416731996858</v>
      </c>
      <c r="G368" s="42" t="str">
        <f t="shared" si="42"/>
        <v>maio</v>
      </c>
      <c r="H368" s="42">
        <f t="shared" si="43"/>
        <v>2023</v>
      </c>
    </row>
    <row r="369" spans="1:8" x14ac:dyDescent="0.25">
      <c r="A369" s="177">
        <v>4031700</v>
      </c>
      <c r="B369" s="43">
        <v>45047</v>
      </c>
      <c r="C369" s="107" t="s">
        <v>242</v>
      </c>
      <c r="D369" s="108">
        <v>840.64</v>
      </c>
      <c r="E369" s="178">
        <v>2491.9699999999998</v>
      </c>
      <c r="F369" s="46">
        <f t="shared" si="47"/>
        <v>2.9643723829463262</v>
      </c>
      <c r="G369" s="42" t="str">
        <f t="shared" si="42"/>
        <v>maio</v>
      </c>
      <c r="H369" s="42">
        <f t="shared" si="43"/>
        <v>2023</v>
      </c>
    </row>
    <row r="370" spans="1:8" x14ac:dyDescent="0.25">
      <c r="A370" s="179">
        <v>4031812</v>
      </c>
      <c r="B370" s="43">
        <v>45047</v>
      </c>
      <c r="C370" s="104" t="s">
        <v>244</v>
      </c>
      <c r="D370" s="105">
        <v>514.76</v>
      </c>
      <c r="E370" s="180">
        <v>1592.1</v>
      </c>
      <c r="F370" s="46">
        <f t="shared" si="47"/>
        <v>3.092897661045924</v>
      </c>
      <c r="G370" s="42" t="str">
        <f t="shared" si="42"/>
        <v>maio</v>
      </c>
      <c r="H370" s="42">
        <f t="shared" si="43"/>
        <v>2023</v>
      </c>
    </row>
    <row r="371" spans="1:8" x14ac:dyDescent="0.25">
      <c r="A371" s="177">
        <v>4031813</v>
      </c>
      <c r="B371" s="43">
        <v>45047</v>
      </c>
      <c r="C371" s="107" t="s">
        <v>551</v>
      </c>
      <c r="D371" s="108">
        <v>70</v>
      </c>
      <c r="E371" s="178">
        <v>234.5</v>
      </c>
      <c r="F371" s="46">
        <f t="shared" si="47"/>
        <v>3.35</v>
      </c>
      <c r="G371" s="42" t="str">
        <f t="shared" si="42"/>
        <v>maio</v>
      </c>
      <c r="H371" s="42">
        <f t="shared" si="43"/>
        <v>2023</v>
      </c>
    </row>
    <row r="372" spans="1:8" x14ac:dyDescent="0.25">
      <c r="A372" s="179">
        <v>4031904</v>
      </c>
      <c r="B372" s="43">
        <v>45047</v>
      </c>
      <c r="C372" s="104" t="s">
        <v>246</v>
      </c>
      <c r="D372" s="105">
        <v>1063.1600000000001</v>
      </c>
      <c r="E372" s="180">
        <v>3097.75</v>
      </c>
      <c r="F372" s="46">
        <f t="shared" si="47"/>
        <v>2.9137194777832121</v>
      </c>
      <c r="G372" s="42" t="str">
        <f t="shared" si="42"/>
        <v>maio</v>
      </c>
      <c r="H372" s="42">
        <f t="shared" si="43"/>
        <v>2023</v>
      </c>
    </row>
    <row r="373" spans="1:8" x14ac:dyDescent="0.25">
      <c r="A373" s="200">
        <v>4032111</v>
      </c>
      <c r="B373" s="49">
        <v>45047</v>
      </c>
      <c r="C373" s="113" t="s">
        <v>248</v>
      </c>
      <c r="D373" s="114">
        <v>65.55</v>
      </c>
      <c r="E373" s="201">
        <v>341.68</v>
      </c>
      <c r="F373" s="52">
        <f t="shared" si="47"/>
        <v>5.2125095347063315</v>
      </c>
      <c r="G373" s="48" t="str">
        <f t="shared" si="42"/>
        <v>maio</v>
      </c>
      <c r="H373" s="48">
        <f t="shared" si="43"/>
        <v>2023</v>
      </c>
    </row>
    <row r="374" spans="1:8" x14ac:dyDescent="0.25">
      <c r="A374" s="202">
        <v>4032204</v>
      </c>
      <c r="B374" s="49">
        <v>45047</v>
      </c>
      <c r="C374" s="110" t="s">
        <v>250</v>
      </c>
      <c r="D374" s="111">
        <v>187.78</v>
      </c>
      <c r="E374" s="203">
        <v>955.86</v>
      </c>
      <c r="F374" s="52">
        <f t="shared" si="47"/>
        <v>5.0903184577697305</v>
      </c>
      <c r="G374" s="48" t="str">
        <f t="shared" si="42"/>
        <v>maio</v>
      </c>
      <c r="H374" s="48">
        <f t="shared" si="43"/>
        <v>2023</v>
      </c>
    </row>
    <row r="375" spans="1:8" x14ac:dyDescent="0.25">
      <c r="A375" s="200">
        <v>4032205</v>
      </c>
      <c r="B375" s="49">
        <v>45047</v>
      </c>
      <c r="C375" s="113" t="s">
        <v>553</v>
      </c>
      <c r="D375" s="114">
        <v>95.84</v>
      </c>
      <c r="E375" s="201">
        <v>488.82</v>
      </c>
      <c r="F375" s="52">
        <f t="shared" si="47"/>
        <v>5.1003756260434052</v>
      </c>
      <c r="G375" s="48" t="str">
        <f t="shared" si="42"/>
        <v>maio</v>
      </c>
      <c r="H375" s="48">
        <f t="shared" si="43"/>
        <v>2023</v>
      </c>
    </row>
    <row r="376" spans="1:8" x14ac:dyDescent="0.25">
      <c r="A376" s="202">
        <v>4032206</v>
      </c>
      <c r="B376" s="49">
        <v>45047</v>
      </c>
      <c r="C376" s="110" t="s">
        <v>555</v>
      </c>
      <c r="D376" s="111">
        <v>21.31</v>
      </c>
      <c r="E376" s="203">
        <v>108.71</v>
      </c>
      <c r="F376" s="52">
        <f t="shared" si="47"/>
        <v>5.1013608634443921</v>
      </c>
      <c r="G376" s="48" t="str">
        <f t="shared" si="42"/>
        <v>maio</v>
      </c>
      <c r="H376" s="48">
        <f t="shared" si="43"/>
        <v>2023</v>
      </c>
    </row>
    <row r="377" spans="1:8" x14ac:dyDescent="0.25">
      <c r="A377" s="185">
        <v>4032312</v>
      </c>
      <c r="B377" s="38">
        <v>45047</v>
      </c>
      <c r="C377" s="101" t="s">
        <v>252</v>
      </c>
      <c r="D377" s="102">
        <v>623.72</v>
      </c>
      <c r="E377" s="186">
        <v>2626.29</v>
      </c>
      <c r="F377" s="41">
        <f t="shared" si="47"/>
        <v>4.2106874879753731</v>
      </c>
      <c r="G377" s="37" t="str">
        <f t="shared" si="42"/>
        <v>maio</v>
      </c>
      <c r="H377" s="37">
        <f t="shared" si="43"/>
        <v>2023</v>
      </c>
    </row>
    <row r="378" spans="1:8" x14ac:dyDescent="0.25">
      <c r="A378" s="187">
        <v>4032404</v>
      </c>
      <c r="B378" s="38">
        <v>45047</v>
      </c>
      <c r="C378" s="98" t="s">
        <v>254</v>
      </c>
      <c r="D378" s="99">
        <v>86.98</v>
      </c>
      <c r="E378" s="188">
        <v>385.84</v>
      </c>
      <c r="F378" s="41">
        <f t="shared" si="47"/>
        <v>4.4359622901816502</v>
      </c>
      <c r="G378" s="37" t="str">
        <f t="shared" si="42"/>
        <v>maio</v>
      </c>
      <c r="H378" s="37">
        <f t="shared" si="43"/>
        <v>2023</v>
      </c>
    </row>
    <row r="379" spans="1:8" x14ac:dyDescent="0.25">
      <c r="A379" s="175">
        <v>4032500</v>
      </c>
      <c r="B379" s="59">
        <v>45047</v>
      </c>
      <c r="C379" s="122" t="s">
        <v>256</v>
      </c>
      <c r="D379" s="123">
        <v>730.81</v>
      </c>
      <c r="E379" s="176">
        <v>1984.19</v>
      </c>
      <c r="F379" s="62">
        <f t="shared" si="47"/>
        <v>2.7150558968815428</v>
      </c>
      <c r="G379" s="58" t="str">
        <f t="shared" si="42"/>
        <v>maio</v>
      </c>
      <c r="H379" s="58">
        <f t="shared" si="43"/>
        <v>2023</v>
      </c>
    </row>
    <row r="380" spans="1:8" x14ac:dyDescent="0.25">
      <c r="A380" s="173">
        <v>4032611</v>
      </c>
      <c r="B380" s="59">
        <v>45047</v>
      </c>
      <c r="C380" s="125" t="s">
        <v>258</v>
      </c>
      <c r="D380" s="126">
        <v>73.86</v>
      </c>
      <c r="E380" s="174">
        <v>232.52</v>
      </c>
      <c r="F380" s="62">
        <f t="shared" si="47"/>
        <v>3.1481180611968589</v>
      </c>
      <c r="G380" s="58" t="str">
        <f t="shared" si="42"/>
        <v>maio</v>
      </c>
      <c r="H380" s="58">
        <f t="shared" si="43"/>
        <v>2023</v>
      </c>
    </row>
    <row r="381" spans="1:8" x14ac:dyDescent="0.25">
      <c r="A381" s="175">
        <v>4032704</v>
      </c>
      <c r="B381" s="59">
        <v>45047</v>
      </c>
      <c r="C381" s="122" t="s">
        <v>260</v>
      </c>
      <c r="D381" s="123">
        <v>398</v>
      </c>
      <c r="E381" s="176">
        <v>1189.1400000000001</v>
      </c>
      <c r="F381" s="62">
        <f t="shared" si="47"/>
        <v>2.9877889447236186</v>
      </c>
      <c r="G381" s="58" t="str">
        <f t="shared" si="42"/>
        <v>maio</v>
      </c>
      <c r="H381" s="58">
        <f t="shared" si="43"/>
        <v>2023</v>
      </c>
    </row>
    <row r="382" spans="1:8" x14ac:dyDescent="0.25">
      <c r="A382" s="204">
        <v>4032800</v>
      </c>
      <c r="B382" s="205">
        <v>45047</v>
      </c>
      <c r="C382" s="206" t="s">
        <v>262</v>
      </c>
      <c r="D382" s="207">
        <v>158.66999999999999</v>
      </c>
      <c r="E382" s="208">
        <v>862.36</v>
      </c>
      <c r="F382" s="209">
        <f t="shared" si="47"/>
        <v>5.4349278376504699</v>
      </c>
      <c r="G382" s="210" t="str">
        <f t="shared" si="42"/>
        <v>maio</v>
      </c>
      <c r="H382" s="210">
        <f t="shared" si="43"/>
        <v>2023</v>
      </c>
    </row>
    <row r="383" spans="1:8" x14ac:dyDescent="0.25">
      <c r="A383" s="211">
        <v>4032902</v>
      </c>
      <c r="B383" s="205">
        <v>45047</v>
      </c>
      <c r="C383" s="212" t="s">
        <v>264</v>
      </c>
      <c r="D383" s="213">
        <v>156.22999999999999</v>
      </c>
      <c r="E383" s="214">
        <v>812.07</v>
      </c>
      <c r="F383" s="209">
        <f t="shared" si="47"/>
        <v>5.1979133329066123</v>
      </c>
      <c r="G383" s="210" t="str">
        <f t="shared" si="42"/>
        <v>maio</v>
      </c>
      <c r="H383" s="210">
        <f t="shared" si="43"/>
        <v>2023</v>
      </c>
    </row>
    <row r="384" spans="1:8" x14ac:dyDescent="0.25">
      <c r="A384" s="215">
        <v>4033011</v>
      </c>
      <c r="B384" s="69">
        <v>45047</v>
      </c>
      <c r="C384" s="146" t="s">
        <v>266</v>
      </c>
      <c r="D384" s="147">
        <v>168.66</v>
      </c>
      <c r="E384" s="216">
        <v>868.67</v>
      </c>
      <c r="F384" s="72">
        <f t="shared" si="47"/>
        <v>5.1504209652555435</v>
      </c>
      <c r="G384" s="68" t="str">
        <f t="shared" si="42"/>
        <v>maio</v>
      </c>
      <c r="H384" s="68">
        <f t="shared" si="43"/>
        <v>2023</v>
      </c>
    </row>
    <row r="385" spans="1:8" x14ac:dyDescent="0.25">
      <c r="A385" s="217">
        <v>4033111</v>
      </c>
      <c r="B385" s="69">
        <v>45047</v>
      </c>
      <c r="C385" s="143" t="s">
        <v>268</v>
      </c>
      <c r="D385" s="144">
        <v>571.54999999999995</v>
      </c>
      <c r="E385" s="218">
        <v>2406.59</v>
      </c>
      <c r="F385" s="72">
        <f t="shared" si="47"/>
        <v>4.2106377394803607</v>
      </c>
      <c r="G385" s="68" t="str">
        <f t="shared" si="42"/>
        <v>maio</v>
      </c>
      <c r="H385" s="68">
        <f t="shared" si="43"/>
        <v>2023</v>
      </c>
    </row>
    <row r="386" spans="1:8" x14ac:dyDescent="0.25">
      <c r="A386" s="215">
        <v>4033211</v>
      </c>
      <c r="B386" s="69">
        <v>45047</v>
      </c>
      <c r="C386" s="146" t="s">
        <v>270</v>
      </c>
      <c r="D386" s="147">
        <v>61.22</v>
      </c>
      <c r="E386" s="216">
        <v>273.35000000000002</v>
      </c>
      <c r="F386" s="72">
        <f t="shared" si="47"/>
        <v>4.4650441032342378</v>
      </c>
      <c r="G386" s="68" t="str">
        <f t="shared" si="42"/>
        <v>maio</v>
      </c>
      <c r="H386" s="68">
        <f t="shared" si="43"/>
        <v>2023</v>
      </c>
    </row>
    <row r="387" spans="1:8" x14ac:dyDescent="0.25">
      <c r="A387" s="164">
        <v>4033311</v>
      </c>
      <c r="B387" s="165">
        <v>45047</v>
      </c>
      <c r="C387" s="93" t="s">
        <v>272</v>
      </c>
      <c r="D387" s="94">
        <v>46.69</v>
      </c>
      <c r="E387" s="168">
        <v>283</v>
      </c>
      <c r="F387" s="20">
        <f t="shared" si="47"/>
        <v>6.0612550867423431</v>
      </c>
      <c r="G387" t="str">
        <f t="shared" si="42"/>
        <v>maio</v>
      </c>
      <c r="H387">
        <f t="shared" si="43"/>
        <v>2023</v>
      </c>
    </row>
    <row r="388" spans="1:8" x14ac:dyDescent="0.25">
      <c r="A388" s="219">
        <v>4033400</v>
      </c>
      <c r="B388" s="159">
        <v>45047</v>
      </c>
      <c r="C388" s="160" t="s">
        <v>274</v>
      </c>
      <c r="D388" s="161">
        <v>759.46</v>
      </c>
      <c r="E388" s="220">
        <v>2257.7800000000002</v>
      </c>
      <c r="F388" s="163">
        <f t="shared" si="47"/>
        <v>2.9728754641455772</v>
      </c>
      <c r="G388" s="158" t="str">
        <f t="shared" si="42"/>
        <v>maio</v>
      </c>
      <c r="H388" s="158">
        <f t="shared" si="43"/>
        <v>2023</v>
      </c>
    </row>
    <row r="389" spans="1:8" x14ac:dyDescent="0.25">
      <c r="A389" s="221">
        <v>4033511</v>
      </c>
      <c r="B389" s="159">
        <v>45047</v>
      </c>
      <c r="C389" s="222" t="s">
        <v>276</v>
      </c>
      <c r="D389" s="223">
        <v>1507.22</v>
      </c>
      <c r="E389" s="224">
        <v>4831.34</v>
      </c>
      <c r="F389" s="163">
        <f t="shared" si="47"/>
        <v>3.2054643648571544</v>
      </c>
      <c r="G389" s="158" t="str">
        <f t="shared" si="42"/>
        <v>maio</v>
      </c>
      <c r="H389" s="158">
        <f t="shared" si="43"/>
        <v>2023</v>
      </c>
    </row>
    <row r="390" spans="1:8" x14ac:dyDescent="0.25">
      <c r="A390" s="187">
        <v>4033900</v>
      </c>
      <c r="B390" s="38">
        <v>45047</v>
      </c>
      <c r="C390" s="98" t="s">
        <v>278</v>
      </c>
      <c r="D390" s="99">
        <v>65.31</v>
      </c>
      <c r="E390" s="188">
        <v>334.53</v>
      </c>
      <c r="F390" s="41">
        <f t="shared" si="47"/>
        <v>5.1221864951768481</v>
      </c>
      <c r="G390" s="37" t="str">
        <f t="shared" si="42"/>
        <v>maio</v>
      </c>
      <c r="H390" s="37">
        <f t="shared" si="43"/>
        <v>2023</v>
      </c>
    </row>
    <row r="391" spans="1:8" x14ac:dyDescent="0.25">
      <c r="A391" s="185">
        <v>4034011</v>
      </c>
      <c r="B391" s="38">
        <v>45047</v>
      </c>
      <c r="C391" s="101" t="s">
        <v>280</v>
      </c>
      <c r="D391" s="102">
        <v>830.38</v>
      </c>
      <c r="E391" s="186">
        <v>4308</v>
      </c>
      <c r="F391" s="41">
        <f t="shared" si="47"/>
        <v>5.1879862231749323</v>
      </c>
      <c r="G391" s="37" t="str">
        <f t="shared" si="42"/>
        <v>maio</v>
      </c>
      <c r="H391" s="37">
        <f t="shared" si="43"/>
        <v>2023</v>
      </c>
    </row>
    <row r="392" spans="1:8" x14ac:dyDescent="0.25">
      <c r="A392" s="179">
        <v>4034211</v>
      </c>
      <c r="B392" s="43">
        <v>45047</v>
      </c>
      <c r="C392" s="104" t="s">
        <v>282</v>
      </c>
      <c r="D392" s="105">
        <v>134</v>
      </c>
      <c r="E392" s="178">
        <v>580</v>
      </c>
      <c r="F392" s="46">
        <f t="shared" si="47"/>
        <v>4.3283582089552235</v>
      </c>
      <c r="G392" s="42" t="str">
        <f t="shared" si="42"/>
        <v>maio</v>
      </c>
      <c r="H392" s="42">
        <f t="shared" si="43"/>
        <v>2023</v>
      </c>
    </row>
    <row r="393" spans="1:8" x14ac:dyDescent="0.25">
      <c r="A393" s="175">
        <v>4034400</v>
      </c>
      <c r="B393" s="59">
        <v>45047</v>
      </c>
      <c r="C393" s="122" t="s">
        <v>284</v>
      </c>
      <c r="D393" s="123">
        <v>137</v>
      </c>
      <c r="E393" s="176">
        <v>364</v>
      </c>
      <c r="F393" s="62">
        <f t="shared" si="47"/>
        <v>2.6569343065693429</v>
      </c>
      <c r="G393" s="58" t="str">
        <f t="shared" si="42"/>
        <v>maio</v>
      </c>
      <c r="H393" s="58">
        <f t="shared" si="43"/>
        <v>2023</v>
      </c>
    </row>
    <row r="394" spans="1:8" x14ac:dyDescent="0.25">
      <c r="A394" s="173">
        <v>4034502</v>
      </c>
      <c r="B394" s="59">
        <v>45047</v>
      </c>
      <c r="C394" s="125" t="s">
        <v>286</v>
      </c>
      <c r="D394" s="126">
        <v>20</v>
      </c>
      <c r="E394" s="174">
        <v>58</v>
      </c>
      <c r="F394" s="62">
        <f t="shared" si="47"/>
        <v>2.9</v>
      </c>
      <c r="G394" s="58" t="str">
        <f t="shared" si="42"/>
        <v>maio</v>
      </c>
      <c r="H394" s="58">
        <f t="shared" si="43"/>
        <v>2023</v>
      </c>
    </row>
    <row r="395" spans="1:8" hidden="1" x14ac:dyDescent="0.25">
      <c r="A395">
        <v>3020103</v>
      </c>
      <c r="B395" s="1">
        <v>45078</v>
      </c>
      <c r="C395" t="s">
        <v>131</v>
      </c>
      <c r="D395">
        <v>8281.69</v>
      </c>
      <c r="E395" s="14">
        <v>27021.040000000001</v>
      </c>
      <c r="F395" s="20">
        <f t="shared" ref="F395:F409" si="51">E395/D395</f>
        <v>3.2627446813391954</v>
      </c>
      <c r="G395" t="str">
        <f t="shared" ref="G395:G403" si="52">TEXT(B395,"mmmm")</f>
        <v>junho</v>
      </c>
      <c r="H395">
        <f t="shared" ref="H395:H403" si="53">YEAR(B395)</f>
        <v>2023</v>
      </c>
    </row>
    <row r="396" spans="1:8" hidden="1" x14ac:dyDescent="0.25">
      <c r="A396">
        <v>3020212</v>
      </c>
      <c r="B396" s="1">
        <v>45078</v>
      </c>
      <c r="C396" t="s">
        <v>133</v>
      </c>
      <c r="D396">
        <v>2647.84</v>
      </c>
      <c r="E396" s="14">
        <v>9866.57</v>
      </c>
      <c r="F396" s="20">
        <f t="shared" si="51"/>
        <v>3.7262712248474226</v>
      </c>
      <c r="G396" t="str">
        <f t="shared" si="52"/>
        <v>junho</v>
      </c>
      <c r="H396">
        <f t="shared" si="53"/>
        <v>2023</v>
      </c>
    </row>
    <row r="397" spans="1:8" hidden="1" x14ac:dyDescent="0.25">
      <c r="A397">
        <v>3020214</v>
      </c>
      <c r="B397" s="1">
        <v>45078</v>
      </c>
      <c r="C397" t="s">
        <v>634</v>
      </c>
      <c r="D397">
        <v>1328.66</v>
      </c>
      <c r="E397" s="14">
        <v>4743.53</v>
      </c>
      <c r="F397" s="20">
        <f t="shared" si="51"/>
        <v>3.5701609140035822</v>
      </c>
      <c r="G397" t="str">
        <f t="shared" si="52"/>
        <v>junho</v>
      </c>
      <c r="H397">
        <f t="shared" si="53"/>
        <v>2023</v>
      </c>
    </row>
    <row r="398" spans="1:8" hidden="1" x14ac:dyDescent="0.25">
      <c r="A398">
        <v>3020315</v>
      </c>
      <c r="B398" s="1">
        <v>45078</v>
      </c>
      <c r="C398" t="s">
        <v>137</v>
      </c>
      <c r="D398">
        <v>4114.6099999999997</v>
      </c>
      <c r="E398" s="14">
        <v>14985.47</v>
      </c>
      <c r="F398" s="20">
        <f t="shared" si="51"/>
        <v>3.6420146745378057</v>
      </c>
      <c r="G398" t="str">
        <f t="shared" si="52"/>
        <v>junho</v>
      </c>
      <c r="H398">
        <f t="shared" si="53"/>
        <v>2023</v>
      </c>
    </row>
    <row r="399" spans="1:8" hidden="1" x14ac:dyDescent="0.25">
      <c r="A399">
        <v>3020316</v>
      </c>
      <c r="B399" s="1">
        <v>45078</v>
      </c>
      <c r="C399" t="s">
        <v>139</v>
      </c>
      <c r="D399">
        <v>95.96</v>
      </c>
      <c r="E399" s="14">
        <v>305.16000000000003</v>
      </c>
      <c r="F399" s="20">
        <f t="shared" si="51"/>
        <v>3.1800750312630268</v>
      </c>
      <c r="G399" t="str">
        <f t="shared" si="52"/>
        <v>junho</v>
      </c>
      <c r="H399">
        <f t="shared" si="53"/>
        <v>2023</v>
      </c>
    </row>
    <row r="400" spans="1:8" hidden="1" x14ac:dyDescent="0.25">
      <c r="A400">
        <v>3020402</v>
      </c>
      <c r="B400" s="1">
        <v>45078</v>
      </c>
      <c r="C400" t="s">
        <v>141</v>
      </c>
      <c r="D400">
        <v>2167.62</v>
      </c>
      <c r="E400" s="14">
        <v>7682.54</v>
      </c>
      <c r="F400" s="20">
        <f t="shared" si="51"/>
        <v>3.5442282318856626</v>
      </c>
      <c r="G400" t="str">
        <f t="shared" si="52"/>
        <v>junho</v>
      </c>
      <c r="H400">
        <f t="shared" si="53"/>
        <v>2023</v>
      </c>
    </row>
    <row r="401" spans="1:8" hidden="1" x14ac:dyDescent="0.25">
      <c r="A401">
        <v>3020504</v>
      </c>
      <c r="B401" s="1">
        <v>45078</v>
      </c>
      <c r="C401" t="s">
        <v>143</v>
      </c>
      <c r="D401">
        <v>564.16</v>
      </c>
      <c r="E401" s="14">
        <v>2135.06</v>
      </c>
      <c r="F401" s="20">
        <f t="shared" si="51"/>
        <v>3.7844937606352809</v>
      </c>
      <c r="G401" t="str">
        <f t="shared" si="52"/>
        <v>junho</v>
      </c>
      <c r="H401">
        <f t="shared" si="53"/>
        <v>2023</v>
      </c>
    </row>
    <row r="402" spans="1:8" hidden="1" x14ac:dyDescent="0.25">
      <c r="A402">
        <v>3020622</v>
      </c>
      <c r="B402" s="1">
        <v>45078</v>
      </c>
      <c r="C402" t="s">
        <v>145</v>
      </c>
      <c r="D402">
        <v>5660.88</v>
      </c>
      <c r="E402" s="14">
        <v>20902.91</v>
      </c>
      <c r="F402" s="20">
        <f t="shared" si="51"/>
        <v>3.6925195375983946</v>
      </c>
      <c r="G402" t="str">
        <f t="shared" si="52"/>
        <v>junho</v>
      </c>
      <c r="H402">
        <f t="shared" si="53"/>
        <v>2023</v>
      </c>
    </row>
    <row r="403" spans="1:8" hidden="1" x14ac:dyDescent="0.25">
      <c r="A403">
        <v>3020623</v>
      </c>
      <c r="B403" s="1">
        <v>45078</v>
      </c>
      <c r="C403" t="s">
        <v>147</v>
      </c>
      <c r="D403">
        <v>876.12</v>
      </c>
      <c r="E403" s="14">
        <v>3410.33</v>
      </c>
      <c r="F403" s="20">
        <f t="shared" si="51"/>
        <v>3.892537551933525</v>
      </c>
      <c r="G403" t="str">
        <f t="shared" si="52"/>
        <v>junho</v>
      </c>
      <c r="H403">
        <f t="shared" si="53"/>
        <v>2023</v>
      </c>
    </row>
    <row r="404" spans="1:8" hidden="1" x14ac:dyDescent="0.25">
      <c r="A404">
        <v>3020725</v>
      </c>
      <c r="B404" s="1">
        <v>45078</v>
      </c>
      <c r="C404" t="s">
        <v>149</v>
      </c>
      <c r="D404">
        <v>335.71</v>
      </c>
      <c r="E404" s="14">
        <v>1287.1600000000001</v>
      </c>
      <c r="F404" s="20">
        <f t="shared" si="51"/>
        <v>3.834142563522088</v>
      </c>
      <c r="G404" t="str">
        <f t="shared" ref="G404:G464" si="54">TEXT(B404,"mmmm")</f>
        <v>junho</v>
      </c>
      <c r="H404">
        <f t="shared" ref="H404:H464" si="55">YEAR(B404)</f>
        <v>2023</v>
      </c>
    </row>
    <row r="405" spans="1:8" hidden="1" x14ac:dyDescent="0.25">
      <c r="A405">
        <v>3020823</v>
      </c>
      <c r="B405" s="1">
        <v>45078</v>
      </c>
      <c r="C405" t="s">
        <v>151</v>
      </c>
      <c r="D405">
        <v>1259.3900000000001</v>
      </c>
      <c r="E405" s="14">
        <v>4805.47</v>
      </c>
      <c r="F405" s="20">
        <f t="shared" si="51"/>
        <v>3.8157123686864276</v>
      </c>
      <c r="G405" t="str">
        <f t="shared" si="54"/>
        <v>junho</v>
      </c>
      <c r="H405">
        <f t="shared" si="55"/>
        <v>2023</v>
      </c>
    </row>
    <row r="406" spans="1:8" hidden="1" x14ac:dyDescent="0.25">
      <c r="A406">
        <v>3020824</v>
      </c>
      <c r="B406" s="1">
        <v>45078</v>
      </c>
      <c r="C406" t="s">
        <v>153</v>
      </c>
      <c r="D406">
        <v>2300.6999999999998</v>
      </c>
      <c r="E406" s="14">
        <v>8550.35</v>
      </c>
      <c r="F406" s="20">
        <f t="shared" si="51"/>
        <v>3.7164123962272355</v>
      </c>
      <c r="G406" t="str">
        <f t="shared" si="54"/>
        <v>junho</v>
      </c>
      <c r="H406">
        <f t="shared" si="55"/>
        <v>2023</v>
      </c>
    </row>
    <row r="407" spans="1:8" hidden="1" x14ac:dyDescent="0.25">
      <c r="A407">
        <v>3020825</v>
      </c>
      <c r="B407" s="1">
        <v>45078</v>
      </c>
      <c r="C407" t="s">
        <v>455</v>
      </c>
      <c r="D407">
        <v>294.42</v>
      </c>
      <c r="E407" s="14">
        <v>1207.1500000000001</v>
      </c>
      <c r="F407" s="20">
        <f t="shared" si="51"/>
        <v>4.1000951022349028</v>
      </c>
      <c r="G407" t="str">
        <f t="shared" si="54"/>
        <v>junho</v>
      </c>
      <c r="H407">
        <f t="shared" si="55"/>
        <v>2023</v>
      </c>
    </row>
    <row r="408" spans="1:8" hidden="1" x14ac:dyDescent="0.25">
      <c r="A408">
        <v>3020924</v>
      </c>
      <c r="B408" s="1">
        <v>45078</v>
      </c>
      <c r="C408" t="s">
        <v>155</v>
      </c>
      <c r="D408">
        <v>1392.3</v>
      </c>
      <c r="E408" s="14">
        <v>5423.31</v>
      </c>
      <c r="F408" s="20">
        <f t="shared" si="51"/>
        <v>3.895216548157725</v>
      </c>
      <c r="G408" t="str">
        <f t="shared" si="54"/>
        <v>junho</v>
      </c>
      <c r="H408">
        <f t="shared" si="55"/>
        <v>2023</v>
      </c>
    </row>
    <row r="409" spans="1:8" hidden="1" x14ac:dyDescent="0.25">
      <c r="A409">
        <v>3020925</v>
      </c>
      <c r="B409" s="1">
        <v>45078</v>
      </c>
      <c r="C409" t="s">
        <v>157</v>
      </c>
      <c r="D409">
        <v>2514.4499999999998</v>
      </c>
      <c r="E409" s="14">
        <v>9622.91</v>
      </c>
      <c r="F409" s="20">
        <f t="shared" si="51"/>
        <v>3.8270436874863294</v>
      </c>
      <c r="G409" t="str">
        <f t="shared" si="54"/>
        <v>junho</v>
      </c>
      <c r="H409">
        <f t="shared" si="55"/>
        <v>2023</v>
      </c>
    </row>
    <row r="410" spans="1:8" hidden="1" x14ac:dyDescent="0.25">
      <c r="A410">
        <v>3021435</v>
      </c>
      <c r="B410" s="1">
        <v>45078</v>
      </c>
      <c r="C410" t="s">
        <v>159</v>
      </c>
      <c r="D410">
        <v>22.7</v>
      </c>
      <c r="E410" s="14">
        <v>69.239999999999995</v>
      </c>
      <c r="F410" s="20">
        <f t="shared" ref="F410:F470" si="56">E410/D410</f>
        <v>3.0502202643171805</v>
      </c>
      <c r="G410" t="str">
        <f t="shared" si="54"/>
        <v>junho</v>
      </c>
      <c r="H410">
        <f t="shared" si="55"/>
        <v>2023</v>
      </c>
    </row>
    <row r="411" spans="1:8" hidden="1" x14ac:dyDescent="0.25">
      <c r="A411">
        <v>3021436</v>
      </c>
      <c r="B411" s="1">
        <v>45078</v>
      </c>
      <c r="C411" t="s">
        <v>546</v>
      </c>
      <c r="D411">
        <v>860.45</v>
      </c>
      <c r="E411" s="14">
        <v>2755.8</v>
      </c>
      <c r="F411" s="20">
        <f t="shared" si="56"/>
        <v>3.2027427508861641</v>
      </c>
      <c r="G411" t="str">
        <f t="shared" si="54"/>
        <v>junho</v>
      </c>
      <c r="H411">
        <f t="shared" si="55"/>
        <v>2023</v>
      </c>
    </row>
    <row r="412" spans="1:8" hidden="1" x14ac:dyDescent="0.25">
      <c r="A412">
        <v>3021537</v>
      </c>
      <c r="B412" s="1">
        <v>45078</v>
      </c>
      <c r="C412" t="s">
        <v>161</v>
      </c>
      <c r="D412">
        <v>7.64</v>
      </c>
      <c r="E412" s="14">
        <v>25.21</v>
      </c>
      <c r="F412" s="20">
        <f t="shared" si="56"/>
        <v>3.2997382198952883</v>
      </c>
      <c r="G412" t="str">
        <f t="shared" si="54"/>
        <v>junho</v>
      </c>
      <c r="H412">
        <f t="shared" si="55"/>
        <v>2023</v>
      </c>
    </row>
    <row r="413" spans="1:8" hidden="1" x14ac:dyDescent="0.25">
      <c r="A413">
        <v>3021538</v>
      </c>
      <c r="B413" s="1">
        <v>45078</v>
      </c>
      <c r="C413" t="s">
        <v>548</v>
      </c>
      <c r="D413">
        <v>122.08</v>
      </c>
      <c r="E413" s="14">
        <v>371.12</v>
      </c>
      <c r="F413" s="20">
        <f t="shared" si="56"/>
        <v>3.0399737876802098</v>
      </c>
      <c r="G413" t="str">
        <f t="shared" si="54"/>
        <v>junho</v>
      </c>
      <c r="H413">
        <f t="shared" si="55"/>
        <v>2023</v>
      </c>
    </row>
    <row r="414" spans="1:8" hidden="1" x14ac:dyDescent="0.25">
      <c r="A414">
        <v>3021639</v>
      </c>
      <c r="B414" s="1">
        <v>45078</v>
      </c>
      <c r="C414" t="s">
        <v>457</v>
      </c>
      <c r="D414">
        <v>53.97</v>
      </c>
      <c r="E414" s="14">
        <v>163.63999999999999</v>
      </c>
      <c r="F414" s="20">
        <f t="shared" si="56"/>
        <v>3.0320548452844172</v>
      </c>
      <c r="G414" t="str">
        <f t="shared" si="54"/>
        <v>junho</v>
      </c>
      <c r="H414">
        <f t="shared" si="55"/>
        <v>2023</v>
      </c>
    </row>
    <row r="415" spans="1:8" hidden="1" x14ac:dyDescent="0.25">
      <c r="A415">
        <v>3021740</v>
      </c>
      <c r="B415" s="1">
        <v>45078</v>
      </c>
      <c r="C415" t="s">
        <v>635</v>
      </c>
      <c r="D415">
        <v>890.52</v>
      </c>
      <c r="E415" s="14">
        <v>2518.7600000000002</v>
      </c>
      <c r="F415" s="20">
        <f t="shared" si="56"/>
        <v>2.8284148587342228</v>
      </c>
      <c r="G415" t="str">
        <f t="shared" si="54"/>
        <v>junho</v>
      </c>
      <c r="H415">
        <f t="shared" si="55"/>
        <v>2023</v>
      </c>
    </row>
    <row r="416" spans="1:8" hidden="1" x14ac:dyDescent="0.25">
      <c r="A416">
        <v>3021760</v>
      </c>
      <c r="B416" s="1">
        <v>45078</v>
      </c>
      <c r="C416" t="s">
        <v>167</v>
      </c>
      <c r="D416">
        <v>872.46</v>
      </c>
      <c r="E416" s="14">
        <v>2224.17</v>
      </c>
      <c r="F416" s="20">
        <f t="shared" si="56"/>
        <v>2.5493088508355686</v>
      </c>
      <c r="G416" t="str">
        <f t="shared" si="54"/>
        <v>junho</v>
      </c>
      <c r="H416">
        <f t="shared" si="55"/>
        <v>2023</v>
      </c>
    </row>
    <row r="417" spans="1:8" hidden="1" x14ac:dyDescent="0.25">
      <c r="A417">
        <v>3021811</v>
      </c>
      <c r="B417" s="1">
        <v>45078</v>
      </c>
      <c r="C417" t="s">
        <v>169</v>
      </c>
      <c r="D417">
        <v>769.23</v>
      </c>
      <c r="E417" s="14">
        <v>1950.71</v>
      </c>
      <c r="F417" s="20">
        <f t="shared" si="56"/>
        <v>2.5359255359255357</v>
      </c>
      <c r="G417" t="str">
        <f t="shared" si="54"/>
        <v>junho</v>
      </c>
      <c r="H417">
        <f t="shared" si="55"/>
        <v>2023</v>
      </c>
    </row>
    <row r="418" spans="1:8" hidden="1" x14ac:dyDescent="0.25">
      <c r="A418">
        <v>3021812</v>
      </c>
      <c r="B418" s="1">
        <v>45078</v>
      </c>
      <c r="C418" t="s">
        <v>171</v>
      </c>
      <c r="D418">
        <v>1545.39</v>
      </c>
      <c r="E418" s="14">
        <v>3623.5</v>
      </c>
      <c r="F418" s="20">
        <f t="shared" si="56"/>
        <v>2.344715573415125</v>
      </c>
      <c r="G418" t="str">
        <f t="shared" si="54"/>
        <v>junho</v>
      </c>
      <c r="H418">
        <f t="shared" si="55"/>
        <v>2023</v>
      </c>
    </row>
    <row r="419" spans="1:8" hidden="1" x14ac:dyDescent="0.25">
      <c r="A419">
        <v>3022100</v>
      </c>
      <c r="B419" s="1">
        <v>45078</v>
      </c>
      <c r="C419" t="s">
        <v>173</v>
      </c>
      <c r="D419">
        <v>334.8</v>
      </c>
      <c r="E419" s="14">
        <v>1257.55</v>
      </c>
      <c r="F419" s="20">
        <f t="shared" si="56"/>
        <v>3.7561230585424132</v>
      </c>
      <c r="G419" t="str">
        <f t="shared" si="54"/>
        <v>junho</v>
      </c>
      <c r="H419">
        <f t="shared" si="55"/>
        <v>2023</v>
      </c>
    </row>
    <row r="420" spans="1:8" hidden="1" x14ac:dyDescent="0.25">
      <c r="A420">
        <v>3022208</v>
      </c>
      <c r="B420" s="1">
        <v>45078</v>
      </c>
      <c r="C420" t="s">
        <v>307</v>
      </c>
      <c r="D420">
        <v>825.53</v>
      </c>
      <c r="E420" s="14">
        <v>3102.6</v>
      </c>
      <c r="F420" s="20">
        <f t="shared" si="56"/>
        <v>3.7583128414473128</v>
      </c>
      <c r="G420" t="str">
        <f t="shared" si="54"/>
        <v>junho</v>
      </c>
      <c r="H420">
        <f t="shared" si="55"/>
        <v>2023</v>
      </c>
    </row>
    <row r="421" spans="1:8" hidden="1" x14ac:dyDescent="0.25">
      <c r="A421">
        <v>3022311</v>
      </c>
      <c r="B421" s="1">
        <v>45078</v>
      </c>
      <c r="C421" t="s">
        <v>176</v>
      </c>
      <c r="D421">
        <v>2280.0100000000002</v>
      </c>
      <c r="E421" s="14">
        <v>5455.54</v>
      </c>
      <c r="F421" s="20">
        <f t="shared" si="56"/>
        <v>2.3927702071482142</v>
      </c>
      <c r="G421" t="str">
        <f t="shared" si="54"/>
        <v>junho</v>
      </c>
      <c r="H421">
        <f t="shared" si="55"/>
        <v>2023</v>
      </c>
    </row>
    <row r="422" spans="1:8" hidden="1" x14ac:dyDescent="0.25">
      <c r="A422">
        <v>3022411</v>
      </c>
      <c r="B422" s="1">
        <v>45078</v>
      </c>
      <c r="C422" t="s">
        <v>178</v>
      </c>
      <c r="D422">
        <v>41.4</v>
      </c>
      <c r="E422" s="14">
        <v>119.2</v>
      </c>
      <c r="F422" s="20">
        <f t="shared" si="56"/>
        <v>2.879227053140097</v>
      </c>
      <c r="G422" t="str">
        <f t="shared" si="54"/>
        <v>junho</v>
      </c>
      <c r="H422">
        <f t="shared" si="55"/>
        <v>2023</v>
      </c>
    </row>
    <row r="423" spans="1:8" hidden="1" x14ac:dyDescent="0.25">
      <c r="A423">
        <v>3022511</v>
      </c>
      <c r="B423" s="1">
        <v>45078</v>
      </c>
      <c r="C423" t="s">
        <v>180</v>
      </c>
      <c r="D423">
        <v>3.4</v>
      </c>
      <c r="E423" s="14">
        <v>9.02</v>
      </c>
      <c r="F423" s="20">
        <f t="shared" si="56"/>
        <v>2.6529411764705881</v>
      </c>
      <c r="G423" t="str">
        <f t="shared" si="54"/>
        <v>junho</v>
      </c>
      <c r="H423">
        <f t="shared" si="55"/>
        <v>2023</v>
      </c>
    </row>
    <row r="424" spans="1:8" hidden="1" x14ac:dyDescent="0.25">
      <c r="A424">
        <v>3022601</v>
      </c>
      <c r="B424" s="1">
        <v>45078</v>
      </c>
      <c r="C424" t="s">
        <v>182</v>
      </c>
      <c r="D424">
        <v>235.5</v>
      </c>
      <c r="E424" s="14">
        <v>973.17</v>
      </c>
      <c r="F424" s="20">
        <f t="shared" si="56"/>
        <v>4.1323566878980893</v>
      </c>
      <c r="G424" t="str">
        <f t="shared" si="54"/>
        <v>junho</v>
      </c>
      <c r="H424">
        <f t="shared" si="55"/>
        <v>2023</v>
      </c>
    </row>
    <row r="425" spans="1:8" hidden="1" x14ac:dyDescent="0.25">
      <c r="A425">
        <v>3022703</v>
      </c>
      <c r="B425" s="1">
        <v>45078</v>
      </c>
      <c r="C425" t="s">
        <v>309</v>
      </c>
      <c r="D425">
        <v>625</v>
      </c>
      <c r="E425" s="14">
        <v>1712.25</v>
      </c>
      <c r="F425" s="20">
        <f t="shared" si="56"/>
        <v>2.7395999999999998</v>
      </c>
      <c r="G425" t="str">
        <f t="shared" si="54"/>
        <v>junho</v>
      </c>
      <c r="H425">
        <f t="shared" si="55"/>
        <v>2023</v>
      </c>
    </row>
    <row r="426" spans="1:8" hidden="1" x14ac:dyDescent="0.25">
      <c r="A426">
        <v>3022805</v>
      </c>
      <c r="B426" s="1">
        <v>45078</v>
      </c>
      <c r="C426" t="s">
        <v>186</v>
      </c>
      <c r="D426">
        <v>2175</v>
      </c>
      <c r="E426" s="14">
        <v>4543.8999999999996</v>
      </c>
      <c r="F426" s="20">
        <f t="shared" si="56"/>
        <v>2.0891494252873564</v>
      </c>
      <c r="G426" t="str">
        <f t="shared" si="54"/>
        <v>junho</v>
      </c>
      <c r="H426">
        <f t="shared" si="55"/>
        <v>2023</v>
      </c>
    </row>
    <row r="427" spans="1:8" hidden="1" x14ac:dyDescent="0.25">
      <c r="A427">
        <v>3022906</v>
      </c>
      <c r="B427" s="1">
        <v>45078</v>
      </c>
      <c r="C427" t="s">
        <v>188</v>
      </c>
      <c r="D427">
        <v>4640</v>
      </c>
      <c r="E427" s="14">
        <v>9532.94</v>
      </c>
      <c r="F427" s="20">
        <f t="shared" si="56"/>
        <v>2.0545129310344827</v>
      </c>
      <c r="G427" t="str">
        <f t="shared" si="54"/>
        <v>junho</v>
      </c>
      <c r="H427">
        <f t="shared" si="55"/>
        <v>2023</v>
      </c>
    </row>
    <row r="428" spans="1:8" hidden="1" x14ac:dyDescent="0.25">
      <c r="A428">
        <v>3023007</v>
      </c>
      <c r="B428" s="1">
        <v>45078</v>
      </c>
      <c r="C428" t="s">
        <v>190</v>
      </c>
      <c r="D428">
        <v>820</v>
      </c>
      <c r="E428" s="14">
        <v>1645</v>
      </c>
      <c r="F428" s="20">
        <f t="shared" si="56"/>
        <v>2.0060975609756095</v>
      </c>
      <c r="G428" t="str">
        <f t="shared" si="54"/>
        <v>junho</v>
      </c>
      <c r="H428">
        <f t="shared" si="55"/>
        <v>2023</v>
      </c>
    </row>
    <row r="429" spans="1:8" hidden="1" x14ac:dyDescent="0.25">
      <c r="A429">
        <v>4030100</v>
      </c>
      <c r="B429" s="1">
        <v>45078</v>
      </c>
      <c r="C429" t="s">
        <v>200</v>
      </c>
      <c r="D429">
        <v>399.81</v>
      </c>
      <c r="E429" s="14">
        <v>2444.1</v>
      </c>
      <c r="F429" s="20">
        <f t="shared" si="56"/>
        <v>6.1131537480303137</v>
      </c>
      <c r="G429" t="str">
        <f t="shared" si="54"/>
        <v>junho</v>
      </c>
      <c r="H429">
        <f t="shared" si="55"/>
        <v>2023</v>
      </c>
    </row>
    <row r="430" spans="1:8" hidden="1" x14ac:dyDescent="0.25">
      <c r="A430">
        <v>4030211</v>
      </c>
      <c r="B430" s="1">
        <v>45078</v>
      </c>
      <c r="C430" t="s">
        <v>202</v>
      </c>
      <c r="D430">
        <v>299.24</v>
      </c>
      <c r="E430" s="14">
        <v>1870.97</v>
      </c>
      <c r="F430" s="20">
        <f t="shared" si="56"/>
        <v>6.2524060954417857</v>
      </c>
      <c r="G430" t="str">
        <f t="shared" si="54"/>
        <v>junho</v>
      </c>
      <c r="H430">
        <f t="shared" si="55"/>
        <v>2023</v>
      </c>
    </row>
    <row r="431" spans="1:8" hidden="1" x14ac:dyDescent="0.25">
      <c r="A431">
        <v>4030311</v>
      </c>
      <c r="B431" s="1">
        <v>45078</v>
      </c>
      <c r="C431" t="s">
        <v>311</v>
      </c>
      <c r="D431">
        <v>286.92</v>
      </c>
      <c r="E431" s="14">
        <v>1932.79</v>
      </c>
      <c r="F431" s="20">
        <f t="shared" si="56"/>
        <v>6.7363376550954968</v>
      </c>
      <c r="G431" t="str">
        <f t="shared" si="54"/>
        <v>junho</v>
      </c>
      <c r="H431">
        <f t="shared" si="55"/>
        <v>2023</v>
      </c>
    </row>
    <row r="432" spans="1:8" hidden="1" x14ac:dyDescent="0.25">
      <c r="A432">
        <v>4030401</v>
      </c>
      <c r="B432" s="1">
        <v>45078</v>
      </c>
      <c r="C432" t="s">
        <v>461</v>
      </c>
      <c r="D432">
        <v>383.83</v>
      </c>
      <c r="E432" s="14">
        <v>1962.19</v>
      </c>
      <c r="F432" s="20">
        <f t="shared" si="56"/>
        <v>5.1121329755360447</v>
      </c>
      <c r="G432" t="str">
        <f t="shared" si="54"/>
        <v>junho</v>
      </c>
      <c r="H432">
        <f t="shared" si="55"/>
        <v>2023</v>
      </c>
    </row>
    <row r="433" spans="1:8" hidden="1" x14ac:dyDescent="0.25">
      <c r="A433">
        <v>4030511</v>
      </c>
      <c r="B433" s="1">
        <v>45078</v>
      </c>
      <c r="C433" t="s">
        <v>208</v>
      </c>
      <c r="D433">
        <v>11.2</v>
      </c>
      <c r="E433" s="14">
        <v>68.88</v>
      </c>
      <c r="F433" s="20">
        <f t="shared" si="56"/>
        <v>6.15</v>
      </c>
      <c r="G433" t="str">
        <f t="shared" si="54"/>
        <v>junho</v>
      </c>
      <c r="H433">
        <f t="shared" si="55"/>
        <v>2023</v>
      </c>
    </row>
    <row r="434" spans="1:8" hidden="1" x14ac:dyDescent="0.25">
      <c r="A434">
        <v>4030532</v>
      </c>
      <c r="B434" s="1">
        <v>45078</v>
      </c>
      <c r="C434" t="s">
        <v>210</v>
      </c>
      <c r="D434">
        <v>1.91</v>
      </c>
      <c r="E434" s="14">
        <v>10.41</v>
      </c>
      <c r="F434" s="20">
        <f t="shared" si="56"/>
        <v>5.4502617801047126</v>
      </c>
      <c r="G434" t="str">
        <f t="shared" si="54"/>
        <v>junho</v>
      </c>
      <c r="H434">
        <f t="shared" si="55"/>
        <v>2023</v>
      </c>
    </row>
    <row r="435" spans="1:8" hidden="1" x14ac:dyDescent="0.25">
      <c r="A435">
        <v>4030600</v>
      </c>
      <c r="B435" s="1">
        <v>45078</v>
      </c>
      <c r="C435" t="s">
        <v>212</v>
      </c>
      <c r="D435">
        <v>577.6</v>
      </c>
      <c r="E435" s="14">
        <v>1824.42</v>
      </c>
      <c r="F435" s="20">
        <f t="shared" si="56"/>
        <v>3.1586218836565099</v>
      </c>
      <c r="G435" t="str">
        <f t="shared" si="54"/>
        <v>junho</v>
      </c>
      <c r="H435">
        <f t="shared" si="55"/>
        <v>2023</v>
      </c>
    </row>
    <row r="436" spans="1:8" hidden="1" x14ac:dyDescent="0.25">
      <c r="A436">
        <v>4030711</v>
      </c>
      <c r="B436" s="1">
        <v>45078</v>
      </c>
      <c r="C436" t="s">
        <v>214</v>
      </c>
      <c r="D436">
        <v>946.65</v>
      </c>
      <c r="E436" s="14">
        <v>3160.75</v>
      </c>
      <c r="F436" s="20">
        <f t="shared" si="56"/>
        <v>3.3388792056198175</v>
      </c>
      <c r="G436" t="str">
        <f t="shared" si="54"/>
        <v>junho</v>
      </c>
      <c r="H436">
        <f t="shared" si="55"/>
        <v>2023</v>
      </c>
    </row>
    <row r="437" spans="1:8" hidden="1" x14ac:dyDescent="0.25">
      <c r="A437">
        <v>4030811</v>
      </c>
      <c r="B437" s="1">
        <v>45078</v>
      </c>
      <c r="C437" t="s">
        <v>216</v>
      </c>
      <c r="D437">
        <v>1580.87</v>
      </c>
      <c r="E437" s="14">
        <v>4983.18</v>
      </c>
      <c r="F437" s="20">
        <f t="shared" si="56"/>
        <v>3.152175700721755</v>
      </c>
      <c r="G437" t="str">
        <f t="shared" si="54"/>
        <v>junho</v>
      </c>
      <c r="H437">
        <f t="shared" si="55"/>
        <v>2023</v>
      </c>
    </row>
    <row r="438" spans="1:8" hidden="1" x14ac:dyDescent="0.25">
      <c r="A438">
        <v>4030813</v>
      </c>
      <c r="B438" s="1">
        <v>45078</v>
      </c>
      <c r="C438" t="s">
        <v>218</v>
      </c>
      <c r="D438">
        <v>2126.9899999999998</v>
      </c>
      <c r="E438" s="14">
        <v>6362.91</v>
      </c>
      <c r="F438" s="20">
        <f t="shared" si="56"/>
        <v>2.9915091279225576</v>
      </c>
      <c r="G438" t="str">
        <f t="shared" si="54"/>
        <v>junho</v>
      </c>
      <c r="H438">
        <f t="shared" si="55"/>
        <v>2023</v>
      </c>
    </row>
    <row r="439" spans="1:8" hidden="1" x14ac:dyDescent="0.25">
      <c r="A439">
        <v>4030900</v>
      </c>
      <c r="B439" s="1">
        <v>45078</v>
      </c>
      <c r="C439" t="s">
        <v>220</v>
      </c>
      <c r="D439">
        <v>5952.58</v>
      </c>
      <c r="E439" s="14">
        <v>17967.18</v>
      </c>
      <c r="F439" s="20">
        <f t="shared" si="56"/>
        <v>3.0183853051953942</v>
      </c>
      <c r="G439" t="str">
        <f t="shared" si="54"/>
        <v>junho</v>
      </c>
      <c r="H439">
        <f t="shared" si="55"/>
        <v>2023</v>
      </c>
    </row>
    <row r="440" spans="1:8" hidden="1" x14ac:dyDescent="0.25">
      <c r="A440">
        <v>4030910</v>
      </c>
      <c r="B440" s="1">
        <v>45078</v>
      </c>
      <c r="C440" t="s">
        <v>222</v>
      </c>
      <c r="D440">
        <v>78.739999999999995</v>
      </c>
      <c r="E440" s="14">
        <v>254.91</v>
      </c>
      <c r="F440" s="20">
        <f t="shared" si="56"/>
        <v>3.2373634747269495</v>
      </c>
      <c r="G440" t="str">
        <f t="shared" si="54"/>
        <v>junho</v>
      </c>
      <c r="H440">
        <f t="shared" si="55"/>
        <v>2023</v>
      </c>
    </row>
    <row r="441" spans="1:8" hidden="1" x14ac:dyDescent="0.25">
      <c r="A441">
        <v>4031012</v>
      </c>
      <c r="B441" s="1">
        <v>45078</v>
      </c>
      <c r="C441" t="s">
        <v>224</v>
      </c>
      <c r="D441">
        <v>1285.8800000000001</v>
      </c>
      <c r="E441" s="14">
        <v>3979.06</v>
      </c>
      <c r="F441" s="20">
        <f t="shared" si="56"/>
        <v>3.0944256073661616</v>
      </c>
      <c r="G441" t="str">
        <f t="shared" si="54"/>
        <v>junho</v>
      </c>
      <c r="H441">
        <f t="shared" si="55"/>
        <v>2023</v>
      </c>
    </row>
    <row r="442" spans="1:8" hidden="1" x14ac:dyDescent="0.25">
      <c r="A442">
        <v>4031017</v>
      </c>
      <c r="B442" s="1">
        <v>45078</v>
      </c>
      <c r="C442" t="s">
        <v>226</v>
      </c>
      <c r="D442">
        <v>1033</v>
      </c>
      <c r="E442" s="14">
        <v>678.28</v>
      </c>
      <c r="F442" s="20">
        <f t="shared" si="56"/>
        <v>0.65661181026137461</v>
      </c>
      <c r="G442" t="str">
        <f t="shared" si="54"/>
        <v>junho</v>
      </c>
      <c r="H442">
        <f t="shared" si="55"/>
        <v>2023</v>
      </c>
    </row>
    <row r="443" spans="1:8" hidden="1" x14ac:dyDescent="0.25">
      <c r="A443">
        <v>4031102</v>
      </c>
      <c r="B443" s="1">
        <v>45078</v>
      </c>
      <c r="C443" t="s">
        <v>228</v>
      </c>
      <c r="D443">
        <v>9241.69</v>
      </c>
      <c r="E443" s="14">
        <v>26790.71</v>
      </c>
      <c r="F443" s="20">
        <f t="shared" si="56"/>
        <v>2.8988972796101145</v>
      </c>
      <c r="G443" t="str">
        <f t="shared" si="54"/>
        <v>junho</v>
      </c>
      <c r="H443">
        <f t="shared" si="55"/>
        <v>2023</v>
      </c>
    </row>
    <row r="444" spans="1:8" hidden="1" x14ac:dyDescent="0.25">
      <c r="A444">
        <v>4031200</v>
      </c>
      <c r="B444" s="1">
        <v>45078</v>
      </c>
      <c r="C444" t="s">
        <v>230</v>
      </c>
      <c r="D444">
        <v>1365.77</v>
      </c>
      <c r="E444" s="14">
        <v>4094.22</v>
      </c>
      <c r="F444" s="20">
        <f t="shared" si="56"/>
        <v>2.9977375399957533</v>
      </c>
      <c r="G444" t="str">
        <f t="shared" si="54"/>
        <v>junho</v>
      </c>
      <c r="H444">
        <f t="shared" si="55"/>
        <v>2023</v>
      </c>
    </row>
    <row r="445" spans="1:8" hidden="1" x14ac:dyDescent="0.25">
      <c r="A445">
        <v>4031304</v>
      </c>
      <c r="B445" s="1">
        <v>45078</v>
      </c>
      <c r="C445" t="s">
        <v>232</v>
      </c>
      <c r="D445">
        <v>1427.45</v>
      </c>
      <c r="E445" s="14">
        <v>4140.6400000000003</v>
      </c>
      <c r="F445" s="20">
        <f t="shared" si="56"/>
        <v>2.9007250691793058</v>
      </c>
      <c r="G445" t="str">
        <f t="shared" si="54"/>
        <v>junho</v>
      </c>
      <c r="H445">
        <f t="shared" si="55"/>
        <v>2023</v>
      </c>
    </row>
    <row r="446" spans="1:8" hidden="1" x14ac:dyDescent="0.25">
      <c r="A446">
        <v>4031411</v>
      </c>
      <c r="B446" s="1">
        <v>45078</v>
      </c>
      <c r="C446" t="s">
        <v>234</v>
      </c>
      <c r="D446">
        <v>48.65</v>
      </c>
      <c r="E446" s="14">
        <v>149.30000000000001</v>
      </c>
      <c r="F446" s="20">
        <f t="shared" si="56"/>
        <v>3.0688591983556015</v>
      </c>
      <c r="G446" t="str">
        <f t="shared" si="54"/>
        <v>junho</v>
      </c>
      <c r="H446">
        <f t="shared" si="55"/>
        <v>2023</v>
      </c>
    </row>
    <row r="447" spans="1:8" hidden="1" x14ac:dyDescent="0.25">
      <c r="A447">
        <v>4031500</v>
      </c>
      <c r="B447" s="1">
        <v>45078</v>
      </c>
      <c r="C447" t="s">
        <v>236</v>
      </c>
      <c r="D447">
        <v>6537.89</v>
      </c>
      <c r="E447" s="14">
        <v>18511.36</v>
      </c>
      <c r="F447" s="20">
        <f t="shared" si="56"/>
        <v>2.8313966738504317</v>
      </c>
      <c r="G447" t="str">
        <f t="shared" si="54"/>
        <v>junho</v>
      </c>
      <c r="H447">
        <f t="shared" si="55"/>
        <v>2023</v>
      </c>
    </row>
    <row r="448" spans="1:8" hidden="1" x14ac:dyDescent="0.25">
      <c r="A448">
        <v>4031604</v>
      </c>
      <c r="B448" s="1">
        <v>45078</v>
      </c>
      <c r="C448" t="s">
        <v>238</v>
      </c>
      <c r="D448">
        <v>5832.09</v>
      </c>
      <c r="E448" s="14">
        <v>15852.03</v>
      </c>
      <c r="F448" s="20">
        <f t="shared" si="56"/>
        <v>2.7180701943900045</v>
      </c>
      <c r="G448" t="str">
        <f t="shared" si="54"/>
        <v>junho</v>
      </c>
      <c r="H448">
        <f t="shared" si="55"/>
        <v>2023</v>
      </c>
    </row>
    <row r="449" spans="1:8" hidden="1" x14ac:dyDescent="0.25">
      <c r="A449">
        <v>4031605</v>
      </c>
      <c r="B449" s="1">
        <v>45078</v>
      </c>
      <c r="C449" t="s">
        <v>240</v>
      </c>
      <c r="D449">
        <v>79.86</v>
      </c>
      <c r="E449" s="14">
        <v>257.91000000000003</v>
      </c>
      <c r="F449" s="20">
        <f t="shared" si="56"/>
        <v>3.2295266716754325</v>
      </c>
      <c r="G449" t="str">
        <f t="shared" si="54"/>
        <v>junho</v>
      </c>
      <c r="H449">
        <f t="shared" si="55"/>
        <v>2023</v>
      </c>
    </row>
    <row r="450" spans="1:8" hidden="1" x14ac:dyDescent="0.25">
      <c r="A450">
        <v>4031700</v>
      </c>
      <c r="B450" s="1">
        <v>45078</v>
      </c>
      <c r="C450" t="s">
        <v>242</v>
      </c>
      <c r="D450">
        <v>615.73</v>
      </c>
      <c r="E450" s="14">
        <v>1836.55</v>
      </c>
      <c r="F450" s="20">
        <f t="shared" si="56"/>
        <v>2.982719698569178</v>
      </c>
      <c r="G450" t="str">
        <f t="shared" si="54"/>
        <v>junho</v>
      </c>
      <c r="H450">
        <f t="shared" si="55"/>
        <v>2023</v>
      </c>
    </row>
    <row r="451" spans="1:8" hidden="1" x14ac:dyDescent="0.25">
      <c r="A451">
        <v>4031812</v>
      </c>
      <c r="B451" s="1">
        <v>45078</v>
      </c>
      <c r="C451" t="s">
        <v>244</v>
      </c>
      <c r="D451">
        <v>520.41999999999996</v>
      </c>
      <c r="E451" s="14">
        <v>1593.75</v>
      </c>
      <c r="F451" s="20">
        <f t="shared" si="56"/>
        <v>3.0624303447215713</v>
      </c>
      <c r="G451" t="str">
        <f t="shared" si="54"/>
        <v>junho</v>
      </c>
      <c r="H451">
        <f t="shared" si="55"/>
        <v>2023</v>
      </c>
    </row>
    <row r="452" spans="1:8" hidden="1" x14ac:dyDescent="0.25">
      <c r="A452">
        <v>4031813</v>
      </c>
      <c r="B452" s="1">
        <v>45078</v>
      </c>
      <c r="C452" t="s">
        <v>636</v>
      </c>
      <c r="D452">
        <v>70</v>
      </c>
      <c r="E452" s="14">
        <v>46.9</v>
      </c>
      <c r="F452" s="20">
        <f t="shared" si="56"/>
        <v>0.66999999999999993</v>
      </c>
      <c r="G452" t="str">
        <f t="shared" si="54"/>
        <v>junho</v>
      </c>
      <c r="H452">
        <f t="shared" si="55"/>
        <v>2023</v>
      </c>
    </row>
    <row r="453" spans="1:8" hidden="1" x14ac:dyDescent="0.25">
      <c r="A453">
        <v>4031904</v>
      </c>
      <c r="B453" s="1">
        <v>45078</v>
      </c>
      <c r="C453" t="s">
        <v>246</v>
      </c>
      <c r="D453">
        <v>908.96</v>
      </c>
      <c r="E453" s="14">
        <v>2672.45</v>
      </c>
      <c r="F453" s="20">
        <f t="shared" si="56"/>
        <v>2.9401183770462942</v>
      </c>
      <c r="G453" t="str">
        <f t="shared" si="54"/>
        <v>junho</v>
      </c>
      <c r="H453">
        <f t="shared" si="55"/>
        <v>2023</v>
      </c>
    </row>
    <row r="454" spans="1:8" hidden="1" x14ac:dyDescent="0.25">
      <c r="A454">
        <v>4032111</v>
      </c>
      <c r="B454" s="1">
        <v>45078</v>
      </c>
      <c r="C454" t="s">
        <v>314</v>
      </c>
      <c r="D454">
        <v>17.79</v>
      </c>
      <c r="E454" s="14">
        <v>92.43</v>
      </c>
      <c r="F454" s="20">
        <f t="shared" si="56"/>
        <v>5.1956155143338965</v>
      </c>
      <c r="G454" t="str">
        <f t="shared" si="54"/>
        <v>junho</v>
      </c>
      <c r="H454">
        <f t="shared" si="55"/>
        <v>2023</v>
      </c>
    </row>
    <row r="455" spans="1:8" hidden="1" x14ac:dyDescent="0.25">
      <c r="A455">
        <v>4032204</v>
      </c>
      <c r="B455" s="1">
        <v>45078</v>
      </c>
      <c r="C455" t="s">
        <v>315</v>
      </c>
      <c r="D455">
        <v>88.43</v>
      </c>
      <c r="E455" s="14">
        <v>450.5</v>
      </c>
      <c r="F455" s="20">
        <f t="shared" si="56"/>
        <v>5.0944249689019561</v>
      </c>
      <c r="G455" t="str">
        <f t="shared" si="54"/>
        <v>junho</v>
      </c>
      <c r="H455">
        <f t="shared" si="55"/>
        <v>2023</v>
      </c>
    </row>
    <row r="456" spans="1:8" hidden="1" x14ac:dyDescent="0.25">
      <c r="A456">
        <v>4032205</v>
      </c>
      <c r="B456" s="1">
        <v>45078</v>
      </c>
      <c r="C456" t="s">
        <v>553</v>
      </c>
      <c r="D456">
        <v>79.400000000000006</v>
      </c>
      <c r="E456" s="14">
        <v>403.02</v>
      </c>
      <c r="F456" s="20">
        <f t="shared" si="56"/>
        <v>5.0758186397984879</v>
      </c>
      <c r="G456" t="str">
        <f t="shared" si="54"/>
        <v>junho</v>
      </c>
      <c r="H456">
        <f t="shared" si="55"/>
        <v>2023</v>
      </c>
    </row>
    <row r="457" spans="1:8" hidden="1" x14ac:dyDescent="0.25">
      <c r="A457">
        <v>4032206</v>
      </c>
      <c r="B457" s="1">
        <v>45078</v>
      </c>
      <c r="C457" t="s">
        <v>637</v>
      </c>
      <c r="D457">
        <v>36.93</v>
      </c>
      <c r="E457" s="14">
        <v>188.95</v>
      </c>
      <c r="F457" s="20">
        <f t="shared" si="56"/>
        <v>5.1164365014893036</v>
      </c>
      <c r="G457" t="str">
        <f t="shared" si="54"/>
        <v>junho</v>
      </c>
      <c r="H457">
        <f t="shared" si="55"/>
        <v>2023</v>
      </c>
    </row>
    <row r="458" spans="1:8" hidden="1" x14ac:dyDescent="0.25">
      <c r="A458">
        <v>4032312</v>
      </c>
      <c r="B458" s="1">
        <v>45078</v>
      </c>
      <c r="C458" t="s">
        <v>252</v>
      </c>
      <c r="D458">
        <v>503.31</v>
      </c>
      <c r="E458" s="14">
        <v>2122.5700000000002</v>
      </c>
      <c r="F458" s="20">
        <f t="shared" si="56"/>
        <v>4.2172219904233978</v>
      </c>
      <c r="G458" t="str">
        <f t="shared" si="54"/>
        <v>junho</v>
      </c>
      <c r="H458">
        <f t="shared" si="55"/>
        <v>2023</v>
      </c>
    </row>
    <row r="459" spans="1:8" hidden="1" x14ac:dyDescent="0.25">
      <c r="A459">
        <v>4032404</v>
      </c>
      <c r="B459" s="1">
        <v>45078</v>
      </c>
      <c r="C459" t="s">
        <v>254</v>
      </c>
      <c r="D459">
        <v>138.99</v>
      </c>
      <c r="E459" s="14">
        <v>610.79</v>
      </c>
      <c r="F459" s="20">
        <f t="shared" si="56"/>
        <v>4.3944888121447585</v>
      </c>
      <c r="G459" t="str">
        <f t="shared" si="54"/>
        <v>junho</v>
      </c>
      <c r="H459">
        <f t="shared" si="55"/>
        <v>2023</v>
      </c>
    </row>
    <row r="460" spans="1:8" hidden="1" x14ac:dyDescent="0.25">
      <c r="A460">
        <v>4032500</v>
      </c>
      <c r="B460" s="1">
        <v>45078</v>
      </c>
      <c r="C460" t="s">
        <v>256</v>
      </c>
      <c r="D460">
        <v>303.82</v>
      </c>
      <c r="E460" s="14">
        <v>826.56</v>
      </c>
      <c r="F460" s="20">
        <f t="shared" si="56"/>
        <v>2.7205582252649596</v>
      </c>
      <c r="G460" t="str">
        <f t="shared" si="54"/>
        <v>junho</v>
      </c>
      <c r="H460">
        <f t="shared" si="55"/>
        <v>2023</v>
      </c>
    </row>
    <row r="461" spans="1:8" hidden="1" x14ac:dyDescent="0.25">
      <c r="A461">
        <v>4032611</v>
      </c>
      <c r="B461" s="1">
        <v>45078</v>
      </c>
      <c r="C461" t="s">
        <v>258</v>
      </c>
      <c r="D461">
        <v>70.8</v>
      </c>
      <c r="E461" s="14">
        <v>217.26</v>
      </c>
      <c r="F461" s="20">
        <f t="shared" si="56"/>
        <v>3.06864406779661</v>
      </c>
      <c r="G461" t="str">
        <f t="shared" si="54"/>
        <v>junho</v>
      </c>
      <c r="H461">
        <f t="shared" si="55"/>
        <v>2023</v>
      </c>
    </row>
    <row r="462" spans="1:8" hidden="1" x14ac:dyDescent="0.25">
      <c r="A462">
        <v>4032704</v>
      </c>
      <c r="B462" s="1">
        <v>45078</v>
      </c>
      <c r="C462" t="s">
        <v>260</v>
      </c>
      <c r="D462">
        <v>259.39999999999998</v>
      </c>
      <c r="E462" s="14">
        <v>765.96</v>
      </c>
      <c r="F462" s="20">
        <f t="shared" si="56"/>
        <v>2.9528141865844262</v>
      </c>
      <c r="G462" t="str">
        <f t="shared" si="54"/>
        <v>junho</v>
      </c>
      <c r="H462">
        <f t="shared" si="55"/>
        <v>2023</v>
      </c>
    </row>
    <row r="463" spans="1:8" hidden="1" x14ac:dyDescent="0.25">
      <c r="A463">
        <v>4032800</v>
      </c>
      <c r="B463" s="1">
        <v>45078</v>
      </c>
      <c r="C463" t="s">
        <v>262</v>
      </c>
      <c r="D463">
        <v>92.42</v>
      </c>
      <c r="E463" s="14">
        <v>537.29</v>
      </c>
      <c r="F463" s="20">
        <f t="shared" si="56"/>
        <v>5.8135684916684696</v>
      </c>
      <c r="G463" t="str">
        <f t="shared" si="54"/>
        <v>junho</v>
      </c>
      <c r="H463">
        <f t="shared" si="55"/>
        <v>2023</v>
      </c>
    </row>
    <row r="464" spans="1:8" hidden="1" x14ac:dyDescent="0.25">
      <c r="A464">
        <v>4032902</v>
      </c>
      <c r="B464" s="1">
        <v>45078</v>
      </c>
      <c r="C464" t="s">
        <v>264</v>
      </c>
      <c r="D464">
        <v>178.5</v>
      </c>
      <c r="E464" s="14">
        <v>918.62</v>
      </c>
      <c r="F464" s="20">
        <f t="shared" si="56"/>
        <v>5.1463305322128852</v>
      </c>
      <c r="G464" t="str">
        <f t="shared" si="54"/>
        <v>junho</v>
      </c>
      <c r="H464">
        <f t="shared" si="55"/>
        <v>2023</v>
      </c>
    </row>
    <row r="465" spans="1:8" hidden="1" x14ac:dyDescent="0.25">
      <c r="A465">
        <v>4033011</v>
      </c>
      <c r="B465" s="1">
        <v>45078</v>
      </c>
      <c r="C465" t="s">
        <v>266</v>
      </c>
      <c r="D465">
        <v>7.7</v>
      </c>
      <c r="E465" s="14">
        <v>39.69</v>
      </c>
      <c r="F465" s="20">
        <f t="shared" si="56"/>
        <v>5.1545454545454543</v>
      </c>
      <c r="G465" t="str">
        <f t="shared" ref="G465:G475" si="57">TEXT(B465,"mmmm")</f>
        <v>junho</v>
      </c>
      <c r="H465">
        <f t="shared" ref="H465:H475" si="58">YEAR(B465)</f>
        <v>2023</v>
      </c>
    </row>
    <row r="466" spans="1:8" hidden="1" x14ac:dyDescent="0.25">
      <c r="A466">
        <v>4033111</v>
      </c>
      <c r="B466" s="1">
        <v>45078</v>
      </c>
      <c r="C466" t="s">
        <v>268</v>
      </c>
      <c r="D466">
        <v>24.22</v>
      </c>
      <c r="E466" s="14">
        <v>113.38</v>
      </c>
      <c r="F466" s="20">
        <f t="shared" si="56"/>
        <v>4.6812551610239472</v>
      </c>
      <c r="G466" t="str">
        <f t="shared" si="57"/>
        <v>junho</v>
      </c>
      <c r="H466">
        <f t="shared" si="58"/>
        <v>2023</v>
      </c>
    </row>
    <row r="467" spans="1:8" hidden="1" x14ac:dyDescent="0.25">
      <c r="A467">
        <v>4033211</v>
      </c>
      <c r="B467" s="1">
        <v>45078</v>
      </c>
      <c r="C467" t="s">
        <v>270</v>
      </c>
      <c r="D467">
        <v>45.19</v>
      </c>
      <c r="E467" s="14">
        <v>203.24</v>
      </c>
      <c r="F467" s="20">
        <f t="shared" si="56"/>
        <v>4.4974551892011512</v>
      </c>
      <c r="G467" t="str">
        <f t="shared" si="57"/>
        <v>junho</v>
      </c>
      <c r="H467">
        <f t="shared" si="58"/>
        <v>2023</v>
      </c>
    </row>
    <row r="468" spans="1:8" hidden="1" x14ac:dyDescent="0.25">
      <c r="A468">
        <v>4033311</v>
      </c>
      <c r="B468" s="1">
        <v>45078</v>
      </c>
      <c r="C468" t="s">
        <v>272</v>
      </c>
      <c r="D468">
        <v>11.68</v>
      </c>
      <c r="E468" s="14">
        <v>73.400000000000006</v>
      </c>
      <c r="F468" s="20">
        <f t="shared" si="56"/>
        <v>6.2842465753424666</v>
      </c>
      <c r="G468" t="str">
        <f t="shared" si="57"/>
        <v>junho</v>
      </c>
      <c r="H468">
        <f t="shared" si="58"/>
        <v>2023</v>
      </c>
    </row>
    <row r="469" spans="1:8" hidden="1" x14ac:dyDescent="0.25">
      <c r="A469">
        <v>4033400</v>
      </c>
      <c r="B469" s="1">
        <v>45078</v>
      </c>
      <c r="C469" t="s">
        <v>274</v>
      </c>
      <c r="D469">
        <v>721.44</v>
      </c>
      <c r="E469" s="14">
        <v>2110.98</v>
      </c>
      <c r="F469" s="20">
        <f t="shared" si="56"/>
        <v>2.9260645375914835</v>
      </c>
      <c r="G469" t="str">
        <f t="shared" si="57"/>
        <v>junho</v>
      </c>
      <c r="H469">
        <f t="shared" si="58"/>
        <v>2023</v>
      </c>
    </row>
    <row r="470" spans="1:8" hidden="1" x14ac:dyDescent="0.25">
      <c r="A470">
        <v>4033511</v>
      </c>
      <c r="B470" s="1">
        <v>45078</v>
      </c>
      <c r="C470" t="s">
        <v>276</v>
      </c>
      <c r="D470">
        <v>681.25</v>
      </c>
      <c r="E470" s="14">
        <v>2212.8000000000002</v>
      </c>
      <c r="F470" s="20">
        <f t="shared" si="56"/>
        <v>3.2481467889908258</v>
      </c>
      <c r="G470" t="str">
        <f t="shared" si="57"/>
        <v>junho</v>
      </c>
      <c r="H470">
        <f t="shared" si="58"/>
        <v>2023</v>
      </c>
    </row>
    <row r="471" spans="1:8" hidden="1" x14ac:dyDescent="0.25">
      <c r="A471">
        <v>4033900</v>
      </c>
      <c r="B471" s="1">
        <v>45078</v>
      </c>
      <c r="C471" t="s">
        <v>278</v>
      </c>
      <c r="D471">
        <v>92.48</v>
      </c>
      <c r="E471" s="14">
        <v>464.63</v>
      </c>
      <c r="F471" s="20">
        <f t="shared" ref="F471:F475" si="59">E471/D471</f>
        <v>5.0241133217993079</v>
      </c>
      <c r="G471" t="str">
        <f t="shared" si="57"/>
        <v>junho</v>
      </c>
      <c r="H471">
        <f t="shared" si="58"/>
        <v>2023</v>
      </c>
    </row>
    <row r="472" spans="1:8" hidden="1" x14ac:dyDescent="0.25">
      <c r="A472">
        <v>4034011</v>
      </c>
      <c r="B472" s="1">
        <v>45078</v>
      </c>
      <c r="C472" t="s">
        <v>280</v>
      </c>
      <c r="D472">
        <v>813.56</v>
      </c>
      <c r="E472" s="14">
        <v>4233.51</v>
      </c>
      <c r="F472" s="20">
        <f t="shared" si="59"/>
        <v>5.2036850385958022</v>
      </c>
      <c r="G472" t="str">
        <f t="shared" si="57"/>
        <v>junho</v>
      </c>
      <c r="H472">
        <f t="shared" si="58"/>
        <v>2023</v>
      </c>
    </row>
    <row r="473" spans="1:8" hidden="1" x14ac:dyDescent="0.25">
      <c r="A473">
        <v>4034211</v>
      </c>
      <c r="B473" s="1">
        <v>45078</v>
      </c>
      <c r="C473" t="s">
        <v>282</v>
      </c>
      <c r="D473">
        <v>236.15</v>
      </c>
      <c r="E473" s="14">
        <v>1011.26</v>
      </c>
      <c r="F473" s="20">
        <f t="shared" si="59"/>
        <v>4.2822782130002119</v>
      </c>
      <c r="G473" t="str">
        <f t="shared" si="57"/>
        <v>junho</v>
      </c>
      <c r="H473">
        <f t="shared" si="58"/>
        <v>2023</v>
      </c>
    </row>
    <row r="474" spans="1:8" hidden="1" x14ac:dyDescent="0.25">
      <c r="A474">
        <v>4034400</v>
      </c>
      <c r="B474" s="1">
        <v>45078</v>
      </c>
      <c r="C474" t="s">
        <v>284</v>
      </c>
      <c r="D474">
        <v>140.88999999999999</v>
      </c>
      <c r="E474" s="14">
        <v>373.31</v>
      </c>
      <c r="F474" s="20">
        <f t="shared" si="59"/>
        <v>2.64965575981262</v>
      </c>
      <c r="G474" t="str">
        <f t="shared" si="57"/>
        <v>junho</v>
      </c>
      <c r="H474">
        <f t="shared" si="58"/>
        <v>2023</v>
      </c>
    </row>
    <row r="475" spans="1:8" hidden="1" x14ac:dyDescent="0.25">
      <c r="A475">
        <v>4034502</v>
      </c>
      <c r="B475" s="1">
        <v>45078</v>
      </c>
      <c r="C475" t="s">
        <v>286</v>
      </c>
      <c r="D475">
        <v>36.96</v>
      </c>
      <c r="E475" s="14">
        <v>105.96</v>
      </c>
      <c r="F475" s="20">
        <f t="shared" si="59"/>
        <v>2.8668831168831166</v>
      </c>
      <c r="G475" t="str">
        <f t="shared" si="57"/>
        <v>junho</v>
      </c>
      <c r="H475">
        <f t="shared" si="58"/>
        <v>2023</v>
      </c>
    </row>
    <row r="476" spans="1:8" hidden="1" x14ac:dyDescent="0.25">
      <c r="A476">
        <v>3020103</v>
      </c>
      <c r="B476" s="1">
        <v>45108</v>
      </c>
      <c r="C476" t="s">
        <v>131</v>
      </c>
      <c r="D476">
        <v>6235.15</v>
      </c>
      <c r="E476">
        <v>20786.27</v>
      </c>
      <c r="F476" s="20">
        <f t="shared" ref="F476:F498" si="60">E476/D476</f>
        <v>3.3337241285293859</v>
      </c>
      <c r="G476" t="str">
        <f t="shared" ref="G476:G492" si="61">TEXT(B476,"mmmm")</f>
        <v>julho</v>
      </c>
      <c r="H476">
        <f t="shared" ref="H476:H492" si="62">YEAR(B476)</f>
        <v>2023</v>
      </c>
    </row>
    <row r="477" spans="1:8" hidden="1" x14ac:dyDescent="0.25">
      <c r="A477">
        <v>3020104</v>
      </c>
      <c r="B477" s="1">
        <v>45108</v>
      </c>
      <c r="C477" t="s">
        <v>689</v>
      </c>
      <c r="D477">
        <v>2004.6</v>
      </c>
      <c r="E477">
        <v>7216.56</v>
      </c>
      <c r="F477" s="20">
        <f t="shared" si="60"/>
        <v>3.6000000000000005</v>
      </c>
      <c r="G477" t="str">
        <f t="shared" si="61"/>
        <v>julho</v>
      </c>
      <c r="H477">
        <f t="shared" si="62"/>
        <v>2023</v>
      </c>
    </row>
    <row r="478" spans="1:8" hidden="1" x14ac:dyDescent="0.25">
      <c r="A478">
        <v>3020212</v>
      </c>
      <c r="B478" s="1">
        <v>45108</v>
      </c>
      <c r="C478" t="s">
        <v>133</v>
      </c>
      <c r="D478">
        <v>2283.7199999999998</v>
      </c>
      <c r="E478">
        <v>8509.7900000000009</v>
      </c>
      <c r="F478" s="20">
        <f t="shared" si="60"/>
        <v>3.7262843080587822</v>
      </c>
      <c r="G478" t="str">
        <f t="shared" si="61"/>
        <v>julho</v>
      </c>
      <c r="H478">
        <f t="shared" si="62"/>
        <v>2023</v>
      </c>
    </row>
    <row r="479" spans="1:8" hidden="1" x14ac:dyDescent="0.25">
      <c r="A479">
        <v>3020214</v>
      </c>
      <c r="B479" s="1">
        <v>45108</v>
      </c>
      <c r="C479" t="s">
        <v>135</v>
      </c>
      <c r="D479">
        <v>1031.3499999999999</v>
      </c>
      <c r="E479">
        <v>3617.51</v>
      </c>
      <c r="F479" s="20">
        <f t="shared" si="60"/>
        <v>3.5075483589470116</v>
      </c>
      <c r="G479" t="str">
        <f t="shared" si="61"/>
        <v>julho</v>
      </c>
      <c r="H479">
        <f t="shared" si="62"/>
        <v>2023</v>
      </c>
    </row>
    <row r="480" spans="1:8" hidden="1" x14ac:dyDescent="0.25">
      <c r="A480">
        <v>3020315</v>
      </c>
      <c r="B480" s="1">
        <v>45108</v>
      </c>
      <c r="C480" t="s">
        <v>137</v>
      </c>
      <c r="D480">
        <v>3307.65</v>
      </c>
      <c r="E480">
        <v>11809.14</v>
      </c>
      <c r="F480" s="20">
        <f t="shared" si="60"/>
        <v>3.5702507822774474</v>
      </c>
      <c r="G480" t="str">
        <f t="shared" si="61"/>
        <v>julho</v>
      </c>
      <c r="H480">
        <f t="shared" si="62"/>
        <v>2023</v>
      </c>
    </row>
    <row r="481" spans="1:8" hidden="1" x14ac:dyDescent="0.25">
      <c r="A481">
        <v>3020316</v>
      </c>
      <c r="B481" s="1">
        <v>45108</v>
      </c>
      <c r="C481" t="s">
        <v>139</v>
      </c>
      <c r="D481">
        <v>167.88</v>
      </c>
      <c r="E481">
        <v>533.88</v>
      </c>
      <c r="F481" s="20">
        <f t="shared" si="60"/>
        <v>3.1801286633309509</v>
      </c>
      <c r="G481" t="str">
        <f t="shared" si="61"/>
        <v>julho</v>
      </c>
      <c r="H481">
        <f t="shared" si="62"/>
        <v>2023</v>
      </c>
    </row>
    <row r="482" spans="1:8" hidden="1" x14ac:dyDescent="0.25">
      <c r="A482">
        <v>3020402</v>
      </c>
      <c r="B482" s="1">
        <v>45108</v>
      </c>
      <c r="C482" t="s">
        <v>141</v>
      </c>
      <c r="D482">
        <v>1746.42</v>
      </c>
      <c r="E482">
        <v>6181.73</v>
      </c>
      <c r="F482" s="20">
        <f t="shared" si="60"/>
        <v>3.5396582723514385</v>
      </c>
      <c r="G482" t="str">
        <f t="shared" si="61"/>
        <v>julho</v>
      </c>
      <c r="H482">
        <f t="shared" si="62"/>
        <v>2023</v>
      </c>
    </row>
    <row r="483" spans="1:8" hidden="1" x14ac:dyDescent="0.25">
      <c r="A483">
        <v>3020403</v>
      </c>
      <c r="B483" s="1">
        <v>45108</v>
      </c>
      <c r="C483" t="s">
        <v>690</v>
      </c>
      <c r="D483">
        <v>1440</v>
      </c>
      <c r="E483">
        <v>5184</v>
      </c>
      <c r="F483" s="20">
        <f t="shared" si="60"/>
        <v>3.6</v>
      </c>
      <c r="G483" t="str">
        <f t="shared" si="61"/>
        <v>julho</v>
      </c>
      <c r="H483">
        <f t="shared" si="62"/>
        <v>2023</v>
      </c>
    </row>
    <row r="484" spans="1:8" hidden="1" x14ac:dyDescent="0.25">
      <c r="A484">
        <v>3020404</v>
      </c>
      <c r="B484" s="1">
        <v>45108</v>
      </c>
      <c r="C484" t="s">
        <v>691</v>
      </c>
      <c r="D484">
        <v>410.45</v>
      </c>
      <c r="E484">
        <v>1518.68</v>
      </c>
      <c r="F484" s="20">
        <f t="shared" si="60"/>
        <v>3.700036545255208</v>
      </c>
      <c r="G484" t="str">
        <f t="shared" si="61"/>
        <v>julho</v>
      </c>
      <c r="H484">
        <f t="shared" si="62"/>
        <v>2023</v>
      </c>
    </row>
    <row r="485" spans="1:8" hidden="1" x14ac:dyDescent="0.25">
      <c r="A485">
        <v>3020504</v>
      </c>
      <c r="B485" s="1">
        <v>45108</v>
      </c>
      <c r="C485" t="s">
        <v>143</v>
      </c>
      <c r="D485">
        <v>597.45000000000005</v>
      </c>
      <c r="E485">
        <v>2258.91</v>
      </c>
      <c r="F485" s="20">
        <f t="shared" si="60"/>
        <v>3.7809189053477272</v>
      </c>
      <c r="G485" t="str">
        <f t="shared" si="61"/>
        <v>julho</v>
      </c>
      <c r="H485">
        <f t="shared" si="62"/>
        <v>2023</v>
      </c>
    </row>
    <row r="486" spans="1:8" hidden="1" x14ac:dyDescent="0.25">
      <c r="A486">
        <v>3020622</v>
      </c>
      <c r="B486" s="1">
        <v>45108</v>
      </c>
      <c r="C486" t="s">
        <v>145</v>
      </c>
      <c r="D486">
        <v>9336.56</v>
      </c>
      <c r="E486">
        <v>34117.31</v>
      </c>
      <c r="F486" s="20">
        <f t="shared" si="60"/>
        <v>3.6541627751548749</v>
      </c>
      <c r="G486" t="str">
        <f t="shared" si="61"/>
        <v>julho</v>
      </c>
      <c r="H486">
        <f t="shared" si="62"/>
        <v>2023</v>
      </c>
    </row>
    <row r="487" spans="1:8" hidden="1" x14ac:dyDescent="0.25">
      <c r="A487">
        <v>3020623</v>
      </c>
      <c r="B487" s="1">
        <v>45108</v>
      </c>
      <c r="C487" t="s">
        <v>147</v>
      </c>
      <c r="D487">
        <v>984.58</v>
      </c>
      <c r="E487">
        <v>3780.09</v>
      </c>
      <c r="F487" s="20">
        <f t="shared" si="60"/>
        <v>3.8392918808019663</v>
      </c>
      <c r="G487" t="str">
        <f t="shared" si="61"/>
        <v>julho</v>
      </c>
      <c r="H487">
        <f t="shared" si="62"/>
        <v>2023</v>
      </c>
    </row>
    <row r="488" spans="1:8" hidden="1" x14ac:dyDescent="0.25">
      <c r="A488">
        <v>3020725</v>
      </c>
      <c r="B488" s="1">
        <v>45108</v>
      </c>
      <c r="C488" t="s">
        <v>149</v>
      </c>
      <c r="D488">
        <v>373.64</v>
      </c>
      <c r="E488">
        <v>1419.27</v>
      </c>
      <c r="F488" s="20">
        <f t="shared" si="60"/>
        <v>3.7984958783856118</v>
      </c>
      <c r="G488" t="str">
        <f t="shared" si="61"/>
        <v>julho</v>
      </c>
      <c r="H488">
        <f t="shared" si="62"/>
        <v>2023</v>
      </c>
    </row>
    <row r="489" spans="1:8" hidden="1" x14ac:dyDescent="0.25">
      <c r="A489">
        <v>3020823</v>
      </c>
      <c r="B489" s="1">
        <v>45108</v>
      </c>
      <c r="C489" t="s">
        <v>151</v>
      </c>
      <c r="D489">
        <v>1300.29</v>
      </c>
      <c r="E489">
        <v>4933.0200000000004</v>
      </c>
      <c r="F489" s="20">
        <f t="shared" si="60"/>
        <v>3.7937844634658426</v>
      </c>
      <c r="G489" t="str">
        <f t="shared" si="61"/>
        <v>julho</v>
      </c>
      <c r="H489">
        <f t="shared" si="62"/>
        <v>2023</v>
      </c>
    </row>
    <row r="490" spans="1:8" hidden="1" x14ac:dyDescent="0.25">
      <c r="A490">
        <v>3020824</v>
      </c>
      <c r="B490" s="1">
        <v>45108</v>
      </c>
      <c r="C490" t="s">
        <v>153</v>
      </c>
      <c r="D490">
        <v>2153.13</v>
      </c>
      <c r="E490">
        <v>7996.48</v>
      </c>
      <c r="F490" s="20">
        <f t="shared" si="60"/>
        <v>3.71388629576477</v>
      </c>
      <c r="G490" t="str">
        <f t="shared" si="61"/>
        <v>julho</v>
      </c>
      <c r="H490">
        <f t="shared" si="62"/>
        <v>2023</v>
      </c>
    </row>
    <row r="491" spans="1:8" hidden="1" x14ac:dyDescent="0.25">
      <c r="A491">
        <v>3020825</v>
      </c>
      <c r="B491" s="1">
        <v>45108</v>
      </c>
      <c r="C491" t="s">
        <v>455</v>
      </c>
      <c r="D491">
        <v>408.29</v>
      </c>
      <c r="E491">
        <v>1674</v>
      </c>
      <c r="F491" s="20">
        <f t="shared" si="60"/>
        <v>4.1000269416346224</v>
      </c>
      <c r="G491" t="str">
        <f t="shared" si="61"/>
        <v>julho</v>
      </c>
      <c r="H491">
        <f t="shared" si="62"/>
        <v>2023</v>
      </c>
    </row>
    <row r="492" spans="1:8" hidden="1" x14ac:dyDescent="0.25">
      <c r="A492">
        <v>3020924</v>
      </c>
      <c r="B492" s="1">
        <v>45108</v>
      </c>
      <c r="C492" t="s">
        <v>155</v>
      </c>
      <c r="D492">
        <v>1213.21</v>
      </c>
      <c r="E492">
        <v>4733.29</v>
      </c>
      <c r="F492" s="20">
        <f t="shared" si="60"/>
        <v>3.9014597637671962</v>
      </c>
      <c r="G492" t="str">
        <f t="shared" si="61"/>
        <v>julho</v>
      </c>
      <c r="H492">
        <f t="shared" si="62"/>
        <v>2023</v>
      </c>
    </row>
    <row r="493" spans="1:8" hidden="1" x14ac:dyDescent="0.25">
      <c r="A493">
        <v>3020925</v>
      </c>
      <c r="B493" s="1">
        <v>45108</v>
      </c>
      <c r="C493" t="s">
        <v>157</v>
      </c>
      <c r="D493">
        <v>2570.1799999999998</v>
      </c>
      <c r="E493">
        <v>9940.15</v>
      </c>
      <c r="F493" s="20">
        <f t="shared" si="60"/>
        <v>3.8674917710043655</v>
      </c>
      <c r="G493" t="str">
        <f t="shared" ref="G493:G553" si="63">TEXT(B493,"mmmm")</f>
        <v>julho</v>
      </c>
      <c r="H493">
        <f t="shared" ref="H493:H553" si="64">YEAR(B493)</f>
        <v>2023</v>
      </c>
    </row>
    <row r="494" spans="1:8" hidden="1" x14ac:dyDescent="0.25">
      <c r="A494">
        <v>3021436</v>
      </c>
      <c r="B494" s="1">
        <v>45108</v>
      </c>
      <c r="C494" t="s">
        <v>546</v>
      </c>
      <c r="D494">
        <v>494.73</v>
      </c>
      <c r="E494">
        <v>1656.72</v>
      </c>
      <c r="F494" s="20">
        <f t="shared" si="60"/>
        <v>3.348735674004002</v>
      </c>
      <c r="G494" t="str">
        <f t="shared" si="63"/>
        <v>julho</v>
      </c>
      <c r="H494">
        <f t="shared" si="64"/>
        <v>2023</v>
      </c>
    </row>
    <row r="495" spans="1:8" hidden="1" x14ac:dyDescent="0.25">
      <c r="A495">
        <v>3021537</v>
      </c>
      <c r="B495" s="1">
        <v>45108</v>
      </c>
      <c r="C495" t="s">
        <v>161</v>
      </c>
      <c r="D495">
        <v>7.59</v>
      </c>
      <c r="E495">
        <v>25.05</v>
      </c>
      <c r="F495" s="20">
        <f t="shared" si="60"/>
        <v>3.3003952569169961</v>
      </c>
      <c r="G495" t="str">
        <f t="shared" si="63"/>
        <v>julho</v>
      </c>
      <c r="H495">
        <f t="shared" si="64"/>
        <v>2023</v>
      </c>
    </row>
    <row r="496" spans="1:8" hidden="1" x14ac:dyDescent="0.25">
      <c r="A496">
        <v>3021538</v>
      </c>
      <c r="B496" s="1">
        <v>45108</v>
      </c>
      <c r="C496" t="s">
        <v>548</v>
      </c>
      <c r="D496">
        <v>83.92</v>
      </c>
      <c r="E496">
        <v>253.81</v>
      </c>
      <c r="F496" s="20">
        <f t="shared" si="60"/>
        <v>3.0244280266920875</v>
      </c>
      <c r="G496" t="str">
        <f t="shared" si="63"/>
        <v>julho</v>
      </c>
      <c r="H496">
        <f t="shared" si="64"/>
        <v>2023</v>
      </c>
    </row>
    <row r="497" spans="1:8" hidden="1" x14ac:dyDescent="0.25">
      <c r="A497">
        <v>3021639</v>
      </c>
      <c r="B497" s="1">
        <v>45108</v>
      </c>
      <c r="C497" t="s">
        <v>457</v>
      </c>
      <c r="D497">
        <v>53.11</v>
      </c>
      <c r="E497">
        <v>163.82</v>
      </c>
      <c r="F497" s="20">
        <f t="shared" si="60"/>
        <v>3.0845415176049706</v>
      </c>
      <c r="G497" t="str">
        <f t="shared" si="63"/>
        <v>julho</v>
      </c>
      <c r="H497">
        <f t="shared" si="64"/>
        <v>2023</v>
      </c>
    </row>
    <row r="498" spans="1:8" hidden="1" x14ac:dyDescent="0.25">
      <c r="A498">
        <v>3021740</v>
      </c>
      <c r="B498" s="1">
        <v>45108</v>
      </c>
      <c r="C498" t="s">
        <v>459</v>
      </c>
      <c r="D498">
        <v>311.91000000000003</v>
      </c>
      <c r="E498">
        <v>966.23</v>
      </c>
      <c r="F498" s="20">
        <f t="shared" si="60"/>
        <v>3.0977846173575707</v>
      </c>
      <c r="G498" t="str">
        <f t="shared" si="63"/>
        <v>julho</v>
      </c>
      <c r="H498">
        <f t="shared" si="64"/>
        <v>2023</v>
      </c>
    </row>
    <row r="499" spans="1:8" hidden="1" x14ac:dyDescent="0.25">
      <c r="A499">
        <v>3021760</v>
      </c>
      <c r="B499" s="1">
        <v>45108</v>
      </c>
      <c r="C499" t="s">
        <v>167</v>
      </c>
      <c r="D499">
        <v>1634.96</v>
      </c>
      <c r="E499">
        <v>4005.7</v>
      </c>
      <c r="F499" s="20">
        <f t="shared" ref="F499:F559" si="65">E499/D499</f>
        <v>2.4500293585164163</v>
      </c>
      <c r="G499" t="str">
        <f t="shared" si="63"/>
        <v>julho</v>
      </c>
      <c r="H499">
        <f t="shared" si="64"/>
        <v>2023</v>
      </c>
    </row>
    <row r="500" spans="1:8" hidden="1" x14ac:dyDescent="0.25">
      <c r="A500">
        <v>3021811</v>
      </c>
      <c r="B500" s="1">
        <v>45108</v>
      </c>
      <c r="C500" t="s">
        <v>169</v>
      </c>
      <c r="D500">
        <v>684.78</v>
      </c>
      <c r="E500">
        <v>1708.95</v>
      </c>
      <c r="F500" s="20">
        <f t="shared" si="65"/>
        <v>2.495619030929642</v>
      </c>
      <c r="G500" t="str">
        <f t="shared" si="63"/>
        <v>julho</v>
      </c>
      <c r="H500">
        <f t="shared" si="64"/>
        <v>2023</v>
      </c>
    </row>
    <row r="501" spans="1:8" hidden="1" x14ac:dyDescent="0.25">
      <c r="A501">
        <v>3021812</v>
      </c>
      <c r="B501" s="1">
        <v>45108</v>
      </c>
      <c r="C501" t="s">
        <v>171</v>
      </c>
      <c r="D501">
        <v>1477.42</v>
      </c>
      <c r="E501">
        <v>3462.73</v>
      </c>
      <c r="F501" s="20">
        <f t="shared" si="65"/>
        <v>2.3437681904942398</v>
      </c>
      <c r="G501" t="str">
        <f t="shared" si="63"/>
        <v>julho</v>
      </c>
      <c r="H501">
        <f t="shared" si="64"/>
        <v>2023</v>
      </c>
    </row>
    <row r="502" spans="1:8" hidden="1" x14ac:dyDescent="0.25">
      <c r="A502">
        <v>3022100</v>
      </c>
      <c r="B502" s="1">
        <v>45108</v>
      </c>
      <c r="C502" t="s">
        <v>173</v>
      </c>
      <c r="D502">
        <v>286.38</v>
      </c>
      <c r="E502">
        <v>1097.18</v>
      </c>
      <c r="F502" s="20">
        <f t="shared" si="65"/>
        <v>3.8312032963195755</v>
      </c>
      <c r="G502" t="str">
        <f t="shared" si="63"/>
        <v>julho</v>
      </c>
      <c r="H502">
        <f t="shared" si="64"/>
        <v>2023</v>
      </c>
    </row>
    <row r="503" spans="1:8" hidden="1" x14ac:dyDescent="0.25">
      <c r="A503">
        <v>3022208</v>
      </c>
      <c r="B503" s="1">
        <v>45108</v>
      </c>
      <c r="C503" t="s">
        <v>307</v>
      </c>
      <c r="D503">
        <v>566.05999999999995</v>
      </c>
      <c r="E503">
        <v>2149.94</v>
      </c>
      <c r="F503" s="20">
        <f t="shared" si="65"/>
        <v>3.7980779422676045</v>
      </c>
      <c r="G503" t="str">
        <f t="shared" si="63"/>
        <v>julho</v>
      </c>
      <c r="H503">
        <f t="shared" si="64"/>
        <v>2023</v>
      </c>
    </row>
    <row r="504" spans="1:8" hidden="1" x14ac:dyDescent="0.25">
      <c r="A504">
        <v>3022311</v>
      </c>
      <c r="B504" s="1">
        <v>45108</v>
      </c>
      <c r="C504" t="s">
        <v>176</v>
      </c>
      <c r="D504">
        <v>1773.85</v>
      </c>
      <c r="E504">
        <v>4246.57</v>
      </c>
      <c r="F504" s="20">
        <f t="shared" si="65"/>
        <v>2.3939848352453703</v>
      </c>
      <c r="G504" t="str">
        <f t="shared" si="63"/>
        <v>julho</v>
      </c>
      <c r="H504">
        <f t="shared" si="64"/>
        <v>2023</v>
      </c>
    </row>
    <row r="505" spans="1:8" hidden="1" x14ac:dyDescent="0.25">
      <c r="A505">
        <v>3022411</v>
      </c>
      <c r="B505" s="1">
        <v>45108</v>
      </c>
      <c r="C505" t="s">
        <v>178</v>
      </c>
      <c r="D505">
        <v>43.62</v>
      </c>
      <c r="E505">
        <v>122.65</v>
      </c>
      <c r="F505" s="20">
        <f t="shared" si="65"/>
        <v>2.8117835855112339</v>
      </c>
      <c r="G505" t="str">
        <f t="shared" si="63"/>
        <v>julho</v>
      </c>
      <c r="H505">
        <f t="shared" si="64"/>
        <v>2023</v>
      </c>
    </row>
    <row r="506" spans="1:8" hidden="1" x14ac:dyDescent="0.25">
      <c r="A506">
        <v>3022511</v>
      </c>
      <c r="B506" s="1">
        <v>45108</v>
      </c>
      <c r="C506" t="s">
        <v>180</v>
      </c>
      <c r="D506">
        <v>11.8</v>
      </c>
      <c r="E506">
        <v>31.27</v>
      </c>
      <c r="F506" s="20">
        <f t="shared" si="65"/>
        <v>2.65</v>
      </c>
      <c r="G506" t="str">
        <f t="shared" si="63"/>
        <v>julho</v>
      </c>
      <c r="H506">
        <f t="shared" si="64"/>
        <v>2023</v>
      </c>
    </row>
    <row r="507" spans="1:8" hidden="1" x14ac:dyDescent="0.25">
      <c r="A507">
        <v>3022601</v>
      </c>
      <c r="B507" s="1">
        <v>45108</v>
      </c>
      <c r="C507" t="s">
        <v>182</v>
      </c>
      <c r="D507">
        <v>252.5</v>
      </c>
      <c r="E507">
        <v>1015.56</v>
      </c>
      <c r="F507" s="20">
        <f t="shared" si="65"/>
        <v>4.022019801980198</v>
      </c>
      <c r="G507" t="str">
        <f t="shared" si="63"/>
        <v>julho</v>
      </c>
      <c r="H507">
        <f t="shared" si="64"/>
        <v>2023</v>
      </c>
    </row>
    <row r="508" spans="1:8" hidden="1" x14ac:dyDescent="0.25">
      <c r="A508">
        <v>3022703</v>
      </c>
      <c r="B508" s="1">
        <v>45108</v>
      </c>
      <c r="C508" t="s">
        <v>309</v>
      </c>
      <c r="D508">
        <v>747</v>
      </c>
      <c r="E508">
        <v>2071.15</v>
      </c>
      <c r="F508" s="20">
        <f t="shared" si="65"/>
        <v>2.7726238286479252</v>
      </c>
      <c r="G508" t="str">
        <f t="shared" si="63"/>
        <v>julho</v>
      </c>
      <c r="H508">
        <f t="shared" si="64"/>
        <v>2023</v>
      </c>
    </row>
    <row r="509" spans="1:8" hidden="1" x14ac:dyDescent="0.25">
      <c r="A509">
        <v>3022805</v>
      </c>
      <c r="B509" s="1">
        <v>45108</v>
      </c>
      <c r="C509" t="s">
        <v>186</v>
      </c>
      <c r="D509">
        <v>2395</v>
      </c>
      <c r="E509">
        <v>5018.3999999999996</v>
      </c>
      <c r="F509" s="20">
        <f t="shared" si="65"/>
        <v>2.0953653444676408</v>
      </c>
      <c r="G509" t="str">
        <f t="shared" si="63"/>
        <v>julho</v>
      </c>
      <c r="H509">
        <f t="shared" si="64"/>
        <v>2023</v>
      </c>
    </row>
    <row r="510" spans="1:8" hidden="1" x14ac:dyDescent="0.25">
      <c r="A510">
        <v>3022906</v>
      </c>
      <c r="B510" s="1">
        <v>45108</v>
      </c>
      <c r="C510" t="s">
        <v>188</v>
      </c>
      <c r="D510">
        <v>3650</v>
      </c>
      <c r="E510">
        <v>7425.97</v>
      </c>
      <c r="F510" s="20">
        <f t="shared" si="65"/>
        <v>2.0345123287671232</v>
      </c>
      <c r="G510" t="str">
        <f t="shared" si="63"/>
        <v>julho</v>
      </c>
      <c r="H510">
        <f t="shared" si="64"/>
        <v>2023</v>
      </c>
    </row>
    <row r="511" spans="1:8" hidden="1" x14ac:dyDescent="0.25">
      <c r="A511">
        <v>3023007</v>
      </c>
      <c r="B511" s="1">
        <v>45108</v>
      </c>
      <c r="C511" t="s">
        <v>190</v>
      </c>
      <c r="D511">
        <v>1000</v>
      </c>
      <c r="E511">
        <v>2048</v>
      </c>
      <c r="F511" s="20">
        <f t="shared" si="65"/>
        <v>2.048</v>
      </c>
      <c r="G511" t="str">
        <f t="shared" si="63"/>
        <v>julho</v>
      </c>
      <c r="H511">
        <f t="shared" si="64"/>
        <v>2023</v>
      </c>
    </row>
    <row r="512" spans="1:8" hidden="1" x14ac:dyDescent="0.25">
      <c r="A512">
        <v>4030100</v>
      </c>
      <c r="B512" s="1">
        <v>45108</v>
      </c>
      <c r="C512" t="s">
        <v>200</v>
      </c>
      <c r="D512">
        <v>364.7</v>
      </c>
      <c r="E512">
        <v>2237.0700000000002</v>
      </c>
      <c r="F512" s="20">
        <f t="shared" si="65"/>
        <v>6.1340005483959423</v>
      </c>
      <c r="G512" t="str">
        <f t="shared" si="63"/>
        <v>julho</v>
      </c>
      <c r="H512">
        <f t="shared" si="64"/>
        <v>2023</v>
      </c>
    </row>
    <row r="513" spans="1:8" hidden="1" x14ac:dyDescent="0.25">
      <c r="A513">
        <v>4030201</v>
      </c>
      <c r="B513" s="1">
        <v>45108</v>
      </c>
      <c r="C513" t="s">
        <v>692</v>
      </c>
      <c r="D513">
        <v>4.7</v>
      </c>
      <c r="E513">
        <v>17.86</v>
      </c>
      <c r="F513" s="20">
        <f t="shared" si="65"/>
        <v>3.8</v>
      </c>
      <c r="G513" t="str">
        <f t="shared" si="63"/>
        <v>julho</v>
      </c>
      <c r="H513">
        <f t="shared" si="64"/>
        <v>2023</v>
      </c>
    </row>
    <row r="514" spans="1:8" hidden="1" x14ac:dyDescent="0.25">
      <c r="A514">
        <v>4030211</v>
      </c>
      <c r="B514" s="1">
        <v>45108</v>
      </c>
      <c r="C514" t="s">
        <v>202</v>
      </c>
      <c r="D514">
        <v>709.65</v>
      </c>
      <c r="E514">
        <v>4219.45</v>
      </c>
      <c r="F514" s="20">
        <f t="shared" si="65"/>
        <v>5.9458183611639539</v>
      </c>
      <c r="G514" t="str">
        <f t="shared" si="63"/>
        <v>julho</v>
      </c>
      <c r="H514">
        <f t="shared" si="64"/>
        <v>2023</v>
      </c>
    </row>
    <row r="515" spans="1:8" hidden="1" x14ac:dyDescent="0.25">
      <c r="A515">
        <v>4030301</v>
      </c>
      <c r="B515" s="1">
        <v>45108</v>
      </c>
      <c r="C515" t="s">
        <v>693</v>
      </c>
      <c r="D515">
        <v>2519.59</v>
      </c>
      <c r="E515">
        <v>12547.55</v>
      </c>
      <c r="F515" s="20">
        <f t="shared" si="65"/>
        <v>4.9799967455022438</v>
      </c>
      <c r="G515" t="str">
        <f t="shared" si="63"/>
        <v>julho</v>
      </c>
      <c r="H515">
        <f t="shared" si="64"/>
        <v>2023</v>
      </c>
    </row>
    <row r="516" spans="1:8" hidden="1" x14ac:dyDescent="0.25">
      <c r="A516">
        <v>4030302</v>
      </c>
      <c r="B516" s="1">
        <v>45108</v>
      </c>
      <c r="C516" t="s">
        <v>694</v>
      </c>
      <c r="D516">
        <v>5100.2</v>
      </c>
      <c r="E516">
        <v>21420.84</v>
      </c>
      <c r="F516" s="20">
        <f t="shared" si="65"/>
        <v>4.2</v>
      </c>
      <c r="G516" t="str">
        <f t="shared" si="63"/>
        <v>julho</v>
      </c>
      <c r="H516">
        <f t="shared" si="64"/>
        <v>2023</v>
      </c>
    </row>
    <row r="517" spans="1:8" hidden="1" x14ac:dyDescent="0.25">
      <c r="A517">
        <v>4030303</v>
      </c>
      <c r="B517" s="1">
        <v>45108</v>
      </c>
      <c r="C517" t="s">
        <v>695</v>
      </c>
      <c r="D517">
        <v>2037.6</v>
      </c>
      <c r="E517">
        <v>10147.25</v>
      </c>
      <c r="F517" s="20">
        <f t="shared" si="65"/>
        <v>4.9800009815469179</v>
      </c>
      <c r="G517" t="str">
        <f t="shared" si="63"/>
        <v>julho</v>
      </c>
      <c r="H517">
        <f t="shared" si="64"/>
        <v>2023</v>
      </c>
    </row>
    <row r="518" spans="1:8" hidden="1" x14ac:dyDescent="0.25">
      <c r="A518">
        <v>4030311</v>
      </c>
      <c r="B518" s="1">
        <v>45108</v>
      </c>
      <c r="C518" t="s">
        <v>311</v>
      </c>
      <c r="D518">
        <v>297.48</v>
      </c>
      <c r="E518">
        <v>1996.02</v>
      </c>
      <c r="F518" s="20">
        <f t="shared" si="65"/>
        <v>6.7097620008067764</v>
      </c>
      <c r="G518" t="str">
        <f t="shared" si="63"/>
        <v>julho</v>
      </c>
      <c r="H518">
        <f t="shared" si="64"/>
        <v>2023</v>
      </c>
    </row>
    <row r="519" spans="1:8" hidden="1" x14ac:dyDescent="0.25">
      <c r="A519">
        <v>4030401</v>
      </c>
      <c r="B519" s="1">
        <v>45108</v>
      </c>
      <c r="C519" t="s">
        <v>461</v>
      </c>
      <c r="D519">
        <v>300.69</v>
      </c>
      <c r="E519">
        <v>1551.38</v>
      </c>
      <c r="F519" s="20">
        <f t="shared" si="65"/>
        <v>5.15940004655958</v>
      </c>
      <c r="G519" t="str">
        <f t="shared" si="63"/>
        <v>julho</v>
      </c>
      <c r="H519">
        <f t="shared" si="64"/>
        <v>2023</v>
      </c>
    </row>
    <row r="520" spans="1:8" hidden="1" x14ac:dyDescent="0.25">
      <c r="A520">
        <v>4030532</v>
      </c>
      <c r="B520" s="1">
        <v>45108</v>
      </c>
      <c r="C520" t="s">
        <v>210</v>
      </c>
      <c r="D520">
        <v>89.61</v>
      </c>
      <c r="E520">
        <v>449.92</v>
      </c>
      <c r="F520" s="20">
        <f t="shared" si="65"/>
        <v>5.020868206673363</v>
      </c>
      <c r="G520" t="str">
        <f t="shared" si="63"/>
        <v>julho</v>
      </c>
      <c r="H520">
        <f t="shared" si="64"/>
        <v>2023</v>
      </c>
    </row>
    <row r="521" spans="1:8" hidden="1" x14ac:dyDescent="0.25">
      <c r="A521">
        <v>4030600</v>
      </c>
      <c r="B521" s="1">
        <v>45108</v>
      </c>
      <c r="C521" t="s">
        <v>212</v>
      </c>
      <c r="D521">
        <v>754.8</v>
      </c>
      <c r="E521">
        <v>2329.02</v>
      </c>
      <c r="F521" s="20">
        <f t="shared" si="65"/>
        <v>3.0856120826709064</v>
      </c>
      <c r="G521" t="str">
        <f t="shared" si="63"/>
        <v>julho</v>
      </c>
      <c r="H521">
        <f t="shared" si="64"/>
        <v>2023</v>
      </c>
    </row>
    <row r="522" spans="1:8" hidden="1" x14ac:dyDescent="0.25">
      <c r="A522">
        <v>4030711</v>
      </c>
      <c r="B522" s="1">
        <v>45108</v>
      </c>
      <c r="C522" t="s">
        <v>214</v>
      </c>
      <c r="D522">
        <v>1011.71</v>
      </c>
      <c r="E522">
        <v>3363.18</v>
      </c>
      <c r="F522" s="20">
        <f t="shared" si="65"/>
        <v>3.3242529974004404</v>
      </c>
      <c r="G522" t="str">
        <f t="shared" si="63"/>
        <v>julho</v>
      </c>
      <c r="H522">
        <f t="shared" si="64"/>
        <v>2023</v>
      </c>
    </row>
    <row r="523" spans="1:8" hidden="1" x14ac:dyDescent="0.25">
      <c r="A523">
        <v>4030811</v>
      </c>
      <c r="B523" s="1">
        <v>45108</v>
      </c>
      <c r="C523" t="s">
        <v>216</v>
      </c>
      <c r="D523">
        <v>2246.46</v>
      </c>
      <c r="E523">
        <v>7060.12</v>
      </c>
      <c r="F523" s="20">
        <f t="shared" si="65"/>
        <v>3.1427757449498319</v>
      </c>
      <c r="G523" t="str">
        <f t="shared" si="63"/>
        <v>julho</v>
      </c>
      <c r="H523">
        <f t="shared" si="64"/>
        <v>2023</v>
      </c>
    </row>
    <row r="524" spans="1:8" hidden="1" x14ac:dyDescent="0.25">
      <c r="A524">
        <v>4030813</v>
      </c>
      <c r="B524" s="1">
        <v>45108</v>
      </c>
      <c r="C524" t="s">
        <v>218</v>
      </c>
      <c r="D524">
        <v>1449.62</v>
      </c>
      <c r="E524">
        <v>4329.47</v>
      </c>
      <c r="F524" s="20">
        <f t="shared" si="65"/>
        <v>2.9866240807935878</v>
      </c>
      <c r="G524" t="str">
        <f t="shared" si="63"/>
        <v>julho</v>
      </c>
      <c r="H524">
        <f t="shared" si="64"/>
        <v>2023</v>
      </c>
    </row>
    <row r="525" spans="1:8" hidden="1" x14ac:dyDescent="0.25">
      <c r="A525">
        <v>4030900</v>
      </c>
      <c r="B525" s="1">
        <v>45108</v>
      </c>
      <c r="C525" t="s">
        <v>220</v>
      </c>
      <c r="D525">
        <v>5537</v>
      </c>
      <c r="E525">
        <v>16716.71</v>
      </c>
      <c r="F525" s="20">
        <f t="shared" si="65"/>
        <v>3.0190915658298718</v>
      </c>
      <c r="G525" t="str">
        <f t="shared" si="63"/>
        <v>julho</v>
      </c>
      <c r="H525">
        <f t="shared" si="64"/>
        <v>2023</v>
      </c>
    </row>
    <row r="526" spans="1:8" hidden="1" x14ac:dyDescent="0.25">
      <c r="A526">
        <v>4030910</v>
      </c>
      <c r="B526" s="1">
        <v>45108</v>
      </c>
      <c r="C526" t="s">
        <v>222</v>
      </c>
      <c r="D526">
        <v>144.19</v>
      </c>
      <c r="E526">
        <v>469.26</v>
      </c>
      <c r="F526" s="20">
        <f t="shared" si="65"/>
        <v>3.2544559262084749</v>
      </c>
      <c r="G526" t="str">
        <f t="shared" si="63"/>
        <v>julho</v>
      </c>
      <c r="H526">
        <f t="shared" si="64"/>
        <v>2023</v>
      </c>
    </row>
    <row r="527" spans="1:8" hidden="1" x14ac:dyDescent="0.25">
      <c r="A527">
        <v>4031012</v>
      </c>
      <c r="B527" s="1">
        <v>45108</v>
      </c>
      <c r="C527" t="s">
        <v>224</v>
      </c>
      <c r="D527">
        <v>958.97</v>
      </c>
      <c r="E527">
        <v>2957.64</v>
      </c>
      <c r="F527" s="20">
        <f t="shared" si="65"/>
        <v>3.0841840724944469</v>
      </c>
      <c r="G527" t="str">
        <f t="shared" si="63"/>
        <v>julho</v>
      </c>
      <c r="H527">
        <f t="shared" si="64"/>
        <v>2023</v>
      </c>
    </row>
    <row r="528" spans="1:8" hidden="1" x14ac:dyDescent="0.25">
      <c r="A528">
        <v>4031017</v>
      </c>
      <c r="B528" s="1">
        <v>45108</v>
      </c>
      <c r="C528" t="s">
        <v>226</v>
      </c>
      <c r="D528">
        <v>2195</v>
      </c>
      <c r="E528">
        <v>1458.15</v>
      </c>
      <c r="F528" s="20">
        <f t="shared" si="65"/>
        <v>0.66430523917995443</v>
      </c>
      <c r="G528" t="str">
        <f t="shared" si="63"/>
        <v>julho</v>
      </c>
      <c r="H528">
        <f t="shared" si="64"/>
        <v>2023</v>
      </c>
    </row>
    <row r="529" spans="1:8" hidden="1" x14ac:dyDescent="0.25">
      <c r="A529">
        <v>4031102</v>
      </c>
      <c r="B529" s="1">
        <v>45108</v>
      </c>
      <c r="C529" t="s">
        <v>228</v>
      </c>
      <c r="D529">
        <v>10440.23</v>
      </c>
      <c r="E529">
        <v>30201.81</v>
      </c>
      <c r="F529" s="20">
        <f t="shared" si="65"/>
        <v>2.8928299472329635</v>
      </c>
      <c r="G529" t="str">
        <f t="shared" si="63"/>
        <v>julho</v>
      </c>
      <c r="H529">
        <f t="shared" si="64"/>
        <v>2023</v>
      </c>
    </row>
    <row r="530" spans="1:8" hidden="1" x14ac:dyDescent="0.25">
      <c r="A530">
        <v>4031200</v>
      </c>
      <c r="B530" s="1">
        <v>45108</v>
      </c>
      <c r="C530" t="s">
        <v>230</v>
      </c>
      <c r="D530">
        <v>1221.52</v>
      </c>
      <c r="E530">
        <v>3658.18</v>
      </c>
      <c r="F530" s="20">
        <f t="shared" si="65"/>
        <v>2.9947769991486015</v>
      </c>
      <c r="G530" t="str">
        <f t="shared" si="63"/>
        <v>julho</v>
      </c>
      <c r="H530">
        <f t="shared" si="64"/>
        <v>2023</v>
      </c>
    </row>
    <row r="531" spans="1:8" hidden="1" x14ac:dyDescent="0.25">
      <c r="A531">
        <v>4031304</v>
      </c>
      <c r="B531" s="1">
        <v>45108</v>
      </c>
      <c r="C531" t="s">
        <v>232</v>
      </c>
      <c r="D531">
        <v>1641.96</v>
      </c>
      <c r="E531">
        <v>4730.9399999999996</v>
      </c>
      <c r="F531" s="20">
        <f t="shared" si="65"/>
        <v>2.8812760359570269</v>
      </c>
      <c r="G531" t="str">
        <f t="shared" si="63"/>
        <v>julho</v>
      </c>
      <c r="H531">
        <f t="shared" si="64"/>
        <v>2023</v>
      </c>
    </row>
    <row r="532" spans="1:8" hidden="1" x14ac:dyDescent="0.25">
      <c r="A532">
        <v>4031411</v>
      </c>
      <c r="B532" s="1">
        <v>45108</v>
      </c>
      <c r="C532" t="s">
        <v>234</v>
      </c>
      <c r="D532">
        <v>78.89</v>
      </c>
      <c r="E532">
        <v>225.54</v>
      </c>
      <c r="F532" s="20">
        <f t="shared" si="65"/>
        <v>2.8589174800354922</v>
      </c>
      <c r="G532" t="str">
        <f t="shared" si="63"/>
        <v>julho</v>
      </c>
      <c r="H532">
        <f t="shared" si="64"/>
        <v>2023</v>
      </c>
    </row>
    <row r="533" spans="1:8" hidden="1" x14ac:dyDescent="0.25">
      <c r="A533">
        <v>4031500</v>
      </c>
      <c r="B533" s="1">
        <v>45108</v>
      </c>
      <c r="C533" t="s">
        <v>236</v>
      </c>
      <c r="D533">
        <v>6069.15</v>
      </c>
      <c r="E533">
        <v>17251.64</v>
      </c>
      <c r="F533" s="20">
        <f t="shared" si="65"/>
        <v>2.8425133667811804</v>
      </c>
      <c r="G533" t="str">
        <f t="shared" si="63"/>
        <v>julho</v>
      </c>
      <c r="H533">
        <f t="shared" si="64"/>
        <v>2023</v>
      </c>
    </row>
    <row r="534" spans="1:8" hidden="1" x14ac:dyDescent="0.25">
      <c r="A534">
        <v>4031604</v>
      </c>
      <c r="B534" s="1">
        <v>45108</v>
      </c>
      <c r="C534" t="s">
        <v>238</v>
      </c>
      <c r="D534">
        <v>6253.9</v>
      </c>
      <c r="E534">
        <v>16838.88</v>
      </c>
      <c r="F534" s="20">
        <f t="shared" si="65"/>
        <v>2.69254065463151</v>
      </c>
      <c r="G534" t="str">
        <f t="shared" si="63"/>
        <v>julho</v>
      </c>
      <c r="H534">
        <f t="shared" si="64"/>
        <v>2023</v>
      </c>
    </row>
    <row r="535" spans="1:8" hidden="1" x14ac:dyDescent="0.25">
      <c r="A535">
        <v>4031605</v>
      </c>
      <c r="B535" s="1">
        <v>45108</v>
      </c>
      <c r="C535" t="s">
        <v>240</v>
      </c>
      <c r="D535">
        <v>46.25</v>
      </c>
      <c r="E535">
        <v>149.37</v>
      </c>
      <c r="F535" s="20">
        <f t="shared" si="65"/>
        <v>3.2296216216216216</v>
      </c>
      <c r="G535" t="str">
        <f t="shared" si="63"/>
        <v>julho</v>
      </c>
      <c r="H535">
        <f t="shared" si="64"/>
        <v>2023</v>
      </c>
    </row>
    <row r="536" spans="1:8" hidden="1" x14ac:dyDescent="0.25">
      <c r="A536">
        <v>4031700</v>
      </c>
      <c r="B536" s="1">
        <v>45108</v>
      </c>
      <c r="C536" t="s">
        <v>242</v>
      </c>
      <c r="D536">
        <v>728.5</v>
      </c>
      <c r="E536">
        <v>2174.5</v>
      </c>
      <c r="F536" s="20">
        <f t="shared" si="65"/>
        <v>2.9849004804392587</v>
      </c>
      <c r="G536" t="str">
        <f t="shared" si="63"/>
        <v>julho</v>
      </c>
      <c r="H536">
        <f t="shared" si="64"/>
        <v>2023</v>
      </c>
    </row>
    <row r="537" spans="1:8" hidden="1" x14ac:dyDescent="0.25">
      <c r="A537">
        <v>4031812</v>
      </c>
      <c r="B537" s="1">
        <v>45108</v>
      </c>
      <c r="C537" t="s">
        <v>244</v>
      </c>
      <c r="D537">
        <v>370.06</v>
      </c>
      <c r="E537">
        <v>1188.8800000000001</v>
      </c>
      <c r="F537" s="20">
        <f t="shared" si="65"/>
        <v>3.2126682159649791</v>
      </c>
      <c r="G537" t="str">
        <f t="shared" si="63"/>
        <v>julho</v>
      </c>
      <c r="H537">
        <f t="shared" si="64"/>
        <v>2023</v>
      </c>
    </row>
    <row r="538" spans="1:8" hidden="1" x14ac:dyDescent="0.25">
      <c r="A538">
        <v>4031813</v>
      </c>
      <c r="B538" s="1">
        <v>45108</v>
      </c>
      <c r="C538" t="s">
        <v>464</v>
      </c>
      <c r="D538">
        <v>350</v>
      </c>
      <c r="E538">
        <v>234.5</v>
      </c>
      <c r="F538" s="20">
        <f t="shared" si="65"/>
        <v>0.67</v>
      </c>
      <c r="G538" t="str">
        <f t="shared" si="63"/>
        <v>julho</v>
      </c>
      <c r="H538">
        <f t="shared" si="64"/>
        <v>2023</v>
      </c>
    </row>
    <row r="539" spans="1:8" hidden="1" x14ac:dyDescent="0.25">
      <c r="A539">
        <v>4031904</v>
      </c>
      <c r="B539" s="1">
        <v>45108</v>
      </c>
      <c r="C539" t="s">
        <v>246</v>
      </c>
      <c r="D539">
        <v>986.65</v>
      </c>
      <c r="E539">
        <v>2873.9</v>
      </c>
      <c r="F539" s="20">
        <f t="shared" si="65"/>
        <v>2.9127856889474484</v>
      </c>
      <c r="G539" t="str">
        <f t="shared" si="63"/>
        <v>julho</v>
      </c>
      <c r="H539">
        <f t="shared" si="64"/>
        <v>2023</v>
      </c>
    </row>
    <row r="540" spans="1:8" hidden="1" x14ac:dyDescent="0.25">
      <c r="A540">
        <v>4032111</v>
      </c>
      <c r="B540" s="1">
        <v>45108</v>
      </c>
      <c r="C540" t="s">
        <v>314</v>
      </c>
      <c r="D540">
        <v>17.559999999999999</v>
      </c>
      <c r="E540">
        <v>93.17</v>
      </c>
      <c r="F540" s="20">
        <f t="shared" si="65"/>
        <v>5.3058086560364472</v>
      </c>
      <c r="G540" t="str">
        <f t="shared" si="63"/>
        <v>julho</v>
      </c>
      <c r="H540">
        <f t="shared" si="64"/>
        <v>2023</v>
      </c>
    </row>
    <row r="541" spans="1:8" hidden="1" x14ac:dyDescent="0.25">
      <c r="A541">
        <v>4032204</v>
      </c>
      <c r="B541" s="1">
        <v>45108</v>
      </c>
      <c r="C541" t="s">
        <v>315</v>
      </c>
      <c r="D541">
        <v>51.3</v>
      </c>
      <c r="E541">
        <v>260.52</v>
      </c>
      <c r="F541" s="20">
        <f t="shared" si="65"/>
        <v>5.0783625730994153</v>
      </c>
      <c r="G541" t="str">
        <f t="shared" si="63"/>
        <v>julho</v>
      </c>
      <c r="H541">
        <f t="shared" si="64"/>
        <v>2023</v>
      </c>
    </row>
    <row r="542" spans="1:8" hidden="1" x14ac:dyDescent="0.25">
      <c r="A542">
        <v>4032205</v>
      </c>
      <c r="B542" s="1">
        <v>45108</v>
      </c>
      <c r="C542" t="s">
        <v>553</v>
      </c>
      <c r="D542">
        <v>60.43</v>
      </c>
      <c r="E542">
        <v>314.45</v>
      </c>
      <c r="F542" s="20">
        <f t="shared" si="65"/>
        <v>5.2035412874400127</v>
      </c>
      <c r="G542" t="str">
        <f t="shared" si="63"/>
        <v>julho</v>
      </c>
      <c r="H542">
        <f t="shared" si="64"/>
        <v>2023</v>
      </c>
    </row>
    <row r="543" spans="1:8" hidden="1" x14ac:dyDescent="0.25">
      <c r="A543">
        <v>4032206</v>
      </c>
      <c r="B543" s="1">
        <v>45108</v>
      </c>
      <c r="C543" t="s">
        <v>555</v>
      </c>
      <c r="D543">
        <v>40.29</v>
      </c>
      <c r="E543">
        <v>216.39</v>
      </c>
      <c r="F543" s="20">
        <f t="shared" si="65"/>
        <v>5.3708116157855548</v>
      </c>
      <c r="G543" t="str">
        <f t="shared" si="63"/>
        <v>julho</v>
      </c>
      <c r="H543">
        <f t="shared" si="64"/>
        <v>2023</v>
      </c>
    </row>
    <row r="544" spans="1:8" hidden="1" x14ac:dyDescent="0.25">
      <c r="A544">
        <v>4032312</v>
      </c>
      <c r="B544" s="1">
        <v>45108</v>
      </c>
      <c r="C544" t="s">
        <v>252</v>
      </c>
      <c r="D544">
        <v>572.16</v>
      </c>
      <c r="E544">
        <v>2409.17</v>
      </c>
      <c r="F544" s="20">
        <f t="shared" si="65"/>
        <v>4.2106578579418352</v>
      </c>
      <c r="G544" t="str">
        <f t="shared" si="63"/>
        <v>julho</v>
      </c>
      <c r="H544">
        <f t="shared" si="64"/>
        <v>2023</v>
      </c>
    </row>
    <row r="545" spans="1:8" hidden="1" x14ac:dyDescent="0.25">
      <c r="A545">
        <v>4032404</v>
      </c>
      <c r="B545" s="1">
        <v>45108</v>
      </c>
      <c r="C545" t="s">
        <v>254</v>
      </c>
      <c r="D545">
        <v>101.12</v>
      </c>
      <c r="E545">
        <v>446.22</v>
      </c>
      <c r="F545" s="20">
        <f t="shared" si="65"/>
        <v>4.4127768987341769</v>
      </c>
      <c r="G545" t="str">
        <f t="shared" si="63"/>
        <v>julho</v>
      </c>
      <c r="H545">
        <f t="shared" si="64"/>
        <v>2023</v>
      </c>
    </row>
    <row r="546" spans="1:8" hidden="1" x14ac:dyDescent="0.25">
      <c r="A546">
        <v>4032500</v>
      </c>
      <c r="B546" s="1">
        <v>45108</v>
      </c>
      <c r="C546" t="s">
        <v>256</v>
      </c>
      <c r="D546">
        <v>272.10000000000002</v>
      </c>
      <c r="E546">
        <v>743.22</v>
      </c>
      <c r="F546" s="20">
        <f t="shared" si="65"/>
        <v>2.7314222712238148</v>
      </c>
      <c r="G546" t="str">
        <f t="shared" si="63"/>
        <v>julho</v>
      </c>
      <c r="H546">
        <f t="shared" si="64"/>
        <v>2023</v>
      </c>
    </row>
    <row r="547" spans="1:8" hidden="1" x14ac:dyDescent="0.25">
      <c r="A547">
        <v>4032611</v>
      </c>
      <c r="B547" s="1">
        <v>45108</v>
      </c>
      <c r="C547" t="s">
        <v>258</v>
      </c>
      <c r="D547">
        <v>41.34</v>
      </c>
      <c r="E547">
        <v>128.06</v>
      </c>
      <c r="F547" s="20">
        <f t="shared" si="65"/>
        <v>3.0977261731978709</v>
      </c>
      <c r="G547" t="str">
        <f t="shared" si="63"/>
        <v>julho</v>
      </c>
      <c r="H547">
        <f t="shared" si="64"/>
        <v>2023</v>
      </c>
    </row>
    <row r="548" spans="1:8" hidden="1" x14ac:dyDescent="0.25">
      <c r="A548">
        <v>4032704</v>
      </c>
      <c r="B548" s="1">
        <v>45108</v>
      </c>
      <c r="C548" t="s">
        <v>260</v>
      </c>
      <c r="D548">
        <v>238.04</v>
      </c>
      <c r="E548">
        <v>701.47</v>
      </c>
      <c r="F548" s="20">
        <f t="shared" si="65"/>
        <v>2.9468576709796674</v>
      </c>
      <c r="G548" t="str">
        <f t="shared" si="63"/>
        <v>julho</v>
      </c>
      <c r="H548">
        <f t="shared" si="64"/>
        <v>2023</v>
      </c>
    </row>
    <row r="549" spans="1:8" hidden="1" x14ac:dyDescent="0.25">
      <c r="A549">
        <v>4032800</v>
      </c>
      <c r="B549" s="1">
        <v>45108</v>
      </c>
      <c r="C549" t="s">
        <v>262</v>
      </c>
      <c r="D549">
        <v>101.7</v>
      </c>
      <c r="E549">
        <v>591.55999999999995</v>
      </c>
      <c r="F549" s="20">
        <f t="shared" si="65"/>
        <v>5.8167158308751219</v>
      </c>
      <c r="G549" t="str">
        <f t="shared" si="63"/>
        <v>julho</v>
      </c>
      <c r="H549">
        <f t="shared" si="64"/>
        <v>2023</v>
      </c>
    </row>
    <row r="550" spans="1:8" hidden="1" x14ac:dyDescent="0.25">
      <c r="A550">
        <v>4032902</v>
      </c>
      <c r="B550" s="1">
        <v>45108</v>
      </c>
      <c r="C550" t="s">
        <v>264</v>
      </c>
      <c r="D550">
        <v>127.18</v>
      </c>
      <c r="E550">
        <v>653.82000000000005</v>
      </c>
      <c r="F550" s="20">
        <f t="shared" si="65"/>
        <v>5.1409026576505745</v>
      </c>
      <c r="G550" t="str">
        <f t="shared" si="63"/>
        <v>julho</v>
      </c>
      <c r="H550">
        <f t="shared" si="64"/>
        <v>2023</v>
      </c>
    </row>
    <row r="551" spans="1:8" hidden="1" x14ac:dyDescent="0.25">
      <c r="A551">
        <v>4033011</v>
      </c>
      <c r="B551" s="1">
        <v>45108</v>
      </c>
      <c r="C551" t="s">
        <v>266</v>
      </c>
      <c r="D551">
        <v>58.37</v>
      </c>
      <c r="E551">
        <v>300.61</v>
      </c>
      <c r="F551" s="20">
        <f t="shared" si="65"/>
        <v>5.1500770943978074</v>
      </c>
      <c r="G551" t="str">
        <f t="shared" si="63"/>
        <v>julho</v>
      </c>
      <c r="H551">
        <f t="shared" si="64"/>
        <v>2023</v>
      </c>
    </row>
    <row r="552" spans="1:8" hidden="1" x14ac:dyDescent="0.25">
      <c r="A552">
        <v>4033111</v>
      </c>
      <c r="B552" s="1">
        <v>45108</v>
      </c>
      <c r="C552" t="s">
        <v>268</v>
      </c>
      <c r="D552">
        <v>175.39</v>
      </c>
      <c r="E552">
        <v>758.07</v>
      </c>
      <c r="F552" s="20">
        <f t="shared" si="65"/>
        <v>4.3221962483607967</v>
      </c>
      <c r="G552" t="str">
        <f t="shared" si="63"/>
        <v>julho</v>
      </c>
      <c r="H552">
        <f t="shared" si="64"/>
        <v>2023</v>
      </c>
    </row>
    <row r="553" spans="1:8" hidden="1" x14ac:dyDescent="0.25">
      <c r="A553">
        <v>4033211</v>
      </c>
      <c r="B553" s="1">
        <v>45108</v>
      </c>
      <c r="C553" t="s">
        <v>270</v>
      </c>
      <c r="D553">
        <v>68.599999999999994</v>
      </c>
      <c r="E553">
        <v>311.88</v>
      </c>
      <c r="F553" s="20">
        <f t="shared" si="65"/>
        <v>4.5463556851311955</v>
      </c>
      <c r="G553" t="str">
        <f t="shared" si="63"/>
        <v>julho</v>
      </c>
      <c r="H553">
        <f t="shared" si="64"/>
        <v>2023</v>
      </c>
    </row>
    <row r="554" spans="1:8" hidden="1" x14ac:dyDescent="0.25">
      <c r="A554">
        <v>4033311</v>
      </c>
      <c r="B554" s="1">
        <v>45108</v>
      </c>
      <c r="C554" t="s">
        <v>272</v>
      </c>
      <c r="D554">
        <v>6.57</v>
      </c>
      <c r="E554">
        <v>40.729999999999997</v>
      </c>
      <c r="F554" s="20">
        <f t="shared" si="65"/>
        <v>6.199391171993911</v>
      </c>
      <c r="G554" t="str">
        <f t="shared" ref="G554:G562" si="66">TEXT(B554,"mmmm")</f>
        <v>julho</v>
      </c>
      <c r="H554">
        <f t="shared" ref="H554:H562" si="67">YEAR(B554)</f>
        <v>2023</v>
      </c>
    </row>
    <row r="555" spans="1:8" hidden="1" x14ac:dyDescent="0.25">
      <c r="A555">
        <v>4033400</v>
      </c>
      <c r="B555" s="1">
        <v>45108</v>
      </c>
      <c r="C555" t="s">
        <v>274</v>
      </c>
      <c r="D555">
        <v>757</v>
      </c>
      <c r="E555">
        <v>2219.83</v>
      </c>
      <c r="F555" s="20">
        <f t="shared" si="65"/>
        <v>2.9324042272126816</v>
      </c>
      <c r="G555" t="str">
        <f t="shared" si="66"/>
        <v>julho</v>
      </c>
      <c r="H555">
        <f t="shared" si="67"/>
        <v>2023</v>
      </c>
    </row>
    <row r="556" spans="1:8" hidden="1" x14ac:dyDescent="0.25">
      <c r="A556">
        <v>4033511</v>
      </c>
      <c r="B556" s="1">
        <v>45108</v>
      </c>
      <c r="C556" t="s">
        <v>276</v>
      </c>
      <c r="D556">
        <v>1205.1099999999999</v>
      </c>
      <c r="E556">
        <v>3823.82</v>
      </c>
      <c r="F556" s="20">
        <f t="shared" si="65"/>
        <v>3.173004953904623</v>
      </c>
      <c r="G556" t="str">
        <f t="shared" si="66"/>
        <v>julho</v>
      </c>
      <c r="H556">
        <f t="shared" si="67"/>
        <v>2023</v>
      </c>
    </row>
    <row r="557" spans="1:8" hidden="1" x14ac:dyDescent="0.25">
      <c r="A557">
        <v>4033601</v>
      </c>
      <c r="B557" s="1">
        <v>45108</v>
      </c>
      <c r="C557" t="s">
        <v>696</v>
      </c>
      <c r="D557">
        <v>5235.8</v>
      </c>
      <c r="E557">
        <v>23561.119999999999</v>
      </c>
      <c r="F557" s="20">
        <f t="shared" si="65"/>
        <v>4.5000038198556087</v>
      </c>
      <c r="G557" t="str">
        <f t="shared" si="66"/>
        <v>julho</v>
      </c>
      <c r="H557">
        <f t="shared" si="67"/>
        <v>2023</v>
      </c>
    </row>
    <row r="558" spans="1:8" hidden="1" x14ac:dyDescent="0.25">
      <c r="A558">
        <v>4033900</v>
      </c>
      <c r="B558" s="1">
        <v>45108</v>
      </c>
      <c r="C558" t="s">
        <v>278</v>
      </c>
      <c r="D558">
        <v>17.2</v>
      </c>
      <c r="E558">
        <v>88.4</v>
      </c>
      <c r="F558" s="20">
        <f t="shared" si="65"/>
        <v>5.1395348837209305</v>
      </c>
      <c r="G558" t="str">
        <f t="shared" si="66"/>
        <v>julho</v>
      </c>
      <c r="H558">
        <f t="shared" si="67"/>
        <v>2023</v>
      </c>
    </row>
    <row r="559" spans="1:8" hidden="1" x14ac:dyDescent="0.25">
      <c r="A559">
        <v>4034011</v>
      </c>
      <c r="B559" s="1">
        <v>45108</v>
      </c>
      <c r="C559" t="s">
        <v>280</v>
      </c>
      <c r="D559">
        <v>784.39</v>
      </c>
      <c r="E559">
        <v>4028.74</v>
      </c>
      <c r="F559" s="20">
        <f t="shared" si="65"/>
        <v>5.1361440099950277</v>
      </c>
      <c r="G559" t="str">
        <f t="shared" si="66"/>
        <v>julho</v>
      </c>
      <c r="H559">
        <f t="shared" si="67"/>
        <v>2023</v>
      </c>
    </row>
    <row r="560" spans="1:8" hidden="1" x14ac:dyDescent="0.25">
      <c r="A560">
        <v>4034211</v>
      </c>
      <c r="B560" s="1">
        <v>45108</v>
      </c>
      <c r="C560" t="s">
        <v>282</v>
      </c>
      <c r="D560">
        <v>273.38</v>
      </c>
      <c r="E560">
        <v>1173.22</v>
      </c>
      <c r="F560" s="20">
        <f t="shared" ref="F560:F562" si="68">E560/D560</f>
        <v>4.2915355914843811</v>
      </c>
      <c r="G560" t="str">
        <f t="shared" si="66"/>
        <v>julho</v>
      </c>
      <c r="H560">
        <f t="shared" si="67"/>
        <v>2023</v>
      </c>
    </row>
    <row r="561" spans="1:8" hidden="1" x14ac:dyDescent="0.25">
      <c r="A561">
        <v>4034400</v>
      </c>
      <c r="B561" s="1">
        <v>45108</v>
      </c>
      <c r="C561" t="s">
        <v>284</v>
      </c>
      <c r="D561">
        <v>156.19999999999999</v>
      </c>
      <c r="E561">
        <v>414.63</v>
      </c>
      <c r="F561" s="20">
        <f t="shared" si="68"/>
        <v>2.6544814340588991</v>
      </c>
      <c r="G561" t="str">
        <f t="shared" si="66"/>
        <v>julho</v>
      </c>
      <c r="H561">
        <f t="shared" si="67"/>
        <v>2023</v>
      </c>
    </row>
    <row r="562" spans="1:8" hidden="1" x14ac:dyDescent="0.25">
      <c r="A562">
        <v>4034502</v>
      </c>
      <c r="B562" s="1">
        <v>45108</v>
      </c>
      <c r="C562" t="s">
        <v>286</v>
      </c>
      <c r="D562">
        <v>33.200000000000003</v>
      </c>
      <c r="E562">
        <v>96.89</v>
      </c>
      <c r="F562" s="20">
        <f t="shared" si="68"/>
        <v>2.9183734939759032</v>
      </c>
      <c r="G562" t="str">
        <f t="shared" si="66"/>
        <v>julho</v>
      </c>
      <c r="H562">
        <f t="shared" si="67"/>
        <v>2023</v>
      </c>
    </row>
    <row r="563" spans="1:8" hidden="1" x14ac:dyDescent="0.25">
      <c r="A563">
        <v>3020103</v>
      </c>
      <c r="B563" s="1">
        <v>45139</v>
      </c>
      <c r="C563" t="s">
        <v>131</v>
      </c>
      <c r="D563">
        <v>8830.56</v>
      </c>
      <c r="E563">
        <v>29383.62</v>
      </c>
      <c r="F563" s="20">
        <f t="shared" ref="F563:F621" si="69">E563/D563</f>
        <v>3.3274922541718759</v>
      </c>
      <c r="G563" t="str">
        <f t="shared" ref="G563:G615" si="70">TEXT(B563,"mmmm")</f>
        <v>agosto</v>
      </c>
      <c r="H563">
        <f t="shared" ref="H563:H615" si="71">YEAR(B563)</f>
        <v>2023</v>
      </c>
    </row>
    <row r="564" spans="1:8" hidden="1" x14ac:dyDescent="0.25">
      <c r="A564">
        <v>3020212</v>
      </c>
      <c r="B564" s="1">
        <v>45139</v>
      </c>
      <c r="C564" t="s">
        <v>133</v>
      </c>
      <c r="D564">
        <v>2488.48</v>
      </c>
      <c r="E564">
        <v>9222.5300000000007</v>
      </c>
      <c r="F564" s="20">
        <f t="shared" si="69"/>
        <v>3.7060896611586189</v>
      </c>
      <c r="G564" t="str">
        <f t="shared" si="70"/>
        <v>agosto</v>
      </c>
      <c r="H564">
        <f t="shared" si="71"/>
        <v>2023</v>
      </c>
    </row>
    <row r="565" spans="1:8" hidden="1" x14ac:dyDescent="0.25">
      <c r="A565">
        <v>3020214</v>
      </c>
      <c r="B565" s="1">
        <v>45139</v>
      </c>
      <c r="C565" t="s">
        <v>135</v>
      </c>
      <c r="D565">
        <v>1292.3599999999999</v>
      </c>
      <c r="E565">
        <v>4598.53</v>
      </c>
      <c r="F565" s="20">
        <f t="shared" si="69"/>
        <v>3.5582422854313038</v>
      </c>
      <c r="G565" t="str">
        <f t="shared" si="70"/>
        <v>agosto</v>
      </c>
      <c r="H565">
        <f t="shared" si="71"/>
        <v>2023</v>
      </c>
    </row>
    <row r="566" spans="1:8" hidden="1" x14ac:dyDescent="0.25">
      <c r="A566">
        <v>3020315</v>
      </c>
      <c r="B566" s="1">
        <v>45139</v>
      </c>
      <c r="C566" t="s">
        <v>137</v>
      </c>
      <c r="D566">
        <v>4494.92</v>
      </c>
      <c r="E566">
        <v>15982.23</v>
      </c>
      <c r="F566" s="20">
        <f t="shared" si="69"/>
        <v>3.5556205672181038</v>
      </c>
      <c r="G566" t="str">
        <f t="shared" si="70"/>
        <v>agosto</v>
      </c>
      <c r="H566">
        <f t="shared" si="71"/>
        <v>2023</v>
      </c>
    </row>
    <row r="567" spans="1:8" hidden="1" x14ac:dyDescent="0.25">
      <c r="A567">
        <v>3020316</v>
      </c>
      <c r="B567" s="1">
        <v>45139</v>
      </c>
      <c r="C567" t="s">
        <v>139</v>
      </c>
      <c r="D567">
        <v>232.3</v>
      </c>
      <c r="E567">
        <v>738.72</v>
      </c>
      <c r="F567" s="20">
        <f t="shared" si="69"/>
        <v>3.1800258286698235</v>
      </c>
      <c r="G567" t="str">
        <f t="shared" si="70"/>
        <v>agosto</v>
      </c>
      <c r="H567">
        <f t="shared" si="71"/>
        <v>2023</v>
      </c>
    </row>
    <row r="568" spans="1:8" hidden="1" x14ac:dyDescent="0.25">
      <c r="A568">
        <v>3020402</v>
      </c>
      <c r="B568" s="1">
        <v>45139</v>
      </c>
      <c r="C568" t="s">
        <v>141</v>
      </c>
      <c r="D568">
        <v>4025.37</v>
      </c>
      <c r="E568">
        <v>14737.46</v>
      </c>
      <c r="F568" s="20">
        <f t="shared" si="69"/>
        <v>3.6611441929561752</v>
      </c>
      <c r="G568" t="str">
        <f t="shared" si="70"/>
        <v>agosto</v>
      </c>
      <c r="H568">
        <f t="shared" si="71"/>
        <v>2023</v>
      </c>
    </row>
    <row r="569" spans="1:8" hidden="1" x14ac:dyDescent="0.25">
      <c r="A569">
        <v>3020504</v>
      </c>
      <c r="B569" s="1">
        <v>45139</v>
      </c>
      <c r="C569" t="s">
        <v>143</v>
      </c>
      <c r="D569">
        <v>879.96</v>
      </c>
      <c r="E569">
        <v>3327.06</v>
      </c>
      <c r="F569" s="20">
        <f t="shared" si="69"/>
        <v>3.7809218600845491</v>
      </c>
      <c r="G569" t="str">
        <f t="shared" si="70"/>
        <v>agosto</v>
      </c>
      <c r="H569">
        <f t="shared" si="71"/>
        <v>2023</v>
      </c>
    </row>
    <row r="570" spans="1:8" hidden="1" x14ac:dyDescent="0.25">
      <c r="A570">
        <v>3020622</v>
      </c>
      <c r="B570" s="1">
        <v>45139</v>
      </c>
      <c r="C570" t="s">
        <v>145</v>
      </c>
      <c r="D570">
        <v>5960.16</v>
      </c>
      <c r="E570">
        <v>22136.48</v>
      </c>
      <c r="F570" s="20">
        <f t="shared" si="69"/>
        <v>3.7140747899385254</v>
      </c>
      <c r="G570" t="str">
        <f t="shared" si="70"/>
        <v>agosto</v>
      </c>
      <c r="H570">
        <f t="shared" si="71"/>
        <v>2023</v>
      </c>
    </row>
    <row r="571" spans="1:8" hidden="1" x14ac:dyDescent="0.25">
      <c r="A571">
        <v>3020623</v>
      </c>
      <c r="B571" s="1">
        <v>45139</v>
      </c>
      <c r="C571" t="s">
        <v>147</v>
      </c>
      <c r="D571">
        <v>1290.05</v>
      </c>
      <c r="E571">
        <v>4987.2299999999996</v>
      </c>
      <c r="F571" s="20">
        <f t="shared" si="69"/>
        <v>3.8659199255842793</v>
      </c>
      <c r="G571" t="str">
        <f t="shared" si="70"/>
        <v>agosto</v>
      </c>
      <c r="H571">
        <f t="shared" si="71"/>
        <v>2023</v>
      </c>
    </row>
    <row r="572" spans="1:8" hidden="1" x14ac:dyDescent="0.25">
      <c r="A572">
        <v>3020725</v>
      </c>
      <c r="B572" s="1">
        <v>45139</v>
      </c>
      <c r="C572" t="s">
        <v>149</v>
      </c>
      <c r="D572">
        <v>418.63</v>
      </c>
      <c r="E572">
        <v>1587.39</v>
      </c>
      <c r="F572" s="20">
        <f t="shared" si="69"/>
        <v>3.7918687146167263</v>
      </c>
      <c r="G572" t="str">
        <f t="shared" si="70"/>
        <v>agosto</v>
      </c>
      <c r="H572">
        <f t="shared" si="71"/>
        <v>2023</v>
      </c>
    </row>
    <row r="573" spans="1:8" hidden="1" x14ac:dyDescent="0.25">
      <c r="A573">
        <v>3020823</v>
      </c>
      <c r="B573" s="1">
        <v>45139</v>
      </c>
      <c r="C573" t="s">
        <v>151</v>
      </c>
      <c r="D573">
        <v>2043.64</v>
      </c>
      <c r="E573">
        <v>7711.65</v>
      </c>
      <c r="F573" s="20">
        <f t="shared" si="69"/>
        <v>3.773487502691276</v>
      </c>
      <c r="G573" t="str">
        <f t="shared" si="70"/>
        <v>agosto</v>
      </c>
      <c r="H573">
        <f t="shared" si="71"/>
        <v>2023</v>
      </c>
    </row>
    <row r="574" spans="1:8" hidden="1" x14ac:dyDescent="0.25">
      <c r="A574">
        <v>3020824</v>
      </c>
      <c r="B574" s="1">
        <v>45139</v>
      </c>
      <c r="C574" t="s">
        <v>153</v>
      </c>
      <c r="D574">
        <v>2497.34</v>
      </c>
      <c r="E574">
        <v>9388.89</v>
      </c>
      <c r="F574" s="20">
        <f t="shared" si="69"/>
        <v>3.7595561677624989</v>
      </c>
      <c r="G574" t="str">
        <f t="shared" si="70"/>
        <v>agosto</v>
      </c>
      <c r="H574">
        <f t="shared" si="71"/>
        <v>2023</v>
      </c>
    </row>
    <row r="575" spans="1:8" hidden="1" x14ac:dyDescent="0.25">
      <c r="A575">
        <v>3020825</v>
      </c>
      <c r="B575" s="1">
        <v>45139</v>
      </c>
      <c r="C575" t="s">
        <v>455</v>
      </c>
      <c r="D575">
        <v>220.51</v>
      </c>
      <c r="E575">
        <v>904.08</v>
      </c>
      <c r="F575" s="20">
        <f t="shared" si="69"/>
        <v>4.0999501156410147</v>
      </c>
      <c r="G575" t="str">
        <f t="shared" si="70"/>
        <v>agosto</v>
      </c>
      <c r="H575">
        <f t="shared" si="71"/>
        <v>2023</v>
      </c>
    </row>
    <row r="576" spans="1:8" hidden="1" x14ac:dyDescent="0.25">
      <c r="A576">
        <v>3020924</v>
      </c>
      <c r="B576" s="1">
        <v>45139</v>
      </c>
      <c r="C576" t="s">
        <v>155</v>
      </c>
      <c r="D576">
        <v>1636.1</v>
      </c>
      <c r="E576">
        <v>6224.47</v>
      </c>
      <c r="F576" s="20">
        <f t="shared" si="69"/>
        <v>3.8044557178656566</v>
      </c>
      <c r="G576" t="str">
        <f t="shared" si="70"/>
        <v>agosto</v>
      </c>
      <c r="H576">
        <f t="shared" si="71"/>
        <v>2023</v>
      </c>
    </row>
    <row r="577" spans="1:8" hidden="1" x14ac:dyDescent="0.25">
      <c r="A577">
        <v>3020925</v>
      </c>
      <c r="B577" s="1">
        <v>45139</v>
      </c>
      <c r="C577" t="s">
        <v>157</v>
      </c>
      <c r="D577">
        <v>3907.87</v>
      </c>
      <c r="E577">
        <v>14943.1</v>
      </c>
      <c r="F577" s="20">
        <f t="shared" si="69"/>
        <v>3.8238477738512286</v>
      </c>
      <c r="G577" t="str">
        <f t="shared" si="70"/>
        <v>agosto</v>
      </c>
      <c r="H577">
        <f t="shared" si="71"/>
        <v>2023</v>
      </c>
    </row>
    <row r="578" spans="1:8" hidden="1" x14ac:dyDescent="0.25">
      <c r="A578">
        <v>3021436</v>
      </c>
      <c r="B578" s="1">
        <v>45139</v>
      </c>
      <c r="C578" t="s">
        <v>546</v>
      </c>
      <c r="D578">
        <v>931.88</v>
      </c>
      <c r="E578">
        <v>3026.27</v>
      </c>
      <c r="F578" s="20">
        <f t="shared" si="69"/>
        <v>3.2474889470747308</v>
      </c>
      <c r="G578" t="str">
        <f t="shared" si="70"/>
        <v>agosto</v>
      </c>
      <c r="H578">
        <f t="shared" si="71"/>
        <v>2023</v>
      </c>
    </row>
    <row r="579" spans="1:8" hidden="1" x14ac:dyDescent="0.25">
      <c r="A579">
        <v>3021537</v>
      </c>
      <c r="B579" s="1">
        <v>45139</v>
      </c>
      <c r="C579" t="s">
        <v>161</v>
      </c>
      <c r="D579">
        <v>7.63</v>
      </c>
      <c r="E579">
        <v>25.18</v>
      </c>
      <c r="F579" s="20">
        <f t="shared" si="69"/>
        <v>3.3001310615989516</v>
      </c>
      <c r="G579" t="str">
        <f t="shared" si="70"/>
        <v>agosto</v>
      </c>
      <c r="H579">
        <f t="shared" si="71"/>
        <v>2023</v>
      </c>
    </row>
    <row r="580" spans="1:8" hidden="1" x14ac:dyDescent="0.25">
      <c r="A580">
        <v>3021538</v>
      </c>
      <c r="B580" s="1">
        <v>45139</v>
      </c>
      <c r="C580" t="s">
        <v>548</v>
      </c>
      <c r="D580">
        <v>75.61</v>
      </c>
      <c r="E580">
        <v>226.25</v>
      </c>
      <c r="F580" s="20">
        <f t="shared" si="69"/>
        <v>2.9923290570030421</v>
      </c>
      <c r="G580" t="str">
        <f t="shared" si="70"/>
        <v>agosto</v>
      </c>
      <c r="H580">
        <f t="shared" si="71"/>
        <v>2023</v>
      </c>
    </row>
    <row r="581" spans="1:8" hidden="1" x14ac:dyDescent="0.25">
      <c r="A581">
        <v>3021639</v>
      </c>
      <c r="B581" s="1">
        <v>45139</v>
      </c>
      <c r="C581" t="s">
        <v>457</v>
      </c>
      <c r="D581">
        <v>40.799999999999997</v>
      </c>
      <c r="E581">
        <v>122.64</v>
      </c>
      <c r="F581" s="20">
        <f t="shared" si="69"/>
        <v>3.0058823529411769</v>
      </c>
      <c r="G581" t="str">
        <f t="shared" si="70"/>
        <v>agosto</v>
      </c>
      <c r="H581">
        <f t="shared" si="71"/>
        <v>2023</v>
      </c>
    </row>
    <row r="582" spans="1:8" hidden="1" x14ac:dyDescent="0.25">
      <c r="A582">
        <v>3021739</v>
      </c>
      <c r="B582" s="1">
        <v>45139</v>
      </c>
      <c r="C582" t="s">
        <v>165</v>
      </c>
      <c r="D582">
        <v>689.92</v>
      </c>
      <c r="E582">
        <v>1931.77</v>
      </c>
      <c r="F582" s="20">
        <f t="shared" si="69"/>
        <v>2.7999913033395178</v>
      </c>
      <c r="G582" t="str">
        <f t="shared" si="70"/>
        <v>agosto</v>
      </c>
      <c r="H582">
        <f t="shared" si="71"/>
        <v>2023</v>
      </c>
    </row>
    <row r="583" spans="1:8" hidden="1" x14ac:dyDescent="0.25">
      <c r="A583">
        <v>3021740</v>
      </c>
      <c r="B583" s="1">
        <v>45139</v>
      </c>
      <c r="C583" t="s">
        <v>459</v>
      </c>
      <c r="D583">
        <v>1177.68</v>
      </c>
      <c r="E583">
        <v>3145.87</v>
      </c>
      <c r="F583" s="20">
        <f t="shared" si="69"/>
        <v>2.6712434617213501</v>
      </c>
      <c r="G583" t="str">
        <f t="shared" si="70"/>
        <v>agosto</v>
      </c>
      <c r="H583">
        <f t="shared" si="71"/>
        <v>2023</v>
      </c>
    </row>
    <row r="584" spans="1:8" hidden="1" x14ac:dyDescent="0.25">
      <c r="A584">
        <v>3021760</v>
      </c>
      <c r="B584" s="1">
        <v>45139</v>
      </c>
      <c r="C584" t="s">
        <v>167</v>
      </c>
      <c r="D584">
        <v>592.62</v>
      </c>
      <c r="E584">
        <v>1484.6</v>
      </c>
      <c r="F584" s="20">
        <f t="shared" si="69"/>
        <v>2.50514663696804</v>
      </c>
      <c r="G584" t="str">
        <f t="shared" si="70"/>
        <v>agosto</v>
      </c>
      <c r="H584">
        <f t="shared" si="71"/>
        <v>2023</v>
      </c>
    </row>
    <row r="585" spans="1:8" hidden="1" x14ac:dyDescent="0.25">
      <c r="A585">
        <v>3021811</v>
      </c>
      <c r="B585" s="1">
        <v>45139</v>
      </c>
      <c r="C585" t="s">
        <v>169</v>
      </c>
      <c r="D585">
        <v>1013.57</v>
      </c>
      <c r="E585">
        <v>2533.44</v>
      </c>
      <c r="F585" s="20">
        <f t="shared" si="69"/>
        <v>2.4995214933354379</v>
      </c>
      <c r="G585" t="str">
        <f t="shared" si="70"/>
        <v>agosto</v>
      </c>
      <c r="H585">
        <f t="shared" si="71"/>
        <v>2023</v>
      </c>
    </row>
    <row r="586" spans="1:8" hidden="1" x14ac:dyDescent="0.25">
      <c r="A586">
        <v>3021812</v>
      </c>
      <c r="B586" s="1">
        <v>45139</v>
      </c>
      <c r="C586" t="s">
        <v>171</v>
      </c>
      <c r="D586">
        <v>1331.74</v>
      </c>
      <c r="E586">
        <v>3124.61</v>
      </c>
      <c r="F586" s="20">
        <f t="shared" si="69"/>
        <v>2.3462612822322675</v>
      </c>
      <c r="G586" t="str">
        <f t="shared" si="70"/>
        <v>agosto</v>
      </c>
      <c r="H586">
        <f t="shared" si="71"/>
        <v>2023</v>
      </c>
    </row>
    <row r="587" spans="1:8" hidden="1" x14ac:dyDescent="0.25">
      <c r="A587">
        <v>3022100</v>
      </c>
      <c r="B587" s="1">
        <v>45139</v>
      </c>
      <c r="C587" t="s">
        <v>173</v>
      </c>
      <c r="D587">
        <v>468.75</v>
      </c>
      <c r="E587">
        <v>1793.64</v>
      </c>
      <c r="F587" s="20">
        <f t="shared" si="69"/>
        <v>3.8264320000000001</v>
      </c>
      <c r="G587" t="str">
        <f t="shared" si="70"/>
        <v>agosto</v>
      </c>
      <c r="H587">
        <f t="shared" si="71"/>
        <v>2023</v>
      </c>
    </row>
    <row r="588" spans="1:8" hidden="1" x14ac:dyDescent="0.25">
      <c r="A588">
        <v>3022208</v>
      </c>
      <c r="B588" s="1">
        <v>45139</v>
      </c>
      <c r="C588" t="s">
        <v>307</v>
      </c>
      <c r="D588">
        <v>806.53</v>
      </c>
      <c r="E588">
        <v>3080.84</v>
      </c>
      <c r="F588" s="20">
        <f t="shared" si="69"/>
        <v>3.8198703086060037</v>
      </c>
      <c r="G588" t="str">
        <f t="shared" si="70"/>
        <v>agosto</v>
      </c>
      <c r="H588">
        <f t="shared" si="71"/>
        <v>2023</v>
      </c>
    </row>
    <row r="589" spans="1:8" hidden="1" x14ac:dyDescent="0.25">
      <c r="A589">
        <v>3022311</v>
      </c>
      <c r="B589" s="1">
        <v>45139</v>
      </c>
      <c r="C589" t="s">
        <v>176</v>
      </c>
      <c r="D589">
        <v>2954.68</v>
      </c>
      <c r="E589">
        <v>7050.33</v>
      </c>
      <c r="F589" s="20">
        <f t="shared" si="69"/>
        <v>2.3861568765483909</v>
      </c>
      <c r="G589" t="str">
        <f t="shared" si="70"/>
        <v>agosto</v>
      </c>
      <c r="H589">
        <f t="shared" si="71"/>
        <v>2023</v>
      </c>
    </row>
    <row r="590" spans="1:8" hidden="1" x14ac:dyDescent="0.25">
      <c r="A590">
        <v>3022312</v>
      </c>
      <c r="B590" s="1">
        <v>45139</v>
      </c>
      <c r="C590" t="s">
        <v>308</v>
      </c>
      <c r="D590">
        <v>77.08</v>
      </c>
      <c r="E590">
        <v>215.82</v>
      </c>
      <c r="F590" s="20">
        <f t="shared" si="69"/>
        <v>2.7999481058640372</v>
      </c>
      <c r="G590" t="str">
        <f t="shared" si="70"/>
        <v>agosto</v>
      </c>
      <c r="H590">
        <f t="shared" si="71"/>
        <v>2023</v>
      </c>
    </row>
    <row r="591" spans="1:8" hidden="1" x14ac:dyDescent="0.25">
      <c r="A591">
        <v>3022411</v>
      </c>
      <c r="B591" s="1">
        <v>45139</v>
      </c>
      <c r="C591" t="s">
        <v>178</v>
      </c>
      <c r="D591">
        <v>77.67</v>
      </c>
      <c r="E591">
        <v>206.57</v>
      </c>
      <c r="F591" s="20">
        <f t="shared" si="69"/>
        <v>2.6595854255182179</v>
      </c>
      <c r="G591" t="str">
        <f t="shared" si="70"/>
        <v>agosto</v>
      </c>
      <c r="H591">
        <f t="shared" si="71"/>
        <v>2023</v>
      </c>
    </row>
    <row r="592" spans="1:8" hidden="1" x14ac:dyDescent="0.25">
      <c r="A592">
        <v>3022511</v>
      </c>
      <c r="B592" s="1">
        <v>45139</v>
      </c>
      <c r="C592" t="s">
        <v>180</v>
      </c>
      <c r="D592">
        <v>10.85</v>
      </c>
      <c r="E592">
        <v>29.64</v>
      </c>
      <c r="F592" s="20">
        <f t="shared" si="69"/>
        <v>2.7317972350230417</v>
      </c>
      <c r="G592" t="str">
        <f t="shared" si="70"/>
        <v>agosto</v>
      </c>
      <c r="H592">
        <f t="shared" si="71"/>
        <v>2023</v>
      </c>
    </row>
    <row r="593" spans="1:8" hidden="1" x14ac:dyDescent="0.25">
      <c r="A593">
        <v>3022601</v>
      </c>
      <c r="B593" s="1">
        <v>45139</v>
      </c>
      <c r="C593" t="s">
        <v>182</v>
      </c>
      <c r="D593">
        <v>279.5</v>
      </c>
      <c r="E593">
        <v>1141.31</v>
      </c>
      <c r="F593" s="20">
        <f t="shared" si="69"/>
        <v>4.0833989266547404</v>
      </c>
      <c r="G593" t="str">
        <f t="shared" si="70"/>
        <v>agosto</v>
      </c>
      <c r="H593">
        <f t="shared" si="71"/>
        <v>2023</v>
      </c>
    </row>
    <row r="594" spans="1:8" hidden="1" x14ac:dyDescent="0.25">
      <c r="A594">
        <v>3022703</v>
      </c>
      <c r="B594" s="1">
        <v>45139</v>
      </c>
      <c r="C594" t="s">
        <v>309</v>
      </c>
      <c r="D594">
        <v>841</v>
      </c>
      <c r="E594">
        <v>2306.5500000000002</v>
      </c>
      <c r="F594" s="20">
        <f t="shared" si="69"/>
        <v>2.7426278240190252</v>
      </c>
      <c r="G594" t="str">
        <f t="shared" si="70"/>
        <v>agosto</v>
      </c>
      <c r="H594">
        <f t="shared" si="71"/>
        <v>2023</v>
      </c>
    </row>
    <row r="595" spans="1:8" hidden="1" x14ac:dyDescent="0.25">
      <c r="A595">
        <v>3022805</v>
      </c>
      <c r="B595" s="1">
        <v>45139</v>
      </c>
      <c r="C595" t="s">
        <v>186</v>
      </c>
      <c r="D595">
        <v>2090</v>
      </c>
      <c r="E595">
        <v>4372.8500000000004</v>
      </c>
      <c r="F595" s="20">
        <f t="shared" si="69"/>
        <v>2.0922727272727273</v>
      </c>
      <c r="G595" t="str">
        <f t="shared" si="70"/>
        <v>agosto</v>
      </c>
      <c r="H595">
        <f t="shared" si="71"/>
        <v>2023</v>
      </c>
    </row>
    <row r="596" spans="1:8" hidden="1" x14ac:dyDescent="0.25">
      <c r="A596">
        <v>3022906</v>
      </c>
      <c r="B596" s="1">
        <v>45139</v>
      </c>
      <c r="C596" t="s">
        <v>188</v>
      </c>
      <c r="D596">
        <v>5420</v>
      </c>
      <c r="E596">
        <v>11033.31</v>
      </c>
      <c r="F596" s="20">
        <f t="shared" si="69"/>
        <v>2.0356660516605167</v>
      </c>
      <c r="G596" t="str">
        <f t="shared" si="70"/>
        <v>agosto</v>
      </c>
      <c r="H596">
        <f t="shared" si="71"/>
        <v>2023</v>
      </c>
    </row>
    <row r="597" spans="1:8" hidden="1" x14ac:dyDescent="0.25">
      <c r="A597">
        <v>3023007</v>
      </c>
      <c r="B597" s="1">
        <v>45139</v>
      </c>
      <c r="C597" t="s">
        <v>190</v>
      </c>
      <c r="D597">
        <v>1260</v>
      </c>
      <c r="E597">
        <v>2574.9</v>
      </c>
      <c r="F597" s="20">
        <f t="shared" si="69"/>
        <v>2.0435714285714286</v>
      </c>
      <c r="G597" t="str">
        <f t="shared" si="70"/>
        <v>agosto</v>
      </c>
      <c r="H597">
        <f t="shared" si="71"/>
        <v>2023</v>
      </c>
    </row>
    <row r="598" spans="1:8" hidden="1" x14ac:dyDescent="0.25">
      <c r="A598">
        <v>4030100</v>
      </c>
      <c r="B598" s="1">
        <v>45139</v>
      </c>
      <c r="C598" t="s">
        <v>200</v>
      </c>
      <c r="D598">
        <v>436.5</v>
      </c>
      <c r="E598">
        <v>2694.12</v>
      </c>
      <c r="F598" s="20">
        <f t="shared" si="69"/>
        <v>6.1720962199312712</v>
      </c>
      <c r="G598" t="str">
        <f t="shared" si="70"/>
        <v>agosto</v>
      </c>
      <c r="H598">
        <f t="shared" si="71"/>
        <v>2023</v>
      </c>
    </row>
    <row r="599" spans="1:8" hidden="1" x14ac:dyDescent="0.25">
      <c r="A599">
        <v>4030211</v>
      </c>
      <c r="B599" s="1">
        <v>45139</v>
      </c>
      <c r="C599" t="s">
        <v>202</v>
      </c>
      <c r="D599">
        <v>1220.52</v>
      </c>
      <c r="E599">
        <v>7002.24</v>
      </c>
      <c r="F599" s="20">
        <f t="shared" si="69"/>
        <v>5.7370956641431521</v>
      </c>
      <c r="G599" t="str">
        <f t="shared" si="70"/>
        <v>agosto</v>
      </c>
      <c r="H599">
        <f t="shared" si="71"/>
        <v>2023</v>
      </c>
    </row>
    <row r="600" spans="1:8" hidden="1" x14ac:dyDescent="0.25">
      <c r="A600">
        <v>4030311</v>
      </c>
      <c r="B600" s="1">
        <v>45139</v>
      </c>
      <c r="C600" t="s">
        <v>311</v>
      </c>
      <c r="D600">
        <v>267.99</v>
      </c>
      <c r="E600">
        <v>1825.53</v>
      </c>
      <c r="F600" s="20">
        <f t="shared" si="69"/>
        <v>6.8119332810925775</v>
      </c>
      <c r="G600" t="str">
        <f t="shared" si="70"/>
        <v>agosto</v>
      </c>
      <c r="H600">
        <f t="shared" si="71"/>
        <v>2023</v>
      </c>
    </row>
    <row r="601" spans="1:8" hidden="1" x14ac:dyDescent="0.25">
      <c r="A601">
        <v>4030401</v>
      </c>
      <c r="B601" s="1">
        <v>45139</v>
      </c>
      <c r="C601" t="s">
        <v>461</v>
      </c>
      <c r="D601">
        <v>563.64</v>
      </c>
      <c r="E601">
        <v>2913.63</v>
      </c>
      <c r="F601" s="20">
        <f t="shared" si="69"/>
        <v>5.1693101979987226</v>
      </c>
      <c r="G601" t="str">
        <f t="shared" si="70"/>
        <v>agosto</v>
      </c>
      <c r="H601">
        <f t="shared" si="71"/>
        <v>2023</v>
      </c>
    </row>
    <row r="602" spans="1:8" hidden="1" x14ac:dyDescent="0.25">
      <c r="A602">
        <v>4030511</v>
      </c>
      <c r="B602" s="1">
        <v>45139</v>
      </c>
      <c r="C602" t="s">
        <v>208</v>
      </c>
      <c r="D602">
        <v>19.25</v>
      </c>
      <c r="E602">
        <v>114.57</v>
      </c>
      <c r="F602" s="20">
        <f t="shared" si="69"/>
        <v>5.9516883116883115</v>
      </c>
      <c r="G602" t="str">
        <f t="shared" si="70"/>
        <v>agosto</v>
      </c>
      <c r="H602">
        <f t="shared" si="71"/>
        <v>2023</v>
      </c>
    </row>
    <row r="603" spans="1:8" hidden="1" x14ac:dyDescent="0.25">
      <c r="A603">
        <v>4030532</v>
      </c>
      <c r="B603" s="1">
        <v>45139</v>
      </c>
      <c r="C603" t="s">
        <v>210</v>
      </c>
      <c r="D603">
        <v>25.5</v>
      </c>
      <c r="E603">
        <v>150.29</v>
      </c>
      <c r="F603" s="20">
        <f t="shared" si="69"/>
        <v>5.8937254901960783</v>
      </c>
      <c r="G603" t="str">
        <f t="shared" si="70"/>
        <v>agosto</v>
      </c>
      <c r="H603">
        <f t="shared" si="71"/>
        <v>2023</v>
      </c>
    </row>
    <row r="604" spans="1:8" hidden="1" x14ac:dyDescent="0.25">
      <c r="A604">
        <v>4030600</v>
      </c>
      <c r="B604" s="1">
        <v>45139</v>
      </c>
      <c r="C604" t="s">
        <v>212</v>
      </c>
      <c r="D604">
        <v>613.20000000000005</v>
      </c>
      <c r="E604">
        <v>1932.79</v>
      </c>
      <c r="F604" s="20">
        <f t="shared" si="69"/>
        <v>3.1519732550554465</v>
      </c>
      <c r="G604" t="str">
        <f t="shared" si="70"/>
        <v>agosto</v>
      </c>
      <c r="H604">
        <f t="shared" si="71"/>
        <v>2023</v>
      </c>
    </row>
    <row r="605" spans="1:8" hidden="1" x14ac:dyDescent="0.25">
      <c r="A605">
        <v>4030711</v>
      </c>
      <c r="B605" s="1">
        <v>45139</v>
      </c>
      <c r="C605" t="s">
        <v>214</v>
      </c>
      <c r="D605">
        <v>1368.91</v>
      </c>
      <c r="E605">
        <v>4584.43</v>
      </c>
      <c r="F605" s="20">
        <f t="shared" si="69"/>
        <v>3.3489637740976397</v>
      </c>
      <c r="G605" t="str">
        <f t="shared" si="70"/>
        <v>agosto</v>
      </c>
      <c r="H605">
        <f t="shared" si="71"/>
        <v>2023</v>
      </c>
    </row>
    <row r="606" spans="1:8" hidden="1" x14ac:dyDescent="0.25">
      <c r="A606">
        <v>4030811</v>
      </c>
      <c r="B606" s="1">
        <v>45139</v>
      </c>
      <c r="C606" t="s">
        <v>722</v>
      </c>
      <c r="D606">
        <v>1948.46</v>
      </c>
      <c r="E606">
        <v>6158.37</v>
      </c>
      <c r="F606" s="20">
        <f t="shared" si="69"/>
        <v>3.160634552415754</v>
      </c>
      <c r="G606" t="str">
        <f t="shared" si="70"/>
        <v>agosto</v>
      </c>
      <c r="H606">
        <f t="shared" si="71"/>
        <v>2023</v>
      </c>
    </row>
    <row r="607" spans="1:8" hidden="1" x14ac:dyDescent="0.25">
      <c r="A607">
        <v>4030813</v>
      </c>
      <c r="B607" s="1">
        <v>45139</v>
      </c>
      <c r="C607" t="s">
        <v>723</v>
      </c>
      <c r="D607">
        <v>977.45</v>
      </c>
      <c r="E607">
        <v>2894.54</v>
      </c>
      <c r="F607" s="20">
        <f t="shared" si="69"/>
        <v>2.9613177144610976</v>
      </c>
      <c r="G607" t="str">
        <f t="shared" si="70"/>
        <v>agosto</v>
      </c>
      <c r="H607">
        <f t="shared" si="71"/>
        <v>2023</v>
      </c>
    </row>
    <row r="608" spans="1:8" hidden="1" x14ac:dyDescent="0.25">
      <c r="A608">
        <v>4030900</v>
      </c>
      <c r="B608" s="1">
        <v>45139</v>
      </c>
      <c r="C608" t="s">
        <v>220</v>
      </c>
      <c r="D608">
        <v>6423.34</v>
      </c>
      <c r="E608">
        <v>19479.349999999999</v>
      </c>
      <c r="F608" s="20">
        <f t="shared" si="69"/>
        <v>3.0325889646196522</v>
      </c>
      <c r="G608" t="str">
        <f t="shared" si="70"/>
        <v>agosto</v>
      </c>
      <c r="H608">
        <f t="shared" si="71"/>
        <v>2023</v>
      </c>
    </row>
    <row r="609" spans="1:8" hidden="1" x14ac:dyDescent="0.25">
      <c r="A609">
        <v>4030910</v>
      </c>
      <c r="B609" s="1">
        <v>45139</v>
      </c>
      <c r="C609" t="s">
        <v>724</v>
      </c>
      <c r="D609">
        <v>136.4</v>
      </c>
      <c r="E609">
        <v>444.23</v>
      </c>
      <c r="F609" s="20">
        <f t="shared" si="69"/>
        <v>3.2568181818181818</v>
      </c>
      <c r="G609" t="str">
        <f t="shared" si="70"/>
        <v>agosto</v>
      </c>
      <c r="H609">
        <f t="shared" si="71"/>
        <v>2023</v>
      </c>
    </row>
    <row r="610" spans="1:8" hidden="1" x14ac:dyDescent="0.25">
      <c r="A610">
        <v>4031012</v>
      </c>
      <c r="B610" s="1">
        <v>45139</v>
      </c>
      <c r="C610" t="s">
        <v>224</v>
      </c>
      <c r="D610">
        <v>1185.49</v>
      </c>
      <c r="E610">
        <v>3690.19</v>
      </c>
      <c r="F610" s="20">
        <f t="shared" si="69"/>
        <v>3.112797239959848</v>
      </c>
      <c r="G610" t="str">
        <f t="shared" si="70"/>
        <v>agosto</v>
      </c>
      <c r="H610">
        <f t="shared" si="71"/>
        <v>2023</v>
      </c>
    </row>
    <row r="611" spans="1:8" hidden="1" x14ac:dyDescent="0.25">
      <c r="A611">
        <v>4031017</v>
      </c>
      <c r="B611" s="1">
        <v>45139</v>
      </c>
      <c r="C611" t="s">
        <v>226</v>
      </c>
      <c r="D611">
        <v>2923</v>
      </c>
      <c r="E611">
        <v>1950.18</v>
      </c>
      <c r="F611" s="20">
        <f t="shared" si="69"/>
        <v>0.66718439958946285</v>
      </c>
      <c r="G611" t="str">
        <f t="shared" si="70"/>
        <v>agosto</v>
      </c>
      <c r="H611">
        <f t="shared" si="71"/>
        <v>2023</v>
      </c>
    </row>
    <row r="612" spans="1:8" hidden="1" x14ac:dyDescent="0.25">
      <c r="A612">
        <v>4031102</v>
      </c>
      <c r="B612" s="1">
        <v>45139</v>
      </c>
      <c r="C612" t="s">
        <v>228</v>
      </c>
      <c r="D612">
        <v>12694.64</v>
      </c>
      <c r="E612">
        <v>37235.67</v>
      </c>
      <c r="F612" s="20">
        <f t="shared" si="69"/>
        <v>2.9331804604147891</v>
      </c>
      <c r="G612" t="str">
        <f t="shared" si="70"/>
        <v>agosto</v>
      </c>
      <c r="H612">
        <f t="shared" si="71"/>
        <v>2023</v>
      </c>
    </row>
    <row r="613" spans="1:8" hidden="1" x14ac:dyDescent="0.25">
      <c r="A613">
        <v>4031200</v>
      </c>
      <c r="B613" s="1">
        <v>45139</v>
      </c>
      <c r="C613" t="s">
        <v>230</v>
      </c>
      <c r="D613">
        <v>1240.28</v>
      </c>
      <c r="E613">
        <v>3726.61</v>
      </c>
      <c r="F613" s="20">
        <f t="shared" si="69"/>
        <v>3.0046521753152517</v>
      </c>
      <c r="G613" t="str">
        <f t="shared" si="70"/>
        <v>agosto</v>
      </c>
      <c r="H613">
        <f t="shared" si="71"/>
        <v>2023</v>
      </c>
    </row>
    <row r="614" spans="1:8" hidden="1" x14ac:dyDescent="0.25">
      <c r="A614">
        <v>4031304</v>
      </c>
      <c r="B614" s="1">
        <v>45139</v>
      </c>
      <c r="C614" t="s">
        <v>232</v>
      </c>
      <c r="D614">
        <v>1835.47</v>
      </c>
      <c r="E614">
        <v>5325.53</v>
      </c>
      <c r="F614" s="20">
        <f t="shared" si="69"/>
        <v>2.9014530338278477</v>
      </c>
      <c r="G614" t="str">
        <f t="shared" si="70"/>
        <v>agosto</v>
      </c>
      <c r="H614">
        <f t="shared" si="71"/>
        <v>2023</v>
      </c>
    </row>
    <row r="615" spans="1:8" hidden="1" x14ac:dyDescent="0.25">
      <c r="A615">
        <v>4031411</v>
      </c>
      <c r="B615" s="1">
        <v>45139</v>
      </c>
      <c r="C615" t="s">
        <v>234</v>
      </c>
      <c r="D615">
        <v>24.99</v>
      </c>
      <c r="E615">
        <v>81.150000000000006</v>
      </c>
      <c r="F615" s="20">
        <f t="shared" si="69"/>
        <v>3.2472989195678275</v>
      </c>
      <c r="G615" t="str">
        <f t="shared" si="70"/>
        <v>agosto</v>
      </c>
      <c r="H615">
        <f t="shared" si="71"/>
        <v>2023</v>
      </c>
    </row>
    <row r="616" spans="1:8" hidden="1" x14ac:dyDescent="0.25">
      <c r="A616">
        <v>4031500</v>
      </c>
      <c r="B616" s="1">
        <v>45139</v>
      </c>
      <c r="C616" t="s">
        <v>236</v>
      </c>
      <c r="D616">
        <v>6550.8</v>
      </c>
      <c r="E616">
        <v>18551.34</v>
      </c>
      <c r="F616" s="20">
        <f t="shared" si="69"/>
        <v>2.8319197655248214</v>
      </c>
      <c r="G616" t="str">
        <f t="shared" ref="G616:G645" si="72">TEXT(B616,"mmmm")</f>
        <v>agosto</v>
      </c>
      <c r="H616">
        <f t="shared" ref="H616:H645" si="73">YEAR(B616)</f>
        <v>2023</v>
      </c>
    </row>
    <row r="617" spans="1:8" hidden="1" x14ac:dyDescent="0.25">
      <c r="A617">
        <v>4031604</v>
      </c>
      <c r="B617" s="1">
        <v>45139</v>
      </c>
      <c r="C617" t="s">
        <v>238</v>
      </c>
      <c r="D617">
        <v>8040.57</v>
      </c>
      <c r="E617">
        <v>21929.32</v>
      </c>
      <c r="F617" s="20">
        <f t="shared" si="69"/>
        <v>2.7273340074148971</v>
      </c>
      <c r="G617" t="str">
        <f t="shared" si="72"/>
        <v>agosto</v>
      </c>
      <c r="H617">
        <f t="shared" si="73"/>
        <v>2023</v>
      </c>
    </row>
    <row r="618" spans="1:8" hidden="1" x14ac:dyDescent="0.25">
      <c r="A618">
        <v>4031605</v>
      </c>
      <c r="B618" s="1">
        <v>45139</v>
      </c>
      <c r="C618" t="s">
        <v>240</v>
      </c>
      <c r="D618">
        <v>5.78</v>
      </c>
      <c r="E618">
        <v>19.649999999999999</v>
      </c>
      <c r="F618" s="20">
        <f t="shared" si="69"/>
        <v>3.3996539792387539</v>
      </c>
      <c r="G618" t="str">
        <f t="shared" si="72"/>
        <v>agosto</v>
      </c>
      <c r="H618">
        <f t="shared" si="73"/>
        <v>2023</v>
      </c>
    </row>
    <row r="619" spans="1:8" hidden="1" x14ac:dyDescent="0.25">
      <c r="A619">
        <v>4031700</v>
      </c>
      <c r="B619" s="1">
        <v>45139</v>
      </c>
      <c r="C619" t="s">
        <v>242</v>
      </c>
      <c r="D619">
        <v>725.6</v>
      </c>
      <c r="E619">
        <v>2164.34</v>
      </c>
      <c r="F619" s="20">
        <f t="shared" si="69"/>
        <v>2.9828280044101434</v>
      </c>
      <c r="G619" t="str">
        <f t="shared" si="72"/>
        <v>agosto</v>
      </c>
      <c r="H619">
        <f t="shared" si="73"/>
        <v>2023</v>
      </c>
    </row>
    <row r="620" spans="1:8" hidden="1" x14ac:dyDescent="0.25">
      <c r="A620">
        <v>4031812</v>
      </c>
      <c r="B620" s="1">
        <v>45139</v>
      </c>
      <c r="C620" t="s">
        <v>244</v>
      </c>
      <c r="D620">
        <v>612.48</v>
      </c>
      <c r="E620">
        <v>1860.92</v>
      </c>
      <c r="F620" s="20">
        <f t="shared" si="69"/>
        <v>3.0383359456635319</v>
      </c>
      <c r="G620" t="str">
        <f t="shared" si="72"/>
        <v>agosto</v>
      </c>
      <c r="H620">
        <f t="shared" si="73"/>
        <v>2023</v>
      </c>
    </row>
    <row r="621" spans="1:8" hidden="1" x14ac:dyDescent="0.25">
      <c r="A621">
        <v>4031813</v>
      </c>
      <c r="B621" s="1">
        <v>45139</v>
      </c>
      <c r="C621" t="s">
        <v>464</v>
      </c>
      <c r="D621">
        <v>350</v>
      </c>
      <c r="E621">
        <v>234.5</v>
      </c>
      <c r="F621" s="20">
        <f t="shared" si="69"/>
        <v>0.67</v>
      </c>
      <c r="G621" t="str">
        <f t="shared" si="72"/>
        <v>agosto</v>
      </c>
      <c r="H621">
        <f t="shared" si="73"/>
        <v>2023</v>
      </c>
    </row>
    <row r="622" spans="1:8" hidden="1" x14ac:dyDescent="0.25">
      <c r="A622">
        <v>4031904</v>
      </c>
      <c r="B622" s="1">
        <v>45139</v>
      </c>
      <c r="C622" t="s">
        <v>246</v>
      </c>
      <c r="D622">
        <v>1284.51</v>
      </c>
      <c r="E622">
        <v>3777.48</v>
      </c>
      <c r="F622" s="20">
        <f t="shared" ref="F622:F645" si="74">E622/D622</f>
        <v>2.9407945442230892</v>
      </c>
      <c r="G622" t="str">
        <f t="shared" si="72"/>
        <v>agosto</v>
      </c>
      <c r="H622">
        <f t="shared" si="73"/>
        <v>2023</v>
      </c>
    </row>
    <row r="623" spans="1:8" hidden="1" x14ac:dyDescent="0.25">
      <c r="A623">
        <v>4032111</v>
      </c>
      <c r="B623" s="1">
        <v>45139</v>
      </c>
      <c r="C623" t="s">
        <v>314</v>
      </c>
      <c r="D623">
        <v>4.4000000000000004</v>
      </c>
      <c r="E623">
        <v>22.66</v>
      </c>
      <c r="F623" s="20">
        <f t="shared" si="74"/>
        <v>5.1499999999999995</v>
      </c>
      <c r="G623" t="str">
        <f t="shared" si="72"/>
        <v>agosto</v>
      </c>
      <c r="H623">
        <f t="shared" si="73"/>
        <v>2023</v>
      </c>
    </row>
    <row r="624" spans="1:8" hidden="1" x14ac:dyDescent="0.25">
      <c r="A624">
        <v>4032204</v>
      </c>
      <c r="B624" s="1">
        <v>45139</v>
      </c>
      <c r="C624" t="s">
        <v>315</v>
      </c>
      <c r="D624">
        <v>15.12</v>
      </c>
      <c r="E624">
        <v>77.510000000000005</v>
      </c>
      <c r="F624" s="20">
        <f t="shared" si="74"/>
        <v>5.1263227513227516</v>
      </c>
      <c r="G624" t="str">
        <f t="shared" si="72"/>
        <v>agosto</v>
      </c>
      <c r="H624">
        <f t="shared" si="73"/>
        <v>2023</v>
      </c>
    </row>
    <row r="625" spans="1:8" hidden="1" x14ac:dyDescent="0.25">
      <c r="A625">
        <v>4032205</v>
      </c>
      <c r="B625" s="1">
        <v>45139</v>
      </c>
      <c r="C625" t="s">
        <v>553</v>
      </c>
      <c r="D625">
        <v>219.9</v>
      </c>
      <c r="E625">
        <v>1118.1300000000001</v>
      </c>
      <c r="F625" s="20">
        <f t="shared" si="74"/>
        <v>5.0847203274215556</v>
      </c>
      <c r="G625" t="str">
        <f t="shared" si="72"/>
        <v>agosto</v>
      </c>
      <c r="H625">
        <f t="shared" si="73"/>
        <v>2023</v>
      </c>
    </row>
    <row r="626" spans="1:8" hidden="1" x14ac:dyDescent="0.25">
      <c r="A626">
        <v>4032206</v>
      </c>
      <c r="B626" s="1">
        <v>45139</v>
      </c>
      <c r="C626" t="s">
        <v>555</v>
      </c>
      <c r="D626">
        <v>45.77</v>
      </c>
      <c r="E626">
        <v>243.5</v>
      </c>
      <c r="F626" s="20">
        <f t="shared" si="74"/>
        <v>5.320078654140266</v>
      </c>
      <c r="G626" t="str">
        <f t="shared" si="72"/>
        <v>agosto</v>
      </c>
      <c r="H626">
        <f t="shared" si="73"/>
        <v>2023</v>
      </c>
    </row>
    <row r="627" spans="1:8" hidden="1" x14ac:dyDescent="0.25">
      <c r="A627">
        <v>4032312</v>
      </c>
      <c r="B627" s="1">
        <v>45139</v>
      </c>
      <c r="C627" t="s">
        <v>252</v>
      </c>
      <c r="D627">
        <v>601.92999999999995</v>
      </c>
      <c r="E627">
        <v>2548.63</v>
      </c>
      <c r="F627" s="20">
        <f t="shared" si="74"/>
        <v>4.2340969880218635</v>
      </c>
      <c r="G627" t="str">
        <f t="shared" si="72"/>
        <v>agosto</v>
      </c>
      <c r="H627">
        <f t="shared" si="73"/>
        <v>2023</v>
      </c>
    </row>
    <row r="628" spans="1:8" hidden="1" x14ac:dyDescent="0.25">
      <c r="A628">
        <v>4032404</v>
      </c>
      <c r="B628" s="1">
        <v>45139</v>
      </c>
      <c r="C628" t="s">
        <v>254</v>
      </c>
      <c r="D628">
        <v>148.88</v>
      </c>
      <c r="E628">
        <v>661.97</v>
      </c>
      <c r="F628" s="20">
        <f t="shared" si="74"/>
        <v>4.4463326168726498</v>
      </c>
      <c r="G628" t="str">
        <f t="shared" si="72"/>
        <v>agosto</v>
      </c>
      <c r="H628">
        <f t="shared" si="73"/>
        <v>2023</v>
      </c>
    </row>
    <row r="629" spans="1:8" hidden="1" x14ac:dyDescent="0.25">
      <c r="A629">
        <v>4032500</v>
      </c>
      <c r="B629" s="1">
        <v>45139</v>
      </c>
      <c r="C629" t="s">
        <v>256</v>
      </c>
      <c r="D629">
        <v>426.6</v>
      </c>
      <c r="E629">
        <v>1166.27</v>
      </c>
      <c r="F629" s="20">
        <f t="shared" si="74"/>
        <v>2.7338724800750116</v>
      </c>
      <c r="G629" t="str">
        <f t="shared" si="72"/>
        <v>agosto</v>
      </c>
      <c r="H629">
        <f t="shared" si="73"/>
        <v>2023</v>
      </c>
    </row>
    <row r="630" spans="1:8" hidden="1" x14ac:dyDescent="0.25">
      <c r="A630">
        <v>4032611</v>
      </c>
      <c r="B630" s="1">
        <v>45139</v>
      </c>
      <c r="C630" t="s">
        <v>258</v>
      </c>
      <c r="D630">
        <v>396.25</v>
      </c>
      <c r="E630">
        <v>1095.33</v>
      </c>
      <c r="F630" s="20">
        <f t="shared" si="74"/>
        <v>2.7642397476340692</v>
      </c>
      <c r="G630" t="str">
        <f t="shared" si="72"/>
        <v>agosto</v>
      </c>
      <c r="H630">
        <f t="shared" si="73"/>
        <v>2023</v>
      </c>
    </row>
    <row r="631" spans="1:8" hidden="1" x14ac:dyDescent="0.25">
      <c r="A631">
        <v>4032704</v>
      </c>
      <c r="B631" s="1">
        <v>45139</v>
      </c>
      <c r="C631" t="s">
        <v>260</v>
      </c>
      <c r="D631">
        <v>332.11</v>
      </c>
      <c r="E631">
        <v>972.18</v>
      </c>
      <c r="F631" s="20">
        <f t="shared" si="74"/>
        <v>2.9272831290837371</v>
      </c>
      <c r="G631" t="str">
        <f t="shared" si="72"/>
        <v>agosto</v>
      </c>
      <c r="H631">
        <f t="shared" si="73"/>
        <v>2023</v>
      </c>
    </row>
    <row r="632" spans="1:8" hidden="1" x14ac:dyDescent="0.25">
      <c r="A632">
        <v>4032800</v>
      </c>
      <c r="B632" s="1">
        <v>45139</v>
      </c>
      <c r="C632" t="s">
        <v>262</v>
      </c>
      <c r="D632">
        <v>127.3</v>
      </c>
      <c r="E632">
        <v>715.61</v>
      </c>
      <c r="F632" s="20">
        <f t="shared" si="74"/>
        <v>5.6214454045561668</v>
      </c>
      <c r="G632" t="str">
        <f t="shared" si="72"/>
        <v>agosto</v>
      </c>
      <c r="H632">
        <f t="shared" si="73"/>
        <v>2023</v>
      </c>
    </row>
    <row r="633" spans="1:8" hidden="1" x14ac:dyDescent="0.25">
      <c r="A633">
        <v>4032902</v>
      </c>
      <c r="B633" s="1">
        <v>45139</v>
      </c>
      <c r="C633" t="s">
        <v>264</v>
      </c>
      <c r="D633">
        <v>278.93</v>
      </c>
      <c r="E633">
        <v>1439.61</v>
      </c>
      <c r="F633" s="20">
        <f t="shared" si="74"/>
        <v>5.1611873946868387</v>
      </c>
      <c r="G633" t="str">
        <f t="shared" si="72"/>
        <v>agosto</v>
      </c>
      <c r="H633">
        <f t="shared" si="73"/>
        <v>2023</v>
      </c>
    </row>
    <row r="634" spans="1:8" hidden="1" x14ac:dyDescent="0.25">
      <c r="A634">
        <v>4033011</v>
      </c>
      <c r="B634" s="1">
        <v>45139</v>
      </c>
      <c r="C634" t="s">
        <v>266</v>
      </c>
      <c r="D634">
        <v>42.37</v>
      </c>
      <c r="E634">
        <v>218.2</v>
      </c>
      <c r="F634" s="20">
        <f t="shared" si="74"/>
        <v>5.149870191173</v>
      </c>
      <c r="G634" t="str">
        <f t="shared" si="72"/>
        <v>agosto</v>
      </c>
      <c r="H634">
        <f t="shared" si="73"/>
        <v>2023</v>
      </c>
    </row>
    <row r="635" spans="1:8" hidden="1" x14ac:dyDescent="0.25">
      <c r="A635">
        <v>4033111</v>
      </c>
      <c r="B635" s="1">
        <v>45139</v>
      </c>
      <c r="C635" t="s">
        <v>268</v>
      </c>
      <c r="D635">
        <v>770.7</v>
      </c>
      <c r="E635">
        <v>3287.39</v>
      </c>
      <c r="F635" s="20">
        <f t="shared" si="74"/>
        <v>4.2654599714545212</v>
      </c>
      <c r="G635" t="str">
        <f t="shared" si="72"/>
        <v>agosto</v>
      </c>
      <c r="H635">
        <f t="shared" si="73"/>
        <v>2023</v>
      </c>
    </row>
    <row r="636" spans="1:8" hidden="1" x14ac:dyDescent="0.25">
      <c r="A636">
        <v>4033211</v>
      </c>
      <c r="B636" s="1">
        <v>45139</v>
      </c>
      <c r="C636" t="s">
        <v>270</v>
      </c>
      <c r="D636">
        <v>15.97</v>
      </c>
      <c r="E636">
        <v>73.22</v>
      </c>
      <c r="F636" s="20">
        <f t="shared" si="74"/>
        <v>4.5848465873512838</v>
      </c>
      <c r="G636" t="str">
        <f t="shared" si="72"/>
        <v>agosto</v>
      </c>
      <c r="H636">
        <f t="shared" si="73"/>
        <v>2023</v>
      </c>
    </row>
    <row r="637" spans="1:8" hidden="1" x14ac:dyDescent="0.25">
      <c r="A637">
        <v>4033311</v>
      </c>
      <c r="B637" s="1">
        <v>45139</v>
      </c>
      <c r="C637" t="s">
        <v>272</v>
      </c>
      <c r="D637">
        <v>10.14</v>
      </c>
      <c r="E637">
        <v>63.76</v>
      </c>
      <c r="F637" s="20">
        <f t="shared" si="74"/>
        <v>6.2879684418145949</v>
      </c>
      <c r="G637" t="str">
        <f t="shared" si="72"/>
        <v>agosto</v>
      </c>
      <c r="H637">
        <f t="shared" si="73"/>
        <v>2023</v>
      </c>
    </row>
    <row r="638" spans="1:8" hidden="1" x14ac:dyDescent="0.25">
      <c r="A638">
        <v>4033400</v>
      </c>
      <c r="B638" s="1">
        <v>45139</v>
      </c>
      <c r="C638" t="s">
        <v>274</v>
      </c>
      <c r="D638">
        <v>551.79999999999995</v>
      </c>
      <c r="E638">
        <v>1683.88</v>
      </c>
      <c r="F638" s="20">
        <f t="shared" si="74"/>
        <v>3.051612903225807</v>
      </c>
      <c r="G638" t="str">
        <f t="shared" si="72"/>
        <v>agosto</v>
      </c>
      <c r="H638">
        <f t="shared" si="73"/>
        <v>2023</v>
      </c>
    </row>
    <row r="639" spans="1:8" hidden="1" x14ac:dyDescent="0.25">
      <c r="A639">
        <v>4033511</v>
      </c>
      <c r="B639" s="1">
        <v>45139</v>
      </c>
      <c r="C639" t="s">
        <v>276</v>
      </c>
      <c r="D639">
        <v>1378.33</v>
      </c>
      <c r="E639">
        <v>4378.53</v>
      </c>
      <c r="F639" s="20">
        <f t="shared" si="74"/>
        <v>3.1766920838986308</v>
      </c>
      <c r="G639" t="str">
        <f t="shared" si="72"/>
        <v>agosto</v>
      </c>
      <c r="H639">
        <f t="shared" si="73"/>
        <v>2023</v>
      </c>
    </row>
    <row r="640" spans="1:8" hidden="1" x14ac:dyDescent="0.25">
      <c r="A640">
        <v>4033900</v>
      </c>
      <c r="B640" s="1">
        <v>45139</v>
      </c>
      <c r="C640" t="s">
        <v>725</v>
      </c>
      <c r="D640">
        <v>58.93</v>
      </c>
      <c r="E640">
        <v>292.56</v>
      </c>
      <c r="F640" s="20">
        <f t="shared" si="74"/>
        <v>4.9645341931104703</v>
      </c>
      <c r="G640" t="str">
        <f t="shared" si="72"/>
        <v>agosto</v>
      </c>
      <c r="H640">
        <f t="shared" si="73"/>
        <v>2023</v>
      </c>
    </row>
    <row r="641" spans="1:8" hidden="1" x14ac:dyDescent="0.25">
      <c r="A641">
        <v>4034011</v>
      </c>
      <c r="B641" s="1">
        <v>45139</v>
      </c>
      <c r="C641" t="s">
        <v>726</v>
      </c>
      <c r="D641">
        <v>1501.02</v>
      </c>
      <c r="E641">
        <v>7739.4</v>
      </c>
      <c r="F641" s="20">
        <f t="shared" si="74"/>
        <v>5.1560938561777991</v>
      </c>
      <c r="G641" t="str">
        <f t="shared" si="72"/>
        <v>agosto</v>
      </c>
      <c r="H641">
        <f t="shared" si="73"/>
        <v>2023</v>
      </c>
    </row>
    <row r="642" spans="1:8" hidden="1" x14ac:dyDescent="0.25">
      <c r="A642">
        <v>4034116</v>
      </c>
      <c r="B642" s="1">
        <v>45139</v>
      </c>
      <c r="C642" t="s">
        <v>727</v>
      </c>
      <c r="D642">
        <v>7.04</v>
      </c>
      <c r="E642">
        <v>23.94</v>
      </c>
      <c r="F642" s="20">
        <f t="shared" si="74"/>
        <v>3.4005681818181821</v>
      </c>
      <c r="G642" t="str">
        <f t="shared" si="72"/>
        <v>agosto</v>
      </c>
      <c r="H642">
        <f t="shared" si="73"/>
        <v>2023</v>
      </c>
    </row>
    <row r="643" spans="1:8" hidden="1" x14ac:dyDescent="0.25">
      <c r="A643">
        <v>4034211</v>
      </c>
      <c r="B643" s="1">
        <v>45139</v>
      </c>
      <c r="C643" t="s">
        <v>728</v>
      </c>
      <c r="D643">
        <v>145.43</v>
      </c>
      <c r="E643">
        <v>627.85</v>
      </c>
      <c r="F643" s="20">
        <f t="shared" si="74"/>
        <v>4.3171972770405009</v>
      </c>
      <c r="G643" t="str">
        <f t="shared" si="72"/>
        <v>agosto</v>
      </c>
      <c r="H643">
        <f t="shared" si="73"/>
        <v>2023</v>
      </c>
    </row>
    <row r="644" spans="1:8" hidden="1" x14ac:dyDescent="0.25">
      <c r="A644">
        <v>4034400</v>
      </c>
      <c r="B644" s="1">
        <v>45139</v>
      </c>
      <c r="C644" t="s">
        <v>284</v>
      </c>
      <c r="D644">
        <v>75.7</v>
      </c>
      <c r="E644">
        <v>204.23</v>
      </c>
      <c r="F644" s="20">
        <f t="shared" si="74"/>
        <v>2.6978863936591808</v>
      </c>
      <c r="G644" t="str">
        <f t="shared" si="72"/>
        <v>agosto</v>
      </c>
      <c r="H644">
        <f t="shared" si="73"/>
        <v>2023</v>
      </c>
    </row>
    <row r="645" spans="1:8" hidden="1" x14ac:dyDescent="0.25">
      <c r="A645">
        <v>4034502</v>
      </c>
      <c r="B645" s="1">
        <v>45139</v>
      </c>
      <c r="C645" t="s">
        <v>286</v>
      </c>
      <c r="D645">
        <v>71.64</v>
      </c>
      <c r="E645">
        <v>202.33</v>
      </c>
      <c r="F645" s="20">
        <f t="shared" si="74"/>
        <v>2.8242601898380792</v>
      </c>
      <c r="G645" t="str">
        <f t="shared" si="72"/>
        <v>agosto</v>
      </c>
      <c r="H645">
        <f t="shared" si="73"/>
        <v>2023</v>
      </c>
    </row>
    <row r="646" spans="1:8" hidden="1" x14ac:dyDescent="0.25">
      <c r="A646">
        <v>3020103</v>
      </c>
      <c r="B646" s="1">
        <v>45170</v>
      </c>
      <c r="C646" t="s">
        <v>131</v>
      </c>
      <c r="D646">
        <v>6418.6</v>
      </c>
      <c r="E646">
        <v>21173.91</v>
      </c>
      <c r="F646" s="20">
        <f t="shared" ref="F646:F653" si="75">E646/D646</f>
        <v>3.2988361948088367</v>
      </c>
      <c r="G646" t="str">
        <f t="shared" ref="G646:G647" si="76">TEXT(B646,"mmmm")</f>
        <v>setembro</v>
      </c>
      <c r="H646">
        <f t="shared" ref="H646:H647" si="77">YEAR(B646)</f>
        <v>2023</v>
      </c>
    </row>
    <row r="647" spans="1:8" hidden="1" x14ac:dyDescent="0.25">
      <c r="A647">
        <v>3020212</v>
      </c>
      <c r="B647" s="1">
        <v>45170</v>
      </c>
      <c r="C647" t="s">
        <v>133</v>
      </c>
      <c r="D647">
        <v>1617.58</v>
      </c>
      <c r="E647">
        <v>5992.38</v>
      </c>
      <c r="F647" s="20">
        <f t="shared" si="75"/>
        <v>3.7045339334066942</v>
      </c>
      <c r="G647" t="str">
        <f t="shared" si="76"/>
        <v>setembro</v>
      </c>
      <c r="H647">
        <f t="shared" si="77"/>
        <v>2023</v>
      </c>
    </row>
    <row r="648" spans="1:8" hidden="1" x14ac:dyDescent="0.25">
      <c r="A648">
        <v>3020214</v>
      </c>
      <c r="B648" s="1">
        <v>45170</v>
      </c>
      <c r="C648" t="s">
        <v>135</v>
      </c>
      <c r="D648">
        <v>530.36</v>
      </c>
      <c r="E648">
        <v>1869.89</v>
      </c>
      <c r="F648" s="20">
        <f t="shared" si="75"/>
        <v>3.5256995248510448</v>
      </c>
      <c r="G648" t="str">
        <f t="shared" ref="G648:G708" si="78">TEXT(B648,"mmmm")</f>
        <v>setembro</v>
      </c>
      <c r="H648">
        <f t="shared" ref="H648:H708" si="79">YEAR(B648)</f>
        <v>2023</v>
      </c>
    </row>
    <row r="649" spans="1:8" hidden="1" x14ac:dyDescent="0.25">
      <c r="A649">
        <v>3020315</v>
      </c>
      <c r="B649" s="1">
        <v>45170</v>
      </c>
      <c r="C649" t="s">
        <v>137</v>
      </c>
      <c r="D649">
        <v>2189.29</v>
      </c>
      <c r="E649">
        <v>7833.71</v>
      </c>
      <c r="F649" s="20">
        <f t="shared" si="75"/>
        <v>3.5781965842807488</v>
      </c>
      <c r="G649" t="str">
        <f t="shared" si="78"/>
        <v>setembro</v>
      </c>
      <c r="H649">
        <f t="shared" si="79"/>
        <v>2023</v>
      </c>
    </row>
    <row r="650" spans="1:8" hidden="1" x14ac:dyDescent="0.25">
      <c r="A650">
        <v>3020316</v>
      </c>
      <c r="B650" s="1">
        <v>45170</v>
      </c>
      <c r="C650" t="s">
        <v>139</v>
      </c>
      <c r="D650">
        <v>198.09</v>
      </c>
      <c r="E650">
        <v>629.92999999999995</v>
      </c>
      <c r="F650" s="20">
        <f t="shared" si="75"/>
        <v>3.1800191831995552</v>
      </c>
      <c r="G650" t="str">
        <f t="shared" si="78"/>
        <v>setembro</v>
      </c>
      <c r="H650">
        <f t="shared" si="79"/>
        <v>2023</v>
      </c>
    </row>
    <row r="651" spans="1:8" hidden="1" x14ac:dyDescent="0.25">
      <c r="A651">
        <v>3020402</v>
      </c>
      <c r="B651" s="1">
        <v>45170</v>
      </c>
      <c r="C651" t="s">
        <v>141</v>
      </c>
      <c r="D651">
        <v>1796.82</v>
      </c>
      <c r="E651">
        <v>6338.28</v>
      </c>
      <c r="F651" s="20">
        <f t="shared" si="75"/>
        <v>3.5274985808261263</v>
      </c>
      <c r="G651" t="str">
        <f t="shared" si="78"/>
        <v>setembro</v>
      </c>
      <c r="H651">
        <f t="shared" si="79"/>
        <v>2023</v>
      </c>
    </row>
    <row r="652" spans="1:8" hidden="1" x14ac:dyDescent="0.25">
      <c r="A652">
        <v>3020504</v>
      </c>
      <c r="B652" s="1">
        <v>45170</v>
      </c>
      <c r="C652" t="s">
        <v>143</v>
      </c>
      <c r="D652">
        <v>475.18</v>
      </c>
      <c r="E652">
        <v>1789.72</v>
      </c>
      <c r="F652" s="20">
        <f t="shared" si="75"/>
        <v>3.7664043099457047</v>
      </c>
      <c r="G652" t="str">
        <f t="shared" si="78"/>
        <v>setembro</v>
      </c>
      <c r="H652">
        <f t="shared" si="79"/>
        <v>2023</v>
      </c>
    </row>
    <row r="653" spans="1:8" hidden="1" x14ac:dyDescent="0.25">
      <c r="A653">
        <v>3020622</v>
      </c>
      <c r="B653" s="1">
        <v>45170</v>
      </c>
      <c r="C653" t="s">
        <v>145</v>
      </c>
      <c r="D653">
        <v>5250.44</v>
      </c>
      <c r="E653">
        <v>18544.28</v>
      </c>
      <c r="F653" s="20">
        <f t="shared" si="75"/>
        <v>3.5319477986606835</v>
      </c>
      <c r="G653" t="str">
        <f t="shared" si="78"/>
        <v>setembro</v>
      </c>
      <c r="H653">
        <f t="shared" si="79"/>
        <v>2023</v>
      </c>
    </row>
    <row r="654" spans="1:8" hidden="1" x14ac:dyDescent="0.25">
      <c r="A654">
        <v>3020623</v>
      </c>
      <c r="B654" s="1">
        <v>45170</v>
      </c>
      <c r="C654" t="s">
        <v>147</v>
      </c>
      <c r="D654">
        <v>675.46</v>
      </c>
      <c r="E654">
        <v>2621.34</v>
      </c>
      <c r="F654" s="20">
        <f t="shared" ref="F654:F714" si="80">E654/D654</f>
        <v>3.8808219583691113</v>
      </c>
      <c r="G654" t="str">
        <f t="shared" si="78"/>
        <v>setembro</v>
      </c>
      <c r="H654">
        <f t="shared" si="79"/>
        <v>2023</v>
      </c>
    </row>
    <row r="655" spans="1:8" hidden="1" x14ac:dyDescent="0.25">
      <c r="A655">
        <v>3020725</v>
      </c>
      <c r="B655" s="1">
        <v>45170</v>
      </c>
      <c r="C655" t="s">
        <v>149</v>
      </c>
      <c r="D655">
        <v>423.83</v>
      </c>
      <c r="E655">
        <v>1609.4</v>
      </c>
      <c r="F655" s="20">
        <f t="shared" si="80"/>
        <v>3.7972772102022039</v>
      </c>
      <c r="G655" t="str">
        <f t="shared" si="78"/>
        <v>setembro</v>
      </c>
      <c r="H655">
        <f t="shared" si="79"/>
        <v>2023</v>
      </c>
    </row>
    <row r="656" spans="1:8" hidden="1" x14ac:dyDescent="0.25">
      <c r="A656">
        <v>3020823</v>
      </c>
      <c r="B656" s="1">
        <v>45170</v>
      </c>
      <c r="C656" t="s">
        <v>151</v>
      </c>
      <c r="D656">
        <v>1594.52</v>
      </c>
      <c r="E656">
        <v>6014.7</v>
      </c>
      <c r="F656" s="20">
        <f t="shared" si="80"/>
        <v>3.7721069663597824</v>
      </c>
      <c r="G656" t="str">
        <f t="shared" si="78"/>
        <v>setembro</v>
      </c>
      <c r="H656">
        <f t="shared" si="79"/>
        <v>2023</v>
      </c>
    </row>
    <row r="657" spans="1:8" hidden="1" x14ac:dyDescent="0.25">
      <c r="A657">
        <v>3020824</v>
      </c>
      <c r="B657" s="1">
        <v>45170</v>
      </c>
      <c r="C657" t="s">
        <v>153</v>
      </c>
      <c r="D657">
        <v>1895</v>
      </c>
      <c r="E657">
        <v>7052.57</v>
      </c>
      <c r="F657" s="20">
        <f t="shared" si="80"/>
        <v>3.7216728232189973</v>
      </c>
      <c r="G657" t="str">
        <f t="shared" si="78"/>
        <v>setembro</v>
      </c>
      <c r="H657">
        <f t="shared" si="79"/>
        <v>2023</v>
      </c>
    </row>
    <row r="658" spans="1:8" hidden="1" x14ac:dyDescent="0.25">
      <c r="A658">
        <v>3020825</v>
      </c>
      <c r="B658" s="1">
        <v>45170</v>
      </c>
      <c r="C658" t="s">
        <v>455</v>
      </c>
      <c r="D658">
        <v>549.70000000000005</v>
      </c>
      <c r="E658">
        <v>2253.7600000000002</v>
      </c>
      <c r="F658" s="20">
        <f t="shared" si="80"/>
        <v>4.0999818082590505</v>
      </c>
      <c r="G658" t="str">
        <f t="shared" si="78"/>
        <v>setembro</v>
      </c>
      <c r="H658">
        <f t="shared" si="79"/>
        <v>2023</v>
      </c>
    </row>
    <row r="659" spans="1:8" hidden="1" x14ac:dyDescent="0.25">
      <c r="A659">
        <v>3020924</v>
      </c>
      <c r="B659" s="1">
        <v>45170</v>
      </c>
      <c r="C659" t="s">
        <v>155</v>
      </c>
      <c r="D659">
        <v>1323.61</v>
      </c>
      <c r="E659">
        <v>5060.58</v>
      </c>
      <c r="F659" s="20">
        <f t="shared" si="80"/>
        <v>3.8233165358375958</v>
      </c>
      <c r="G659" t="str">
        <f t="shared" si="78"/>
        <v>setembro</v>
      </c>
      <c r="H659">
        <f t="shared" si="79"/>
        <v>2023</v>
      </c>
    </row>
    <row r="660" spans="1:8" hidden="1" x14ac:dyDescent="0.25">
      <c r="A660">
        <v>3020925</v>
      </c>
      <c r="B660" s="1">
        <v>45170</v>
      </c>
      <c r="C660" t="s">
        <v>157</v>
      </c>
      <c r="D660">
        <v>1910.32</v>
      </c>
      <c r="E660">
        <v>7296.08</v>
      </c>
      <c r="F660" s="20">
        <f t="shared" si="80"/>
        <v>3.8192972905063027</v>
      </c>
      <c r="G660" t="str">
        <f t="shared" si="78"/>
        <v>setembro</v>
      </c>
      <c r="H660">
        <f t="shared" si="79"/>
        <v>2023</v>
      </c>
    </row>
    <row r="661" spans="1:8" hidden="1" x14ac:dyDescent="0.25">
      <c r="A661">
        <v>3021435</v>
      </c>
      <c r="B661" s="1">
        <v>45170</v>
      </c>
      <c r="C661" t="s">
        <v>159</v>
      </c>
      <c r="D661">
        <v>11.14</v>
      </c>
      <c r="E661">
        <v>35.090000000000003</v>
      </c>
      <c r="F661" s="20">
        <f t="shared" si="80"/>
        <v>3.1499102333931779</v>
      </c>
      <c r="G661" t="str">
        <f t="shared" si="78"/>
        <v>setembro</v>
      </c>
      <c r="H661">
        <f t="shared" si="79"/>
        <v>2023</v>
      </c>
    </row>
    <row r="662" spans="1:8" hidden="1" x14ac:dyDescent="0.25">
      <c r="A662">
        <v>3021436</v>
      </c>
      <c r="B662" s="1">
        <v>45170</v>
      </c>
      <c r="C662" t="s">
        <v>546</v>
      </c>
      <c r="D662">
        <v>388.96</v>
      </c>
      <c r="E662">
        <v>1269.6300000000001</v>
      </c>
      <c r="F662" s="20">
        <f t="shared" si="80"/>
        <v>3.2641659810777464</v>
      </c>
      <c r="G662" t="str">
        <f t="shared" si="78"/>
        <v>setembro</v>
      </c>
      <c r="H662">
        <f t="shared" si="79"/>
        <v>2023</v>
      </c>
    </row>
    <row r="663" spans="1:8" hidden="1" x14ac:dyDescent="0.25">
      <c r="A663">
        <v>3021538</v>
      </c>
      <c r="B663" s="1">
        <v>45170</v>
      </c>
      <c r="C663" t="s">
        <v>548</v>
      </c>
      <c r="D663">
        <v>34.43</v>
      </c>
      <c r="E663">
        <v>110.93</v>
      </c>
      <c r="F663" s="20">
        <f t="shared" si="80"/>
        <v>3.2218995062445543</v>
      </c>
      <c r="G663" t="str">
        <f t="shared" si="78"/>
        <v>setembro</v>
      </c>
      <c r="H663">
        <f t="shared" si="79"/>
        <v>2023</v>
      </c>
    </row>
    <row r="664" spans="1:8" hidden="1" x14ac:dyDescent="0.25">
      <c r="A664">
        <v>3021639</v>
      </c>
      <c r="B664" s="1">
        <v>45170</v>
      </c>
      <c r="C664" t="s">
        <v>457</v>
      </c>
      <c r="D664">
        <v>22.64</v>
      </c>
      <c r="E664">
        <v>69.92</v>
      </c>
      <c r="F664" s="20">
        <f t="shared" si="80"/>
        <v>3.0883392226148412</v>
      </c>
      <c r="G664" t="str">
        <f t="shared" si="78"/>
        <v>setembro</v>
      </c>
      <c r="H664">
        <f t="shared" si="79"/>
        <v>2023</v>
      </c>
    </row>
    <row r="665" spans="1:8" hidden="1" x14ac:dyDescent="0.25">
      <c r="A665">
        <v>3021739</v>
      </c>
      <c r="B665" s="1">
        <v>45170</v>
      </c>
      <c r="C665" t="s">
        <v>165</v>
      </c>
      <c r="D665">
        <v>2.89</v>
      </c>
      <c r="E665">
        <v>16.21</v>
      </c>
      <c r="F665" s="20">
        <f t="shared" si="80"/>
        <v>5.608996539792388</v>
      </c>
      <c r="G665" t="str">
        <f t="shared" si="78"/>
        <v>setembro</v>
      </c>
      <c r="H665">
        <f t="shared" si="79"/>
        <v>2023</v>
      </c>
    </row>
    <row r="666" spans="1:8" hidden="1" x14ac:dyDescent="0.25">
      <c r="A666">
        <v>3021740</v>
      </c>
      <c r="B666" s="1">
        <v>45170</v>
      </c>
      <c r="C666" t="s">
        <v>459</v>
      </c>
      <c r="D666">
        <v>118.92</v>
      </c>
      <c r="E666">
        <v>57.64</v>
      </c>
      <c r="F666" s="20">
        <f t="shared" si="80"/>
        <v>0.48469559367642112</v>
      </c>
      <c r="G666" t="str">
        <f t="shared" si="78"/>
        <v>setembro</v>
      </c>
      <c r="H666">
        <f t="shared" si="79"/>
        <v>2023</v>
      </c>
    </row>
    <row r="667" spans="1:8" hidden="1" x14ac:dyDescent="0.25">
      <c r="A667">
        <v>3021760</v>
      </c>
      <c r="B667" s="1">
        <v>45170</v>
      </c>
      <c r="C667" t="s">
        <v>167</v>
      </c>
      <c r="D667">
        <v>2090.17</v>
      </c>
      <c r="E667">
        <v>4832.07</v>
      </c>
      <c r="F667" s="20">
        <f t="shared" si="80"/>
        <v>2.3118071735791825</v>
      </c>
      <c r="G667" t="str">
        <f t="shared" si="78"/>
        <v>setembro</v>
      </c>
      <c r="H667">
        <f t="shared" si="79"/>
        <v>2023</v>
      </c>
    </row>
    <row r="668" spans="1:8" hidden="1" x14ac:dyDescent="0.25">
      <c r="A668">
        <v>3021811</v>
      </c>
      <c r="B668" s="1">
        <v>45170</v>
      </c>
      <c r="C668" t="s">
        <v>169</v>
      </c>
      <c r="D668">
        <v>920.43</v>
      </c>
      <c r="E668">
        <v>2077.36</v>
      </c>
      <c r="F668" s="20">
        <f t="shared" si="80"/>
        <v>2.2569451234748978</v>
      </c>
      <c r="G668" t="str">
        <f t="shared" si="78"/>
        <v>setembro</v>
      </c>
      <c r="H668">
        <f t="shared" si="79"/>
        <v>2023</v>
      </c>
    </row>
    <row r="669" spans="1:8" hidden="1" x14ac:dyDescent="0.25">
      <c r="A669">
        <v>3021812</v>
      </c>
      <c r="B669" s="1">
        <v>45170</v>
      </c>
      <c r="C669" t="s">
        <v>171</v>
      </c>
      <c r="D669">
        <v>875.53</v>
      </c>
      <c r="E669">
        <v>1843.93</v>
      </c>
      <c r="F669" s="20">
        <f t="shared" si="80"/>
        <v>2.1060728929905315</v>
      </c>
      <c r="G669" t="str">
        <f t="shared" si="78"/>
        <v>setembro</v>
      </c>
      <c r="H669">
        <f t="shared" si="79"/>
        <v>2023</v>
      </c>
    </row>
    <row r="670" spans="1:8" hidden="1" x14ac:dyDescent="0.25">
      <c r="A670">
        <v>3022100</v>
      </c>
      <c r="B670" s="1">
        <v>45170</v>
      </c>
      <c r="C670" t="s">
        <v>173</v>
      </c>
      <c r="D670">
        <v>72.709999999999994</v>
      </c>
      <c r="E670">
        <v>278.17</v>
      </c>
      <c r="F670" s="20">
        <f t="shared" si="80"/>
        <v>3.8257461147022425</v>
      </c>
      <c r="G670" t="str">
        <f t="shared" si="78"/>
        <v>setembro</v>
      </c>
      <c r="H670">
        <f t="shared" si="79"/>
        <v>2023</v>
      </c>
    </row>
    <row r="671" spans="1:8" hidden="1" x14ac:dyDescent="0.25">
      <c r="A671">
        <v>3022208</v>
      </c>
      <c r="B671" s="1">
        <v>45170</v>
      </c>
      <c r="C671" t="s">
        <v>307</v>
      </c>
      <c r="D671">
        <v>259.88</v>
      </c>
      <c r="E671">
        <v>973.01</v>
      </c>
      <c r="F671" s="20">
        <f t="shared" si="80"/>
        <v>3.7440741880868091</v>
      </c>
      <c r="G671" t="str">
        <f t="shared" si="78"/>
        <v>setembro</v>
      </c>
      <c r="H671">
        <f t="shared" si="79"/>
        <v>2023</v>
      </c>
    </row>
    <row r="672" spans="1:8" hidden="1" x14ac:dyDescent="0.25">
      <c r="A672">
        <v>3022311</v>
      </c>
      <c r="B672" s="1">
        <v>45170</v>
      </c>
      <c r="C672" t="s">
        <v>176</v>
      </c>
      <c r="D672">
        <v>2567.88</v>
      </c>
      <c r="E672">
        <v>6143.59</v>
      </c>
      <c r="F672" s="20">
        <f t="shared" si="80"/>
        <v>2.3924755050859075</v>
      </c>
      <c r="G672" t="str">
        <f t="shared" si="78"/>
        <v>setembro</v>
      </c>
      <c r="H672">
        <f t="shared" si="79"/>
        <v>2023</v>
      </c>
    </row>
    <row r="673" spans="1:8" hidden="1" x14ac:dyDescent="0.25">
      <c r="A673">
        <v>3022411</v>
      </c>
      <c r="B673" s="1">
        <v>45170</v>
      </c>
      <c r="C673" t="s">
        <v>178</v>
      </c>
      <c r="D673">
        <v>76.819999999999993</v>
      </c>
      <c r="E673">
        <v>204.14</v>
      </c>
      <c r="F673" s="20">
        <f t="shared" si="80"/>
        <v>2.6573808903931266</v>
      </c>
      <c r="G673" t="str">
        <f t="shared" si="78"/>
        <v>setembro</v>
      </c>
      <c r="H673">
        <f t="shared" si="79"/>
        <v>2023</v>
      </c>
    </row>
    <row r="674" spans="1:8" hidden="1" x14ac:dyDescent="0.25">
      <c r="A674">
        <v>3022511</v>
      </c>
      <c r="B674" s="1">
        <v>45170</v>
      </c>
      <c r="C674" t="s">
        <v>180</v>
      </c>
      <c r="D674">
        <v>2.9</v>
      </c>
      <c r="E674">
        <v>7.39</v>
      </c>
      <c r="F674" s="20">
        <f t="shared" si="80"/>
        <v>2.5482758620689654</v>
      </c>
      <c r="G674" t="str">
        <f t="shared" si="78"/>
        <v>setembro</v>
      </c>
      <c r="H674">
        <f t="shared" si="79"/>
        <v>2023</v>
      </c>
    </row>
    <row r="675" spans="1:8" hidden="1" x14ac:dyDescent="0.25">
      <c r="A675">
        <v>3022601</v>
      </c>
      <c r="B675" s="1">
        <v>45170</v>
      </c>
      <c r="C675" t="s">
        <v>182</v>
      </c>
      <c r="D675">
        <v>361.75</v>
      </c>
      <c r="E675">
        <v>1437.81</v>
      </c>
      <c r="F675" s="20">
        <f t="shared" si="80"/>
        <v>3.9745957152729785</v>
      </c>
      <c r="G675" t="str">
        <f t="shared" si="78"/>
        <v>setembro</v>
      </c>
      <c r="H675">
        <f t="shared" si="79"/>
        <v>2023</v>
      </c>
    </row>
    <row r="676" spans="1:8" hidden="1" x14ac:dyDescent="0.25">
      <c r="A676">
        <v>3022703</v>
      </c>
      <c r="B676" s="1">
        <v>45170</v>
      </c>
      <c r="C676" t="s">
        <v>309</v>
      </c>
      <c r="D676">
        <v>792</v>
      </c>
      <c r="E676">
        <v>2184.0500000000002</v>
      </c>
      <c r="F676" s="20">
        <f t="shared" si="80"/>
        <v>2.7576388888888892</v>
      </c>
      <c r="G676" t="str">
        <f t="shared" si="78"/>
        <v>setembro</v>
      </c>
      <c r="H676">
        <f t="shared" si="79"/>
        <v>2023</v>
      </c>
    </row>
    <row r="677" spans="1:8" hidden="1" x14ac:dyDescent="0.25">
      <c r="A677">
        <v>3022805</v>
      </c>
      <c r="B677" s="1">
        <v>45170</v>
      </c>
      <c r="C677" t="s">
        <v>186</v>
      </c>
      <c r="D677">
        <v>2480</v>
      </c>
      <c r="E677">
        <v>5227.95</v>
      </c>
      <c r="F677" s="20">
        <f t="shared" si="80"/>
        <v>2.1080443548387096</v>
      </c>
      <c r="G677" t="str">
        <f t="shared" si="78"/>
        <v>setembro</v>
      </c>
      <c r="H677">
        <f t="shared" si="79"/>
        <v>2023</v>
      </c>
    </row>
    <row r="678" spans="1:8" hidden="1" x14ac:dyDescent="0.25">
      <c r="A678">
        <v>3022906</v>
      </c>
      <c r="B678" s="1">
        <v>45170</v>
      </c>
      <c r="C678" t="s">
        <v>188</v>
      </c>
      <c r="D678">
        <v>3610</v>
      </c>
      <c r="E678">
        <v>7444.85</v>
      </c>
      <c r="F678" s="20">
        <f t="shared" si="80"/>
        <v>2.0622853185595571</v>
      </c>
      <c r="G678" t="str">
        <f t="shared" si="78"/>
        <v>setembro</v>
      </c>
      <c r="H678">
        <f t="shared" si="79"/>
        <v>2023</v>
      </c>
    </row>
    <row r="679" spans="1:8" hidden="1" x14ac:dyDescent="0.25">
      <c r="A679">
        <v>3023007</v>
      </c>
      <c r="B679" s="1">
        <v>45170</v>
      </c>
      <c r="C679" t="s">
        <v>190</v>
      </c>
      <c r="D679">
        <v>860</v>
      </c>
      <c r="E679">
        <v>1739.8</v>
      </c>
      <c r="F679" s="20">
        <f t="shared" si="80"/>
        <v>2.0230232558139534</v>
      </c>
      <c r="G679" t="str">
        <f t="shared" si="78"/>
        <v>setembro</v>
      </c>
      <c r="H679">
        <f t="shared" si="79"/>
        <v>2023</v>
      </c>
    </row>
    <row r="680" spans="1:8" hidden="1" x14ac:dyDescent="0.25">
      <c r="A680">
        <v>4030100</v>
      </c>
      <c r="B680" s="1">
        <v>45170</v>
      </c>
      <c r="C680" t="s">
        <v>200</v>
      </c>
      <c r="D680">
        <v>446.97</v>
      </c>
      <c r="E680">
        <v>2736.73</v>
      </c>
      <c r="F680" s="20">
        <f t="shared" si="80"/>
        <v>6.1228494082376894</v>
      </c>
      <c r="G680" t="str">
        <f t="shared" si="78"/>
        <v>setembro</v>
      </c>
      <c r="H680">
        <f t="shared" si="79"/>
        <v>2023</v>
      </c>
    </row>
    <row r="681" spans="1:8" hidden="1" x14ac:dyDescent="0.25">
      <c r="A681">
        <v>4030211</v>
      </c>
      <c r="B681" s="1">
        <v>45170</v>
      </c>
      <c r="C681" t="s">
        <v>202</v>
      </c>
      <c r="D681">
        <v>658.66</v>
      </c>
      <c r="E681">
        <v>3836.01</v>
      </c>
      <c r="F681" s="20">
        <f t="shared" si="80"/>
        <v>5.8239607688336932</v>
      </c>
      <c r="G681" t="str">
        <f t="shared" si="78"/>
        <v>setembro</v>
      </c>
      <c r="H681">
        <f t="shared" si="79"/>
        <v>2023</v>
      </c>
    </row>
    <row r="682" spans="1:8" hidden="1" x14ac:dyDescent="0.25">
      <c r="A682">
        <v>4030311</v>
      </c>
      <c r="B682" s="1">
        <v>45170</v>
      </c>
      <c r="C682" t="s">
        <v>311</v>
      </c>
      <c r="D682">
        <v>262.89</v>
      </c>
      <c r="E682">
        <v>1760.45</v>
      </c>
      <c r="F682" s="20">
        <f t="shared" si="80"/>
        <v>6.6965270645517139</v>
      </c>
      <c r="G682" t="str">
        <f t="shared" si="78"/>
        <v>setembro</v>
      </c>
      <c r="H682">
        <f t="shared" si="79"/>
        <v>2023</v>
      </c>
    </row>
    <row r="683" spans="1:8" hidden="1" x14ac:dyDescent="0.25">
      <c r="A683">
        <v>4030401</v>
      </c>
      <c r="B683" s="1">
        <v>45170</v>
      </c>
      <c r="C683" t="s">
        <v>461</v>
      </c>
      <c r="D683">
        <v>345.7</v>
      </c>
      <c r="E683">
        <v>1777.3</v>
      </c>
      <c r="F683" s="20">
        <f t="shared" si="80"/>
        <v>5.1411628579693378</v>
      </c>
      <c r="G683" t="str">
        <f t="shared" si="78"/>
        <v>setembro</v>
      </c>
      <c r="H683">
        <f t="shared" si="79"/>
        <v>2023</v>
      </c>
    </row>
    <row r="684" spans="1:8" hidden="1" x14ac:dyDescent="0.25">
      <c r="A684">
        <v>4030511</v>
      </c>
      <c r="B684" s="1">
        <v>45170</v>
      </c>
      <c r="C684" t="s">
        <v>208</v>
      </c>
      <c r="D684">
        <v>14.9</v>
      </c>
      <c r="E684">
        <v>91.64</v>
      </c>
      <c r="F684" s="20">
        <f t="shared" si="80"/>
        <v>6.1503355704697986</v>
      </c>
      <c r="G684" t="str">
        <f t="shared" si="78"/>
        <v>setembro</v>
      </c>
      <c r="H684">
        <f t="shared" si="79"/>
        <v>2023</v>
      </c>
    </row>
    <row r="685" spans="1:8" hidden="1" x14ac:dyDescent="0.25">
      <c r="A685">
        <v>4030532</v>
      </c>
      <c r="B685" s="1">
        <v>45170</v>
      </c>
      <c r="C685" t="s">
        <v>210</v>
      </c>
      <c r="D685">
        <v>200</v>
      </c>
      <c r="E685">
        <v>1060</v>
      </c>
      <c r="F685" s="20">
        <f t="shared" si="80"/>
        <v>5.3</v>
      </c>
      <c r="G685" t="str">
        <f t="shared" si="78"/>
        <v>setembro</v>
      </c>
      <c r="H685">
        <f t="shared" si="79"/>
        <v>2023</v>
      </c>
    </row>
    <row r="686" spans="1:8" hidden="1" x14ac:dyDescent="0.25">
      <c r="A686">
        <v>4030600</v>
      </c>
      <c r="B686" s="1">
        <v>45170</v>
      </c>
      <c r="C686" t="s">
        <v>212</v>
      </c>
      <c r="D686">
        <v>840.34</v>
      </c>
      <c r="E686">
        <v>2648.37</v>
      </c>
      <c r="F686" s="20">
        <f t="shared" si="80"/>
        <v>3.1515458028893066</v>
      </c>
      <c r="G686" t="str">
        <f t="shared" si="78"/>
        <v>setembro</v>
      </c>
      <c r="H686">
        <f t="shared" si="79"/>
        <v>2023</v>
      </c>
    </row>
    <row r="687" spans="1:8" hidden="1" x14ac:dyDescent="0.25">
      <c r="A687">
        <v>4030711</v>
      </c>
      <c r="B687" s="1">
        <v>45170</v>
      </c>
      <c r="C687" t="s">
        <v>214</v>
      </c>
      <c r="D687">
        <v>1565.91</v>
      </c>
      <c r="E687">
        <v>5226.05</v>
      </c>
      <c r="F687" s="20">
        <f t="shared" si="80"/>
        <v>3.3373884833738847</v>
      </c>
      <c r="G687" t="str">
        <f t="shared" si="78"/>
        <v>setembro</v>
      </c>
      <c r="H687">
        <f t="shared" si="79"/>
        <v>2023</v>
      </c>
    </row>
    <row r="688" spans="1:8" hidden="1" x14ac:dyDescent="0.25">
      <c r="A688">
        <v>4030811</v>
      </c>
      <c r="B688" s="1">
        <v>45170</v>
      </c>
      <c r="C688" t="s">
        <v>216</v>
      </c>
      <c r="D688">
        <v>1891.56</v>
      </c>
      <c r="E688">
        <v>5948.28</v>
      </c>
      <c r="F688" s="20">
        <f t="shared" si="80"/>
        <v>3.1446425172873185</v>
      </c>
      <c r="G688" t="str">
        <f t="shared" si="78"/>
        <v>setembro</v>
      </c>
      <c r="H688">
        <f t="shared" si="79"/>
        <v>2023</v>
      </c>
    </row>
    <row r="689" spans="1:8" hidden="1" x14ac:dyDescent="0.25">
      <c r="A689">
        <v>4030813</v>
      </c>
      <c r="B689" s="1">
        <v>45170</v>
      </c>
      <c r="C689" t="s">
        <v>218</v>
      </c>
      <c r="D689">
        <v>3604.25</v>
      </c>
      <c r="E689">
        <v>10798.12</v>
      </c>
      <c r="F689" s="20">
        <f t="shared" si="80"/>
        <v>2.9959409031005064</v>
      </c>
      <c r="G689" t="str">
        <f t="shared" si="78"/>
        <v>setembro</v>
      </c>
      <c r="H689">
        <f t="shared" si="79"/>
        <v>2023</v>
      </c>
    </row>
    <row r="690" spans="1:8" hidden="1" x14ac:dyDescent="0.25">
      <c r="A690">
        <v>4030900</v>
      </c>
      <c r="B690" s="1">
        <v>45170</v>
      </c>
      <c r="C690" t="s">
        <v>220</v>
      </c>
      <c r="D690">
        <v>5794.33</v>
      </c>
      <c r="E690">
        <v>17446.560000000001</v>
      </c>
      <c r="F690" s="20">
        <f t="shared" si="80"/>
        <v>3.0109710699942878</v>
      </c>
      <c r="G690" t="str">
        <f t="shared" si="78"/>
        <v>setembro</v>
      </c>
      <c r="H690">
        <f t="shared" si="79"/>
        <v>2023</v>
      </c>
    </row>
    <row r="691" spans="1:8" hidden="1" x14ac:dyDescent="0.25">
      <c r="A691">
        <v>4030910</v>
      </c>
      <c r="B691" s="1">
        <v>45170</v>
      </c>
      <c r="C691" t="s">
        <v>222</v>
      </c>
      <c r="D691">
        <v>163.72999999999999</v>
      </c>
      <c r="E691">
        <v>521.14</v>
      </c>
      <c r="F691" s="20">
        <f t="shared" si="80"/>
        <v>3.1829231051120748</v>
      </c>
      <c r="G691" t="str">
        <f t="shared" si="78"/>
        <v>setembro</v>
      </c>
      <c r="H691">
        <f t="shared" si="79"/>
        <v>2023</v>
      </c>
    </row>
    <row r="692" spans="1:8" hidden="1" x14ac:dyDescent="0.25">
      <c r="A692">
        <v>4031012</v>
      </c>
      <c r="B692" s="1">
        <v>45170</v>
      </c>
      <c r="C692" t="s">
        <v>224</v>
      </c>
      <c r="D692">
        <v>900.88</v>
      </c>
      <c r="E692">
        <v>2812.94</v>
      </c>
      <c r="F692" s="20">
        <f t="shared" si="80"/>
        <v>3.1224358405114998</v>
      </c>
      <c r="G692" t="str">
        <f t="shared" si="78"/>
        <v>setembro</v>
      </c>
      <c r="H692">
        <f t="shared" si="79"/>
        <v>2023</v>
      </c>
    </row>
    <row r="693" spans="1:8" hidden="1" x14ac:dyDescent="0.25">
      <c r="A693">
        <v>4031017</v>
      </c>
      <c r="B693" s="1">
        <v>45170</v>
      </c>
      <c r="C693" t="s">
        <v>226</v>
      </c>
      <c r="D693">
        <v>2238</v>
      </c>
      <c r="E693">
        <v>1487.58</v>
      </c>
      <c r="F693" s="20">
        <f t="shared" si="80"/>
        <v>0.66469168900804287</v>
      </c>
      <c r="G693" t="str">
        <f t="shared" si="78"/>
        <v>setembro</v>
      </c>
      <c r="H693">
        <f t="shared" si="79"/>
        <v>2023</v>
      </c>
    </row>
    <row r="694" spans="1:8" hidden="1" x14ac:dyDescent="0.25">
      <c r="A694">
        <v>4031102</v>
      </c>
      <c r="B694" s="1">
        <v>45170</v>
      </c>
      <c r="C694" t="s">
        <v>228</v>
      </c>
      <c r="D694">
        <v>8986.73</v>
      </c>
      <c r="E694">
        <v>26353.82</v>
      </c>
      <c r="F694" s="20">
        <f t="shared" si="80"/>
        <v>2.9325260689928374</v>
      </c>
      <c r="G694" t="str">
        <f t="shared" si="78"/>
        <v>setembro</v>
      </c>
      <c r="H694">
        <f t="shared" si="79"/>
        <v>2023</v>
      </c>
    </row>
    <row r="695" spans="1:8" hidden="1" x14ac:dyDescent="0.25">
      <c r="A695">
        <v>4031200</v>
      </c>
      <c r="B695" s="1">
        <v>45170</v>
      </c>
      <c r="C695" t="s">
        <v>230</v>
      </c>
      <c r="D695">
        <v>1180.82</v>
      </c>
      <c r="E695">
        <v>3533.42</v>
      </c>
      <c r="F695" s="20">
        <f t="shared" si="80"/>
        <v>2.9923443031113974</v>
      </c>
      <c r="G695" t="str">
        <f t="shared" si="78"/>
        <v>setembro</v>
      </c>
      <c r="H695">
        <f t="shared" si="79"/>
        <v>2023</v>
      </c>
    </row>
    <row r="696" spans="1:8" hidden="1" x14ac:dyDescent="0.25">
      <c r="A696">
        <v>4031304</v>
      </c>
      <c r="B696" s="1">
        <v>45170</v>
      </c>
      <c r="C696" t="s">
        <v>232</v>
      </c>
      <c r="D696">
        <v>989.29</v>
      </c>
      <c r="E696">
        <v>2886.42</v>
      </c>
      <c r="F696" s="20">
        <f t="shared" si="80"/>
        <v>2.9176682267080434</v>
      </c>
      <c r="G696" t="str">
        <f t="shared" si="78"/>
        <v>setembro</v>
      </c>
      <c r="H696">
        <f t="shared" si="79"/>
        <v>2023</v>
      </c>
    </row>
    <row r="697" spans="1:8" hidden="1" x14ac:dyDescent="0.25">
      <c r="A697">
        <v>4031411</v>
      </c>
      <c r="B697" s="1">
        <v>45170</v>
      </c>
      <c r="C697" t="s">
        <v>234</v>
      </c>
      <c r="D697">
        <v>36.93</v>
      </c>
      <c r="E697">
        <v>109.16</v>
      </c>
      <c r="F697" s="20">
        <f t="shared" si="80"/>
        <v>2.9558624424587054</v>
      </c>
      <c r="G697" t="str">
        <f t="shared" si="78"/>
        <v>setembro</v>
      </c>
      <c r="H697">
        <f t="shared" si="79"/>
        <v>2023</v>
      </c>
    </row>
    <row r="698" spans="1:8" hidden="1" x14ac:dyDescent="0.25">
      <c r="A698">
        <v>4031500</v>
      </c>
      <c r="B698" s="1">
        <v>45170</v>
      </c>
      <c r="C698" t="s">
        <v>236</v>
      </c>
      <c r="D698">
        <v>5990.75</v>
      </c>
      <c r="E698">
        <v>16831.68</v>
      </c>
      <c r="F698" s="20">
        <f t="shared" si="80"/>
        <v>2.8096114843717399</v>
      </c>
      <c r="G698" t="str">
        <f t="shared" si="78"/>
        <v>setembro</v>
      </c>
      <c r="H698">
        <f t="shared" si="79"/>
        <v>2023</v>
      </c>
    </row>
    <row r="699" spans="1:8" hidden="1" x14ac:dyDescent="0.25">
      <c r="A699">
        <v>4031604</v>
      </c>
      <c r="B699" s="1">
        <v>45170</v>
      </c>
      <c r="C699" t="s">
        <v>238</v>
      </c>
      <c r="D699">
        <v>5326.83</v>
      </c>
      <c r="E699">
        <v>14616.09</v>
      </c>
      <c r="F699" s="20">
        <f t="shared" si="80"/>
        <v>2.7438626725463364</v>
      </c>
      <c r="G699" t="str">
        <f t="shared" si="78"/>
        <v>setembro</v>
      </c>
      <c r="H699">
        <f t="shared" si="79"/>
        <v>2023</v>
      </c>
    </row>
    <row r="700" spans="1:8" hidden="1" x14ac:dyDescent="0.25">
      <c r="A700">
        <v>4031605</v>
      </c>
      <c r="B700" s="1">
        <v>45170</v>
      </c>
      <c r="C700" t="s">
        <v>240</v>
      </c>
      <c r="D700">
        <v>73.930000000000007</v>
      </c>
      <c r="E700">
        <v>238.92</v>
      </c>
      <c r="F700" s="20">
        <f t="shared" si="80"/>
        <v>3.2317056675233324</v>
      </c>
      <c r="G700" t="str">
        <f t="shared" si="78"/>
        <v>setembro</v>
      </c>
      <c r="H700">
        <f t="shared" si="79"/>
        <v>2023</v>
      </c>
    </row>
    <row r="701" spans="1:8" hidden="1" x14ac:dyDescent="0.25">
      <c r="A701">
        <v>4031700</v>
      </c>
      <c r="B701" s="1">
        <v>45170</v>
      </c>
      <c r="C701" t="s">
        <v>242</v>
      </c>
      <c r="D701">
        <v>819.1</v>
      </c>
      <c r="E701">
        <v>2409.92</v>
      </c>
      <c r="F701" s="20">
        <f t="shared" si="80"/>
        <v>2.9421560249053837</v>
      </c>
      <c r="G701" t="str">
        <f t="shared" si="78"/>
        <v>setembro</v>
      </c>
      <c r="H701">
        <f t="shared" si="79"/>
        <v>2023</v>
      </c>
    </row>
    <row r="702" spans="1:8" hidden="1" x14ac:dyDescent="0.25">
      <c r="A702">
        <v>4031812</v>
      </c>
      <c r="B702" s="1">
        <v>45170</v>
      </c>
      <c r="C702" t="s">
        <v>244</v>
      </c>
      <c r="D702">
        <v>425.96</v>
      </c>
      <c r="E702">
        <v>1295.9100000000001</v>
      </c>
      <c r="F702" s="20">
        <f t="shared" si="80"/>
        <v>3.0423279181143772</v>
      </c>
      <c r="G702" t="str">
        <f t="shared" si="78"/>
        <v>setembro</v>
      </c>
      <c r="H702">
        <f t="shared" si="79"/>
        <v>2023</v>
      </c>
    </row>
    <row r="703" spans="1:8" hidden="1" x14ac:dyDescent="0.25">
      <c r="A703">
        <v>4031813</v>
      </c>
      <c r="B703" s="1">
        <v>45170</v>
      </c>
      <c r="C703" t="s">
        <v>464</v>
      </c>
      <c r="D703">
        <v>700</v>
      </c>
      <c r="E703">
        <v>469</v>
      </c>
      <c r="F703" s="20">
        <f t="shared" si="80"/>
        <v>0.67</v>
      </c>
      <c r="G703" t="str">
        <f t="shared" si="78"/>
        <v>setembro</v>
      </c>
      <c r="H703">
        <f t="shared" si="79"/>
        <v>2023</v>
      </c>
    </row>
    <row r="704" spans="1:8" hidden="1" x14ac:dyDescent="0.25">
      <c r="A704">
        <v>4031904</v>
      </c>
      <c r="B704" s="1">
        <v>45170</v>
      </c>
      <c r="C704" t="s">
        <v>246</v>
      </c>
      <c r="D704">
        <v>906.46</v>
      </c>
      <c r="E704">
        <v>2655.62</v>
      </c>
      <c r="F704" s="20">
        <f t="shared" si="80"/>
        <v>2.9296604373055621</v>
      </c>
      <c r="G704" t="str">
        <f t="shared" si="78"/>
        <v>setembro</v>
      </c>
      <c r="H704">
        <f t="shared" si="79"/>
        <v>2023</v>
      </c>
    </row>
    <row r="705" spans="1:8" hidden="1" x14ac:dyDescent="0.25">
      <c r="A705">
        <v>4032111</v>
      </c>
      <c r="B705" s="1">
        <v>45170</v>
      </c>
      <c r="C705" t="s">
        <v>314</v>
      </c>
      <c r="D705">
        <v>5.81</v>
      </c>
      <c r="E705">
        <v>29.34</v>
      </c>
      <c r="F705" s="20">
        <f t="shared" si="80"/>
        <v>5.0499139414802068</v>
      </c>
      <c r="G705" t="str">
        <f t="shared" si="78"/>
        <v>setembro</v>
      </c>
      <c r="H705">
        <f t="shared" si="79"/>
        <v>2023</v>
      </c>
    </row>
    <row r="706" spans="1:8" hidden="1" x14ac:dyDescent="0.25">
      <c r="A706">
        <v>4032205</v>
      </c>
      <c r="B706" s="1">
        <v>45170</v>
      </c>
      <c r="C706" t="s">
        <v>553</v>
      </c>
      <c r="D706">
        <v>165.2</v>
      </c>
      <c r="E706">
        <v>839.95</v>
      </c>
      <c r="F706" s="20">
        <f t="shared" si="80"/>
        <v>5.0844430992736083</v>
      </c>
      <c r="G706" t="str">
        <f t="shared" si="78"/>
        <v>setembro</v>
      </c>
      <c r="H706">
        <f t="shared" si="79"/>
        <v>2023</v>
      </c>
    </row>
    <row r="707" spans="1:8" hidden="1" x14ac:dyDescent="0.25">
      <c r="A707">
        <v>4032206</v>
      </c>
      <c r="B707" s="1">
        <v>45170</v>
      </c>
      <c r="C707" t="s">
        <v>555</v>
      </c>
      <c r="D707">
        <v>57.14</v>
      </c>
      <c r="E707">
        <v>299.63</v>
      </c>
      <c r="F707" s="20">
        <f t="shared" si="80"/>
        <v>5.2437871893594679</v>
      </c>
      <c r="G707" t="str">
        <f t="shared" si="78"/>
        <v>setembro</v>
      </c>
      <c r="H707">
        <f t="shared" si="79"/>
        <v>2023</v>
      </c>
    </row>
    <row r="708" spans="1:8" hidden="1" x14ac:dyDescent="0.25">
      <c r="A708">
        <v>4032312</v>
      </c>
      <c r="B708" s="1">
        <v>45170</v>
      </c>
      <c r="C708" t="s">
        <v>252</v>
      </c>
      <c r="D708">
        <v>490.7</v>
      </c>
      <c r="E708">
        <v>2070.4499999999998</v>
      </c>
      <c r="F708" s="20">
        <f t="shared" si="80"/>
        <v>4.2193804768697776</v>
      </c>
      <c r="G708" t="str">
        <f t="shared" si="78"/>
        <v>setembro</v>
      </c>
      <c r="H708">
        <f t="shared" si="79"/>
        <v>2023</v>
      </c>
    </row>
    <row r="709" spans="1:8" hidden="1" x14ac:dyDescent="0.25">
      <c r="A709">
        <v>4032404</v>
      </c>
      <c r="B709" s="1">
        <v>45170</v>
      </c>
      <c r="C709" t="s">
        <v>254</v>
      </c>
      <c r="D709">
        <v>108.21</v>
      </c>
      <c r="E709">
        <v>482.34</v>
      </c>
      <c r="F709" s="20">
        <f t="shared" si="80"/>
        <v>4.4574438591627388</v>
      </c>
      <c r="G709" t="str">
        <f t="shared" ref="G709:G725" si="81">TEXT(B709,"mmmm")</f>
        <v>setembro</v>
      </c>
      <c r="H709">
        <f t="shared" ref="H709:H725" si="82">YEAR(B709)</f>
        <v>2023</v>
      </c>
    </row>
    <row r="710" spans="1:8" hidden="1" x14ac:dyDescent="0.25">
      <c r="A710">
        <v>4032500</v>
      </c>
      <c r="B710" s="1">
        <v>45170</v>
      </c>
      <c r="C710" t="s">
        <v>256</v>
      </c>
      <c r="D710">
        <v>321.2</v>
      </c>
      <c r="E710">
        <v>874.29</v>
      </c>
      <c r="F710" s="20">
        <f t="shared" si="80"/>
        <v>2.7219489414694893</v>
      </c>
      <c r="G710" t="str">
        <f t="shared" si="81"/>
        <v>setembro</v>
      </c>
      <c r="H710">
        <f t="shared" si="82"/>
        <v>2023</v>
      </c>
    </row>
    <row r="711" spans="1:8" hidden="1" x14ac:dyDescent="0.25">
      <c r="A711">
        <v>4032611</v>
      </c>
      <c r="B711" s="1">
        <v>45170</v>
      </c>
      <c r="C711" t="s">
        <v>258</v>
      </c>
      <c r="D711">
        <v>35.31</v>
      </c>
      <c r="E711">
        <v>110.59</v>
      </c>
      <c r="F711" s="20">
        <f t="shared" si="80"/>
        <v>3.131973945058057</v>
      </c>
      <c r="G711" t="str">
        <f t="shared" si="81"/>
        <v>setembro</v>
      </c>
      <c r="H711">
        <f t="shared" si="82"/>
        <v>2023</v>
      </c>
    </row>
    <row r="712" spans="1:8" hidden="1" x14ac:dyDescent="0.25">
      <c r="A712">
        <v>4032704</v>
      </c>
      <c r="B712" s="1">
        <v>45170</v>
      </c>
      <c r="C712" t="s">
        <v>260</v>
      </c>
      <c r="D712">
        <v>1427.3</v>
      </c>
      <c r="E712">
        <v>4109.92</v>
      </c>
      <c r="F712" s="20">
        <f t="shared" si="80"/>
        <v>2.8795067610173057</v>
      </c>
      <c r="G712" t="str">
        <f t="shared" si="81"/>
        <v>setembro</v>
      </c>
      <c r="H712">
        <f t="shared" si="82"/>
        <v>2023</v>
      </c>
    </row>
    <row r="713" spans="1:8" hidden="1" x14ac:dyDescent="0.25">
      <c r="A713">
        <v>4032800</v>
      </c>
      <c r="B713" s="1">
        <v>45170</v>
      </c>
      <c r="C713" t="s">
        <v>262</v>
      </c>
      <c r="D713">
        <v>144.4</v>
      </c>
      <c r="E713">
        <v>802.89</v>
      </c>
      <c r="F713" s="20">
        <f t="shared" si="80"/>
        <v>5.5601800554016618</v>
      </c>
      <c r="G713" t="str">
        <f t="shared" si="81"/>
        <v>setembro</v>
      </c>
      <c r="H713">
        <f t="shared" si="82"/>
        <v>2023</v>
      </c>
    </row>
    <row r="714" spans="1:8" hidden="1" x14ac:dyDescent="0.25">
      <c r="A714">
        <v>4032902</v>
      </c>
      <c r="B714" s="1">
        <v>45170</v>
      </c>
      <c r="C714" t="s">
        <v>264</v>
      </c>
      <c r="D714">
        <v>374.66</v>
      </c>
      <c r="E714">
        <v>1996.21</v>
      </c>
      <c r="F714" s="20">
        <f t="shared" si="80"/>
        <v>5.3280574387444615</v>
      </c>
      <c r="G714" t="str">
        <f t="shared" si="81"/>
        <v>setembro</v>
      </c>
      <c r="H714">
        <f t="shared" si="82"/>
        <v>2023</v>
      </c>
    </row>
    <row r="715" spans="1:8" hidden="1" x14ac:dyDescent="0.25">
      <c r="A715">
        <v>4033011</v>
      </c>
      <c r="B715" s="1">
        <v>45170</v>
      </c>
      <c r="C715" t="s">
        <v>266</v>
      </c>
      <c r="D715">
        <v>85.46</v>
      </c>
      <c r="E715">
        <v>440.15</v>
      </c>
      <c r="F715" s="20">
        <f t="shared" ref="F715:F725" si="83">E715/D715</f>
        <v>5.1503627428036509</v>
      </c>
      <c r="G715" t="str">
        <f t="shared" si="81"/>
        <v>setembro</v>
      </c>
      <c r="H715">
        <f t="shared" si="82"/>
        <v>2023</v>
      </c>
    </row>
    <row r="716" spans="1:8" hidden="1" x14ac:dyDescent="0.25">
      <c r="A716">
        <v>4033111</v>
      </c>
      <c r="B716" s="1">
        <v>45170</v>
      </c>
      <c r="C716" t="s">
        <v>268</v>
      </c>
      <c r="D716">
        <v>372</v>
      </c>
      <c r="E716">
        <v>1590.74</v>
      </c>
      <c r="F716" s="20">
        <f t="shared" si="83"/>
        <v>4.2761827956989249</v>
      </c>
      <c r="G716" t="str">
        <f t="shared" si="81"/>
        <v>setembro</v>
      </c>
      <c r="H716">
        <f t="shared" si="82"/>
        <v>2023</v>
      </c>
    </row>
    <row r="717" spans="1:8" hidden="1" x14ac:dyDescent="0.25">
      <c r="A717">
        <v>4033211</v>
      </c>
      <c r="B717" s="1">
        <v>45170</v>
      </c>
      <c r="C717" t="s">
        <v>270</v>
      </c>
      <c r="D717">
        <v>48.53</v>
      </c>
      <c r="E717">
        <v>221.36</v>
      </c>
      <c r="F717" s="20">
        <f t="shared" si="83"/>
        <v>4.5613022872450033</v>
      </c>
      <c r="G717" t="str">
        <f t="shared" si="81"/>
        <v>setembro</v>
      </c>
      <c r="H717">
        <f t="shared" si="82"/>
        <v>2023</v>
      </c>
    </row>
    <row r="718" spans="1:8" hidden="1" x14ac:dyDescent="0.25">
      <c r="A718">
        <v>4033311</v>
      </c>
      <c r="B718" s="1">
        <v>45170</v>
      </c>
      <c r="C718" t="s">
        <v>272</v>
      </c>
      <c r="D718">
        <v>13.79</v>
      </c>
      <c r="E718">
        <v>85.81</v>
      </c>
      <c r="F718" s="20">
        <f t="shared" si="83"/>
        <v>6.2226250906453959</v>
      </c>
      <c r="G718" t="str">
        <f t="shared" si="81"/>
        <v>setembro</v>
      </c>
      <c r="H718">
        <f t="shared" si="82"/>
        <v>2023</v>
      </c>
    </row>
    <row r="719" spans="1:8" hidden="1" x14ac:dyDescent="0.25">
      <c r="A719">
        <v>4033400</v>
      </c>
      <c r="B719" s="1">
        <v>45170</v>
      </c>
      <c r="C719" t="s">
        <v>274</v>
      </c>
      <c r="D719">
        <v>1062.0999999999999</v>
      </c>
      <c r="E719">
        <v>3116.28</v>
      </c>
      <c r="F719" s="20">
        <f t="shared" si="83"/>
        <v>2.9340740043310429</v>
      </c>
      <c r="G719" t="str">
        <f t="shared" si="81"/>
        <v>setembro</v>
      </c>
      <c r="H719">
        <f t="shared" si="82"/>
        <v>2023</v>
      </c>
    </row>
    <row r="720" spans="1:8" hidden="1" x14ac:dyDescent="0.25">
      <c r="A720">
        <v>4033511</v>
      </c>
      <c r="B720" s="1">
        <v>45170</v>
      </c>
      <c r="C720" t="s">
        <v>276</v>
      </c>
      <c r="D720">
        <v>1693.93</v>
      </c>
      <c r="E720">
        <v>5466.32</v>
      </c>
      <c r="F720" s="20">
        <f t="shared" si="83"/>
        <v>3.2270046578075831</v>
      </c>
      <c r="G720" t="str">
        <f t="shared" si="81"/>
        <v>setembro</v>
      </c>
      <c r="H720">
        <f t="shared" si="82"/>
        <v>2023</v>
      </c>
    </row>
    <row r="721" spans="1:8" hidden="1" x14ac:dyDescent="0.25">
      <c r="A721">
        <v>4033900</v>
      </c>
      <c r="B721" s="1">
        <v>45170</v>
      </c>
      <c r="C721" t="s">
        <v>278</v>
      </c>
      <c r="D721">
        <v>20.7</v>
      </c>
      <c r="E721">
        <v>107.89</v>
      </c>
      <c r="F721" s="20">
        <f t="shared" si="83"/>
        <v>5.2120772946859901</v>
      </c>
      <c r="G721" t="str">
        <f t="shared" si="81"/>
        <v>setembro</v>
      </c>
      <c r="H721">
        <f t="shared" si="82"/>
        <v>2023</v>
      </c>
    </row>
    <row r="722" spans="1:8" hidden="1" x14ac:dyDescent="0.25">
      <c r="A722">
        <v>4034011</v>
      </c>
      <c r="B722" s="1">
        <v>45170</v>
      </c>
      <c r="C722" t="s">
        <v>280</v>
      </c>
      <c r="D722">
        <v>685.76</v>
      </c>
      <c r="E722">
        <v>3574.56</v>
      </c>
      <c r="F722" s="20">
        <f t="shared" si="83"/>
        <v>5.2125524965002334</v>
      </c>
      <c r="G722" t="str">
        <f t="shared" si="81"/>
        <v>setembro</v>
      </c>
      <c r="H722">
        <f t="shared" si="82"/>
        <v>2023</v>
      </c>
    </row>
    <row r="723" spans="1:8" hidden="1" x14ac:dyDescent="0.25">
      <c r="A723">
        <v>4034211</v>
      </c>
      <c r="B723" s="1">
        <v>45170</v>
      </c>
      <c r="C723" t="s">
        <v>282</v>
      </c>
      <c r="D723">
        <v>197.09</v>
      </c>
      <c r="E723">
        <v>851.08</v>
      </c>
      <c r="F723" s="20">
        <f t="shared" si="83"/>
        <v>4.3182302501395302</v>
      </c>
      <c r="G723" t="str">
        <f t="shared" si="81"/>
        <v>setembro</v>
      </c>
      <c r="H723">
        <f t="shared" si="82"/>
        <v>2023</v>
      </c>
    </row>
    <row r="724" spans="1:8" hidden="1" x14ac:dyDescent="0.25">
      <c r="A724">
        <v>4034400</v>
      </c>
      <c r="B724" s="1">
        <v>45170</v>
      </c>
      <c r="C724" t="s">
        <v>284</v>
      </c>
      <c r="D724">
        <v>166.77</v>
      </c>
      <c r="E724">
        <v>440.99</v>
      </c>
      <c r="F724" s="20">
        <f t="shared" si="83"/>
        <v>2.6443005336691252</v>
      </c>
      <c r="G724" t="str">
        <f t="shared" si="81"/>
        <v>setembro</v>
      </c>
      <c r="H724">
        <f t="shared" si="82"/>
        <v>2023</v>
      </c>
    </row>
    <row r="725" spans="1:8" hidden="1" x14ac:dyDescent="0.25">
      <c r="A725">
        <v>4034502</v>
      </c>
      <c r="B725" s="1">
        <v>45170</v>
      </c>
      <c r="C725" t="s">
        <v>286</v>
      </c>
      <c r="D725">
        <v>74.94</v>
      </c>
      <c r="E725">
        <v>212.94</v>
      </c>
      <c r="F725" s="20">
        <f t="shared" si="83"/>
        <v>2.8414731785428344</v>
      </c>
      <c r="G725" t="str">
        <f t="shared" si="81"/>
        <v>setembro</v>
      </c>
      <c r="H725">
        <f t="shared" si="82"/>
        <v>2023</v>
      </c>
    </row>
    <row r="726" spans="1:8" hidden="1" x14ac:dyDescent="0.25">
      <c r="A726">
        <v>3020103</v>
      </c>
      <c r="B726" s="1">
        <v>45200</v>
      </c>
      <c r="C726" t="s">
        <v>131</v>
      </c>
      <c r="D726">
        <v>6762.73</v>
      </c>
      <c r="E726">
        <v>22019.59</v>
      </c>
      <c r="F726" s="20">
        <f t="shared" ref="F726:F741" si="84">E726/D726</f>
        <v>3.2560208673124613</v>
      </c>
      <c r="G726" t="str">
        <f t="shared" ref="G726:G735" si="85">TEXT(B726,"mmmm")</f>
        <v>outubro</v>
      </c>
      <c r="H726">
        <f t="shared" ref="H726:H735" si="86">YEAR(B726)</f>
        <v>2023</v>
      </c>
    </row>
    <row r="727" spans="1:8" hidden="1" x14ac:dyDescent="0.25">
      <c r="A727">
        <v>3020212</v>
      </c>
      <c r="B727" s="1">
        <v>45200</v>
      </c>
      <c r="C727" t="s">
        <v>133</v>
      </c>
      <c r="D727">
        <v>1652.26</v>
      </c>
      <c r="E727">
        <v>6074.24</v>
      </c>
      <c r="F727" s="20">
        <f t="shared" si="84"/>
        <v>3.6763221284785685</v>
      </c>
      <c r="G727" t="str">
        <f t="shared" si="85"/>
        <v>outubro</v>
      </c>
      <c r="H727">
        <f t="shared" si="86"/>
        <v>2023</v>
      </c>
    </row>
    <row r="728" spans="1:8" hidden="1" x14ac:dyDescent="0.25">
      <c r="A728">
        <v>3020214</v>
      </c>
      <c r="B728" s="1">
        <v>45200</v>
      </c>
      <c r="C728" t="s">
        <v>135</v>
      </c>
      <c r="D728">
        <v>586.12</v>
      </c>
      <c r="E728">
        <v>2078.39</v>
      </c>
      <c r="F728" s="20">
        <f t="shared" si="84"/>
        <v>3.5460144680270251</v>
      </c>
      <c r="G728" t="str">
        <f t="shared" si="85"/>
        <v>outubro</v>
      </c>
      <c r="H728">
        <f t="shared" si="86"/>
        <v>2023</v>
      </c>
    </row>
    <row r="729" spans="1:8" hidden="1" x14ac:dyDescent="0.25">
      <c r="A729">
        <v>3020315</v>
      </c>
      <c r="B729" s="1">
        <v>45200</v>
      </c>
      <c r="C729" t="s">
        <v>137</v>
      </c>
      <c r="D729">
        <v>2475.66</v>
      </c>
      <c r="E729">
        <v>8836.02</v>
      </c>
      <c r="F729" s="20">
        <f t="shared" si="84"/>
        <v>3.5691573156249246</v>
      </c>
      <c r="G729" t="str">
        <f t="shared" si="85"/>
        <v>outubro</v>
      </c>
      <c r="H729">
        <f t="shared" si="86"/>
        <v>2023</v>
      </c>
    </row>
    <row r="730" spans="1:8" hidden="1" x14ac:dyDescent="0.25">
      <c r="A730">
        <v>3020316</v>
      </c>
      <c r="B730" s="1">
        <v>45200</v>
      </c>
      <c r="C730" t="s">
        <v>139</v>
      </c>
      <c r="D730">
        <v>241.3</v>
      </c>
      <c r="E730">
        <v>767.36</v>
      </c>
      <c r="F730" s="20">
        <f t="shared" si="84"/>
        <v>3.1801077496891836</v>
      </c>
      <c r="G730" t="str">
        <f t="shared" si="85"/>
        <v>outubro</v>
      </c>
      <c r="H730">
        <f t="shared" si="86"/>
        <v>2023</v>
      </c>
    </row>
    <row r="731" spans="1:8" hidden="1" x14ac:dyDescent="0.25">
      <c r="A731">
        <v>3020402</v>
      </c>
      <c r="B731" s="1">
        <v>45200</v>
      </c>
      <c r="C731" t="s">
        <v>141</v>
      </c>
      <c r="D731">
        <v>2915.05</v>
      </c>
      <c r="E731">
        <v>10564.39</v>
      </c>
      <c r="F731" s="20">
        <f t="shared" si="84"/>
        <v>3.6240853501655197</v>
      </c>
      <c r="G731" t="str">
        <f t="shared" si="85"/>
        <v>outubro</v>
      </c>
      <c r="H731">
        <f t="shared" si="86"/>
        <v>2023</v>
      </c>
    </row>
    <row r="732" spans="1:8" hidden="1" x14ac:dyDescent="0.25">
      <c r="A732">
        <v>3020504</v>
      </c>
      <c r="B732" s="1">
        <v>45200</v>
      </c>
      <c r="C732" t="s">
        <v>143</v>
      </c>
      <c r="D732">
        <v>448.86</v>
      </c>
      <c r="E732">
        <v>1692.61</v>
      </c>
      <c r="F732" s="20">
        <f t="shared" si="84"/>
        <v>3.7709085238158888</v>
      </c>
      <c r="G732" t="str">
        <f t="shared" si="85"/>
        <v>outubro</v>
      </c>
      <c r="H732">
        <f t="shared" si="86"/>
        <v>2023</v>
      </c>
    </row>
    <row r="733" spans="1:8" hidden="1" x14ac:dyDescent="0.25">
      <c r="A733">
        <v>3020622</v>
      </c>
      <c r="B733" s="1">
        <v>45200</v>
      </c>
      <c r="C733" t="s">
        <v>145</v>
      </c>
      <c r="D733">
        <v>9176.77</v>
      </c>
      <c r="E733">
        <v>32609.85</v>
      </c>
      <c r="F733" s="20">
        <f t="shared" si="84"/>
        <v>3.5535215549697767</v>
      </c>
      <c r="G733" t="str">
        <f t="shared" si="85"/>
        <v>outubro</v>
      </c>
      <c r="H733">
        <f t="shared" si="86"/>
        <v>2023</v>
      </c>
    </row>
    <row r="734" spans="1:8" hidden="1" x14ac:dyDescent="0.25">
      <c r="A734">
        <v>3020623</v>
      </c>
      <c r="B734" s="1">
        <v>45200</v>
      </c>
      <c r="C734" t="s">
        <v>147</v>
      </c>
      <c r="D734">
        <v>739.18</v>
      </c>
      <c r="E734">
        <v>2849.73</v>
      </c>
      <c r="F734" s="20">
        <f t="shared" si="84"/>
        <v>3.8552585297221249</v>
      </c>
      <c r="G734" t="str">
        <f t="shared" si="85"/>
        <v>outubro</v>
      </c>
      <c r="H734">
        <f t="shared" si="86"/>
        <v>2023</v>
      </c>
    </row>
    <row r="735" spans="1:8" hidden="1" x14ac:dyDescent="0.25">
      <c r="A735">
        <v>3020725</v>
      </c>
      <c r="B735" s="1">
        <v>45200</v>
      </c>
      <c r="C735" t="s">
        <v>149</v>
      </c>
      <c r="D735">
        <v>393.56</v>
      </c>
      <c r="E735">
        <v>1488.82</v>
      </c>
      <c r="F735" s="20">
        <f t="shared" si="84"/>
        <v>3.7829555849171661</v>
      </c>
      <c r="G735" t="str">
        <f t="shared" si="85"/>
        <v>outubro</v>
      </c>
      <c r="H735">
        <f t="shared" si="86"/>
        <v>2023</v>
      </c>
    </row>
    <row r="736" spans="1:8" hidden="1" x14ac:dyDescent="0.25">
      <c r="A736">
        <v>3020823</v>
      </c>
      <c r="B736" s="1">
        <v>45200</v>
      </c>
      <c r="C736" t="s">
        <v>151</v>
      </c>
      <c r="D736">
        <v>1640.18</v>
      </c>
      <c r="E736">
        <v>6270.02</v>
      </c>
      <c r="F736" s="20">
        <f t="shared" si="84"/>
        <v>3.8227633552414981</v>
      </c>
      <c r="G736" t="str">
        <f t="shared" ref="G736:G799" si="87">TEXT(B736,"mmmm")</f>
        <v>outubro</v>
      </c>
      <c r="H736">
        <f t="shared" ref="H736:H799" si="88">YEAR(B736)</f>
        <v>2023</v>
      </c>
    </row>
    <row r="737" spans="1:8" hidden="1" x14ac:dyDescent="0.25">
      <c r="A737">
        <v>3020824</v>
      </c>
      <c r="B737" s="1">
        <v>45200</v>
      </c>
      <c r="C737" t="s">
        <v>153</v>
      </c>
      <c r="D737">
        <v>1614.94</v>
      </c>
      <c r="E737">
        <v>6032.73</v>
      </c>
      <c r="F737" s="20">
        <f t="shared" si="84"/>
        <v>3.7355753154915967</v>
      </c>
      <c r="G737" t="str">
        <f t="shared" si="87"/>
        <v>outubro</v>
      </c>
      <c r="H737">
        <f t="shared" si="88"/>
        <v>2023</v>
      </c>
    </row>
    <row r="738" spans="1:8" hidden="1" x14ac:dyDescent="0.25">
      <c r="A738">
        <v>3020825</v>
      </c>
      <c r="B738" s="1">
        <v>45200</v>
      </c>
      <c r="C738" t="s">
        <v>455</v>
      </c>
      <c r="D738">
        <v>665.06</v>
      </c>
      <c r="E738">
        <v>2726.77</v>
      </c>
      <c r="F738" s="20">
        <f t="shared" si="84"/>
        <v>4.1000360869695971</v>
      </c>
      <c r="G738" t="str">
        <f t="shared" si="87"/>
        <v>outubro</v>
      </c>
      <c r="H738">
        <f t="shared" si="88"/>
        <v>2023</v>
      </c>
    </row>
    <row r="739" spans="1:8" hidden="1" x14ac:dyDescent="0.25">
      <c r="A739">
        <v>3020924</v>
      </c>
      <c r="B739" s="1">
        <v>45200</v>
      </c>
      <c r="C739" t="s">
        <v>155</v>
      </c>
      <c r="D739">
        <v>1044.31</v>
      </c>
      <c r="E739">
        <v>4023.06</v>
      </c>
      <c r="F739" s="20">
        <f t="shared" si="84"/>
        <v>3.8523618465781233</v>
      </c>
      <c r="G739" t="str">
        <f t="shared" si="87"/>
        <v>outubro</v>
      </c>
      <c r="H739">
        <f t="shared" si="88"/>
        <v>2023</v>
      </c>
    </row>
    <row r="740" spans="1:8" hidden="1" x14ac:dyDescent="0.25">
      <c r="A740">
        <v>3020925</v>
      </c>
      <c r="B740" s="1">
        <v>45200</v>
      </c>
      <c r="C740" t="s">
        <v>157</v>
      </c>
      <c r="D740">
        <v>1650.89</v>
      </c>
      <c r="E740">
        <v>6328.34</v>
      </c>
      <c r="F740" s="20">
        <f t="shared" si="84"/>
        <v>3.8332899224054904</v>
      </c>
      <c r="G740" t="str">
        <f t="shared" si="87"/>
        <v>outubro</v>
      </c>
      <c r="H740">
        <f t="shared" si="88"/>
        <v>2023</v>
      </c>
    </row>
    <row r="741" spans="1:8" hidden="1" x14ac:dyDescent="0.25">
      <c r="A741">
        <v>3021435</v>
      </c>
      <c r="B741" s="1">
        <v>45200</v>
      </c>
      <c r="C741" t="s">
        <v>159</v>
      </c>
      <c r="D741">
        <v>11.16</v>
      </c>
      <c r="E741">
        <v>35.15</v>
      </c>
      <c r="F741" s="20">
        <f t="shared" si="84"/>
        <v>3.1496415770609318</v>
      </c>
      <c r="G741" t="str">
        <f t="shared" si="87"/>
        <v>outubro</v>
      </c>
      <c r="H741">
        <f t="shared" si="88"/>
        <v>2023</v>
      </c>
    </row>
    <row r="742" spans="1:8" hidden="1" x14ac:dyDescent="0.25">
      <c r="A742">
        <v>3021436</v>
      </c>
      <c r="B742" s="1">
        <v>45200</v>
      </c>
      <c r="C742" t="s">
        <v>546</v>
      </c>
      <c r="D742">
        <v>233.44</v>
      </c>
      <c r="E742">
        <v>767.01</v>
      </c>
      <c r="F742" s="20">
        <f t="shared" ref="F742:F805" si="89">E742/D742</f>
        <v>3.2856836874571624</v>
      </c>
      <c r="G742" t="str">
        <f t="shared" si="87"/>
        <v>outubro</v>
      </c>
      <c r="H742">
        <f t="shared" si="88"/>
        <v>2023</v>
      </c>
    </row>
    <row r="743" spans="1:8" hidden="1" x14ac:dyDescent="0.25">
      <c r="A743">
        <v>3021538</v>
      </c>
      <c r="B743" s="1">
        <v>45200</v>
      </c>
      <c r="C743" t="s">
        <v>548</v>
      </c>
      <c r="D743">
        <v>37.25</v>
      </c>
      <c r="E743">
        <v>120.69</v>
      </c>
      <c r="F743" s="20">
        <f t="shared" si="89"/>
        <v>3.2399999999999998</v>
      </c>
      <c r="G743" t="str">
        <f t="shared" si="87"/>
        <v>outubro</v>
      </c>
      <c r="H743">
        <f t="shared" si="88"/>
        <v>2023</v>
      </c>
    </row>
    <row r="744" spans="1:8" hidden="1" x14ac:dyDescent="0.25">
      <c r="A744">
        <v>3021639</v>
      </c>
      <c r="B744" s="1">
        <v>45200</v>
      </c>
      <c r="C744" t="s">
        <v>457</v>
      </c>
      <c r="D744">
        <v>25.19</v>
      </c>
      <c r="E744">
        <v>78.650000000000006</v>
      </c>
      <c r="F744" s="20">
        <f t="shared" si="89"/>
        <v>3.1222707423580789</v>
      </c>
      <c r="G744" t="str">
        <f t="shared" si="87"/>
        <v>outubro</v>
      </c>
      <c r="H744">
        <f t="shared" si="88"/>
        <v>2023</v>
      </c>
    </row>
    <row r="745" spans="1:8" hidden="1" x14ac:dyDescent="0.25">
      <c r="A745">
        <v>3021740</v>
      </c>
      <c r="B745" s="1">
        <v>45200</v>
      </c>
      <c r="C745" t="s">
        <v>459</v>
      </c>
      <c r="D745">
        <v>808.59</v>
      </c>
      <c r="E745">
        <v>2084.94</v>
      </c>
      <c r="F745" s="20">
        <f t="shared" si="89"/>
        <v>2.5784884799465737</v>
      </c>
      <c r="G745" t="str">
        <f t="shared" si="87"/>
        <v>outubro</v>
      </c>
      <c r="H745">
        <f t="shared" si="88"/>
        <v>2023</v>
      </c>
    </row>
    <row r="746" spans="1:8" hidden="1" x14ac:dyDescent="0.25">
      <c r="A746">
        <v>3021760</v>
      </c>
      <c r="B746" s="1">
        <v>45200</v>
      </c>
      <c r="C746" t="s">
        <v>167</v>
      </c>
      <c r="D746">
        <v>1799.75</v>
      </c>
      <c r="E746">
        <v>3579.71</v>
      </c>
      <c r="F746" s="20">
        <f t="shared" si="89"/>
        <v>1.9890040283372692</v>
      </c>
      <c r="G746" t="str">
        <f t="shared" si="87"/>
        <v>outubro</v>
      </c>
      <c r="H746">
        <f t="shared" si="88"/>
        <v>2023</v>
      </c>
    </row>
    <row r="747" spans="1:8" hidden="1" x14ac:dyDescent="0.25">
      <c r="A747">
        <v>3021811</v>
      </c>
      <c r="B747" s="1">
        <v>45200</v>
      </c>
      <c r="C747" t="s">
        <v>169</v>
      </c>
      <c r="D747">
        <v>668.35</v>
      </c>
      <c r="E747">
        <v>1667.34</v>
      </c>
      <c r="F747" s="20">
        <f t="shared" si="89"/>
        <v>2.4947108550908954</v>
      </c>
      <c r="G747" t="str">
        <f t="shared" si="87"/>
        <v>outubro</v>
      </c>
      <c r="H747">
        <f t="shared" si="88"/>
        <v>2023</v>
      </c>
    </row>
    <row r="748" spans="1:8" hidden="1" x14ac:dyDescent="0.25">
      <c r="A748">
        <v>3021812</v>
      </c>
      <c r="B748" s="1">
        <v>45200</v>
      </c>
      <c r="C748" t="s">
        <v>171</v>
      </c>
      <c r="D748">
        <v>1265.5</v>
      </c>
      <c r="E748">
        <v>2965.43</v>
      </c>
      <c r="F748" s="20">
        <f t="shared" si="89"/>
        <v>2.3432872382457526</v>
      </c>
      <c r="G748" t="str">
        <f t="shared" si="87"/>
        <v>outubro</v>
      </c>
      <c r="H748">
        <f t="shared" si="88"/>
        <v>2023</v>
      </c>
    </row>
    <row r="749" spans="1:8" hidden="1" x14ac:dyDescent="0.25">
      <c r="A749">
        <v>3022100</v>
      </c>
      <c r="B749" s="1">
        <v>45200</v>
      </c>
      <c r="C749" t="s">
        <v>173</v>
      </c>
      <c r="D749">
        <v>109.67</v>
      </c>
      <c r="E749">
        <v>416.97</v>
      </c>
      <c r="F749" s="20">
        <f t="shared" si="89"/>
        <v>3.8020424911096931</v>
      </c>
      <c r="G749" t="str">
        <f t="shared" si="87"/>
        <v>outubro</v>
      </c>
      <c r="H749">
        <f t="shared" si="88"/>
        <v>2023</v>
      </c>
    </row>
    <row r="750" spans="1:8" hidden="1" x14ac:dyDescent="0.25">
      <c r="A750">
        <v>3022208</v>
      </c>
      <c r="B750" s="1">
        <v>45200</v>
      </c>
      <c r="C750" t="s">
        <v>307</v>
      </c>
      <c r="D750">
        <v>178.15</v>
      </c>
      <c r="E750">
        <v>669.7</v>
      </c>
      <c r="F750" s="20">
        <f t="shared" si="89"/>
        <v>3.75919169239405</v>
      </c>
      <c r="G750" t="str">
        <f t="shared" si="87"/>
        <v>outubro</v>
      </c>
      <c r="H750">
        <f t="shared" si="88"/>
        <v>2023</v>
      </c>
    </row>
    <row r="751" spans="1:8" hidden="1" x14ac:dyDescent="0.25">
      <c r="A751">
        <v>3022311</v>
      </c>
      <c r="B751" s="1">
        <v>45200</v>
      </c>
      <c r="C751" t="s">
        <v>176</v>
      </c>
      <c r="D751">
        <v>2229.46</v>
      </c>
      <c r="E751">
        <v>5341.77</v>
      </c>
      <c r="F751" s="20">
        <f t="shared" si="89"/>
        <v>2.3959927516080128</v>
      </c>
      <c r="G751" t="str">
        <f t="shared" si="87"/>
        <v>outubro</v>
      </c>
      <c r="H751">
        <f t="shared" si="88"/>
        <v>2023</v>
      </c>
    </row>
    <row r="752" spans="1:8" hidden="1" x14ac:dyDescent="0.25">
      <c r="A752">
        <v>3022411</v>
      </c>
      <c r="B752" s="1">
        <v>45200</v>
      </c>
      <c r="C752" t="s">
        <v>178</v>
      </c>
      <c r="D752">
        <v>41.83</v>
      </c>
      <c r="E752">
        <v>121.8</v>
      </c>
      <c r="F752" s="20">
        <f t="shared" si="89"/>
        <v>2.9117857996653118</v>
      </c>
      <c r="G752" t="str">
        <f t="shared" si="87"/>
        <v>outubro</v>
      </c>
      <c r="H752">
        <f t="shared" si="88"/>
        <v>2023</v>
      </c>
    </row>
    <row r="753" spans="1:8" hidden="1" x14ac:dyDescent="0.25">
      <c r="A753">
        <v>3022511</v>
      </c>
      <c r="B753" s="1">
        <v>45200</v>
      </c>
      <c r="C753" t="s">
        <v>180</v>
      </c>
      <c r="D753">
        <v>8</v>
      </c>
      <c r="E753">
        <v>20.67</v>
      </c>
      <c r="F753" s="20">
        <f t="shared" si="89"/>
        <v>2.5837500000000002</v>
      </c>
      <c r="G753" t="str">
        <f t="shared" si="87"/>
        <v>outubro</v>
      </c>
      <c r="H753">
        <f t="shared" si="88"/>
        <v>2023</v>
      </c>
    </row>
    <row r="754" spans="1:8" hidden="1" x14ac:dyDescent="0.25">
      <c r="A754">
        <v>3022601</v>
      </c>
      <c r="B754" s="1">
        <v>45200</v>
      </c>
      <c r="C754" t="s">
        <v>182</v>
      </c>
      <c r="D754">
        <v>366.75</v>
      </c>
      <c r="E754">
        <v>1435.83</v>
      </c>
      <c r="F754" s="20">
        <f t="shared" si="89"/>
        <v>3.9150102249488752</v>
      </c>
      <c r="G754" t="str">
        <f t="shared" si="87"/>
        <v>outubro</v>
      </c>
      <c r="H754">
        <f t="shared" si="88"/>
        <v>2023</v>
      </c>
    </row>
    <row r="755" spans="1:8" hidden="1" x14ac:dyDescent="0.25">
      <c r="A755">
        <v>3022703</v>
      </c>
      <c r="B755" s="1">
        <v>45200</v>
      </c>
      <c r="C755" t="s">
        <v>309</v>
      </c>
      <c r="D755">
        <v>960</v>
      </c>
      <c r="E755">
        <v>2639</v>
      </c>
      <c r="F755" s="20">
        <f t="shared" si="89"/>
        <v>2.7489583333333334</v>
      </c>
      <c r="G755" t="str">
        <f t="shared" si="87"/>
        <v>outubro</v>
      </c>
      <c r="H755">
        <f t="shared" si="88"/>
        <v>2023</v>
      </c>
    </row>
    <row r="756" spans="1:8" hidden="1" x14ac:dyDescent="0.25">
      <c r="A756">
        <v>3022805</v>
      </c>
      <c r="B756" s="1">
        <v>45200</v>
      </c>
      <c r="C756" t="s">
        <v>186</v>
      </c>
      <c r="D756">
        <v>1692.5</v>
      </c>
      <c r="E756">
        <v>3586.68</v>
      </c>
      <c r="F756" s="20">
        <f t="shared" si="89"/>
        <v>2.1191610044313145</v>
      </c>
      <c r="G756" t="str">
        <f t="shared" si="87"/>
        <v>outubro</v>
      </c>
      <c r="H756">
        <f t="shared" si="88"/>
        <v>2023</v>
      </c>
    </row>
    <row r="757" spans="1:8" hidden="1" x14ac:dyDescent="0.25">
      <c r="A757">
        <v>3022906</v>
      </c>
      <c r="B757" s="1">
        <v>45200</v>
      </c>
      <c r="C757" t="s">
        <v>188</v>
      </c>
      <c r="D757">
        <v>3780</v>
      </c>
      <c r="E757">
        <v>7684.73</v>
      </c>
      <c r="F757" s="20">
        <f t="shared" si="89"/>
        <v>2.0329973544973545</v>
      </c>
      <c r="G757" t="str">
        <f t="shared" si="87"/>
        <v>outubro</v>
      </c>
      <c r="H757">
        <f t="shared" si="88"/>
        <v>2023</v>
      </c>
    </row>
    <row r="758" spans="1:8" hidden="1" x14ac:dyDescent="0.25">
      <c r="A758">
        <v>3023007</v>
      </c>
      <c r="B758" s="1">
        <v>45200</v>
      </c>
      <c r="C758" t="s">
        <v>190</v>
      </c>
      <c r="D758">
        <v>780</v>
      </c>
      <c r="E758">
        <v>1577.3</v>
      </c>
      <c r="F758" s="20">
        <f t="shared" si="89"/>
        <v>2.0221794871794869</v>
      </c>
      <c r="G758" t="str">
        <f t="shared" si="87"/>
        <v>outubro</v>
      </c>
      <c r="H758">
        <f t="shared" si="88"/>
        <v>2023</v>
      </c>
    </row>
    <row r="759" spans="1:8" hidden="1" x14ac:dyDescent="0.25">
      <c r="A759">
        <v>3024001</v>
      </c>
      <c r="B759" s="1">
        <v>45200</v>
      </c>
      <c r="C759" t="s">
        <v>192</v>
      </c>
      <c r="D759">
        <v>2043.19</v>
      </c>
      <c r="E759">
        <v>7636.67</v>
      </c>
      <c r="F759" s="20">
        <f t="shared" si="89"/>
        <v>3.7376210729300752</v>
      </c>
      <c r="G759" t="str">
        <f t="shared" si="87"/>
        <v>outubro</v>
      </c>
      <c r="H759">
        <f t="shared" si="88"/>
        <v>2023</v>
      </c>
    </row>
    <row r="760" spans="1:8" hidden="1" x14ac:dyDescent="0.25">
      <c r="A760">
        <v>3024003</v>
      </c>
      <c r="B760" s="1">
        <v>45200</v>
      </c>
      <c r="C760" t="s">
        <v>196</v>
      </c>
      <c r="D760">
        <v>447.84</v>
      </c>
      <c r="E760">
        <v>1262.3800000000001</v>
      </c>
      <c r="F760" s="20">
        <f t="shared" si="89"/>
        <v>2.8188192211504113</v>
      </c>
      <c r="G760" t="str">
        <f t="shared" si="87"/>
        <v>outubro</v>
      </c>
      <c r="H760">
        <f t="shared" si="88"/>
        <v>2023</v>
      </c>
    </row>
    <row r="761" spans="1:8" hidden="1" x14ac:dyDescent="0.25">
      <c r="A761">
        <v>3024004</v>
      </c>
      <c r="B761" s="1">
        <v>45200</v>
      </c>
      <c r="C761" t="s">
        <v>198</v>
      </c>
      <c r="D761">
        <v>1710.74</v>
      </c>
      <c r="E761">
        <v>1733.49</v>
      </c>
      <c r="F761" s="20">
        <f t="shared" si="89"/>
        <v>1.0132983387306078</v>
      </c>
      <c r="G761" t="str">
        <f t="shared" si="87"/>
        <v>outubro</v>
      </c>
      <c r="H761">
        <f t="shared" si="88"/>
        <v>2023</v>
      </c>
    </row>
    <row r="762" spans="1:8" hidden="1" x14ac:dyDescent="0.25">
      <c r="A762">
        <v>4030100</v>
      </c>
      <c r="B762" s="1">
        <v>45200</v>
      </c>
      <c r="C762" t="s">
        <v>200</v>
      </c>
      <c r="D762">
        <v>406.22</v>
      </c>
      <c r="E762">
        <v>2472.56</v>
      </c>
      <c r="F762" s="20">
        <f t="shared" si="89"/>
        <v>6.0867510216139031</v>
      </c>
      <c r="G762" t="str">
        <f t="shared" si="87"/>
        <v>outubro</v>
      </c>
      <c r="H762">
        <f t="shared" si="88"/>
        <v>2023</v>
      </c>
    </row>
    <row r="763" spans="1:8" hidden="1" x14ac:dyDescent="0.25">
      <c r="A763">
        <v>4030211</v>
      </c>
      <c r="B763" s="1">
        <v>45200</v>
      </c>
      <c r="C763" t="s">
        <v>202</v>
      </c>
      <c r="D763">
        <v>858.42</v>
      </c>
      <c r="E763">
        <v>5040.91</v>
      </c>
      <c r="F763" s="20">
        <f t="shared" si="89"/>
        <v>5.8723119219030311</v>
      </c>
      <c r="G763" t="str">
        <f t="shared" si="87"/>
        <v>outubro</v>
      </c>
      <c r="H763">
        <f t="shared" si="88"/>
        <v>2023</v>
      </c>
    </row>
    <row r="764" spans="1:8" hidden="1" x14ac:dyDescent="0.25">
      <c r="A764">
        <v>4030311</v>
      </c>
      <c r="B764" s="1">
        <v>45200</v>
      </c>
      <c r="C764" t="s">
        <v>311</v>
      </c>
      <c r="D764">
        <v>257.43</v>
      </c>
      <c r="E764">
        <v>1755.37</v>
      </c>
      <c r="F764" s="20">
        <f t="shared" si="89"/>
        <v>6.8188245348250005</v>
      </c>
      <c r="G764" t="str">
        <f t="shared" si="87"/>
        <v>outubro</v>
      </c>
      <c r="H764">
        <f t="shared" si="88"/>
        <v>2023</v>
      </c>
    </row>
    <row r="765" spans="1:8" hidden="1" x14ac:dyDescent="0.25">
      <c r="A765">
        <v>4030401</v>
      </c>
      <c r="B765" s="1">
        <v>45200</v>
      </c>
      <c r="C765" t="s">
        <v>461</v>
      </c>
      <c r="D765">
        <v>392.91</v>
      </c>
      <c r="E765">
        <v>1998.51</v>
      </c>
      <c r="F765" s="20">
        <f t="shared" si="89"/>
        <v>5.0864320073299227</v>
      </c>
      <c r="G765" t="str">
        <f t="shared" si="87"/>
        <v>outubro</v>
      </c>
      <c r="H765">
        <f t="shared" si="88"/>
        <v>2023</v>
      </c>
    </row>
    <row r="766" spans="1:8" hidden="1" x14ac:dyDescent="0.25">
      <c r="A766">
        <v>4030532</v>
      </c>
      <c r="B766" s="1">
        <v>45200</v>
      </c>
      <c r="C766" t="s">
        <v>210</v>
      </c>
      <c r="D766">
        <v>24.6</v>
      </c>
      <c r="E766">
        <v>144.30000000000001</v>
      </c>
      <c r="F766" s="20">
        <f t="shared" si="89"/>
        <v>5.8658536585365857</v>
      </c>
      <c r="G766" t="str">
        <f t="shared" si="87"/>
        <v>outubro</v>
      </c>
      <c r="H766">
        <f t="shared" si="88"/>
        <v>2023</v>
      </c>
    </row>
    <row r="767" spans="1:8" hidden="1" x14ac:dyDescent="0.25">
      <c r="A767">
        <v>4030600</v>
      </c>
      <c r="B767" s="1">
        <v>45200</v>
      </c>
      <c r="C767" t="s">
        <v>212</v>
      </c>
      <c r="D767">
        <v>1028.6400000000001</v>
      </c>
      <c r="E767">
        <v>3188.96</v>
      </c>
      <c r="F767" s="20">
        <f t="shared" si="89"/>
        <v>3.1001710997044638</v>
      </c>
      <c r="G767" t="str">
        <f t="shared" si="87"/>
        <v>outubro</v>
      </c>
      <c r="H767">
        <f t="shared" si="88"/>
        <v>2023</v>
      </c>
    </row>
    <row r="768" spans="1:8" hidden="1" x14ac:dyDescent="0.25">
      <c r="A768">
        <v>4030711</v>
      </c>
      <c r="B768" s="1">
        <v>45200</v>
      </c>
      <c r="C768" t="s">
        <v>214</v>
      </c>
      <c r="D768">
        <v>1827.89</v>
      </c>
      <c r="E768">
        <v>6020.58</v>
      </c>
      <c r="F768" s="20">
        <f t="shared" si="89"/>
        <v>3.2937321173593594</v>
      </c>
      <c r="G768" t="str">
        <f t="shared" si="87"/>
        <v>outubro</v>
      </c>
      <c r="H768">
        <f t="shared" si="88"/>
        <v>2023</v>
      </c>
    </row>
    <row r="769" spans="1:8" hidden="1" x14ac:dyDescent="0.25">
      <c r="A769">
        <v>4030811</v>
      </c>
      <c r="B769" s="1">
        <v>45200</v>
      </c>
      <c r="C769" t="s">
        <v>722</v>
      </c>
      <c r="D769">
        <v>1338.8</v>
      </c>
      <c r="E769">
        <v>4211.45</v>
      </c>
      <c r="F769" s="20">
        <f t="shared" si="89"/>
        <v>3.1456901703017626</v>
      </c>
      <c r="G769" t="str">
        <f t="shared" si="87"/>
        <v>outubro</v>
      </c>
      <c r="H769">
        <f t="shared" si="88"/>
        <v>2023</v>
      </c>
    </row>
    <row r="770" spans="1:8" hidden="1" x14ac:dyDescent="0.25">
      <c r="A770">
        <v>4030813</v>
      </c>
      <c r="B770" s="1">
        <v>45200</v>
      </c>
      <c r="C770" t="s">
        <v>723</v>
      </c>
      <c r="D770">
        <v>2390.6999999999998</v>
      </c>
      <c r="E770">
        <v>7150.8</v>
      </c>
      <c r="F770" s="20">
        <f t="shared" si="89"/>
        <v>2.9910904755929231</v>
      </c>
      <c r="G770" t="str">
        <f t="shared" si="87"/>
        <v>outubro</v>
      </c>
      <c r="H770">
        <f t="shared" si="88"/>
        <v>2023</v>
      </c>
    </row>
    <row r="771" spans="1:8" hidden="1" x14ac:dyDescent="0.25">
      <c r="A771">
        <v>4030900</v>
      </c>
      <c r="B771" s="1">
        <v>45200</v>
      </c>
      <c r="C771" t="s">
        <v>220</v>
      </c>
      <c r="D771">
        <v>6241.85</v>
      </c>
      <c r="E771">
        <v>18655.04</v>
      </c>
      <c r="F771" s="20">
        <f t="shared" si="89"/>
        <v>2.988703669585139</v>
      </c>
      <c r="G771" t="str">
        <f t="shared" si="87"/>
        <v>outubro</v>
      </c>
      <c r="H771">
        <f t="shared" si="88"/>
        <v>2023</v>
      </c>
    </row>
    <row r="772" spans="1:8" hidden="1" x14ac:dyDescent="0.25">
      <c r="A772">
        <v>4030910</v>
      </c>
      <c r="B772" s="1">
        <v>45200</v>
      </c>
      <c r="C772" t="s">
        <v>724</v>
      </c>
      <c r="D772">
        <v>95.65</v>
      </c>
      <c r="E772">
        <v>326.08</v>
      </c>
      <c r="F772" s="20">
        <f t="shared" si="89"/>
        <v>3.4090956612650283</v>
      </c>
      <c r="G772" t="str">
        <f t="shared" si="87"/>
        <v>outubro</v>
      </c>
      <c r="H772">
        <f t="shared" si="88"/>
        <v>2023</v>
      </c>
    </row>
    <row r="773" spans="1:8" hidden="1" x14ac:dyDescent="0.25">
      <c r="A773">
        <v>4031012</v>
      </c>
      <c r="B773" s="1">
        <v>45200</v>
      </c>
      <c r="C773" t="s">
        <v>224</v>
      </c>
      <c r="D773">
        <v>1489.72</v>
      </c>
      <c r="E773">
        <v>4640.76</v>
      </c>
      <c r="F773" s="20">
        <f t="shared" si="89"/>
        <v>3.1151894315710336</v>
      </c>
      <c r="G773" t="str">
        <f t="shared" si="87"/>
        <v>outubro</v>
      </c>
      <c r="H773">
        <f t="shared" si="88"/>
        <v>2023</v>
      </c>
    </row>
    <row r="774" spans="1:8" hidden="1" x14ac:dyDescent="0.25">
      <c r="A774">
        <v>4031017</v>
      </c>
      <c r="B774" s="1">
        <v>45200</v>
      </c>
      <c r="C774" t="s">
        <v>226</v>
      </c>
      <c r="D774">
        <v>63</v>
      </c>
      <c r="E774">
        <v>43.65</v>
      </c>
      <c r="F774" s="20">
        <f t="shared" si="89"/>
        <v>0.69285714285714284</v>
      </c>
      <c r="G774" t="str">
        <f t="shared" si="87"/>
        <v>outubro</v>
      </c>
      <c r="H774">
        <f t="shared" si="88"/>
        <v>2023</v>
      </c>
    </row>
    <row r="775" spans="1:8" hidden="1" x14ac:dyDescent="0.25">
      <c r="A775">
        <v>4031102</v>
      </c>
      <c r="B775" s="1">
        <v>45200</v>
      </c>
      <c r="C775" t="s">
        <v>228</v>
      </c>
      <c r="D775">
        <v>11339.8</v>
      </c>
      <c r="E775">
        <v>33119.94</v>
      </c>
      <c r="F775" s="20">
        <f t="shared" si="89"/>
        <v>2.9206811407608604</v>
      </c>
      <c r="G775" t="str">
        <f t="shared" si="87"/>
        <v>outubro</v>
      </c>
      <c r="H775">
        <f t="shared" si="88"/>
        <v>2023</v>
      </c>
    </row>
    <row r="776" spans="1:8" hidden="1" x14ac:dyDescent="0.25">
      <c r="A776">
        <v>4031200</v>
      </c>
      <c r="B776" s="1">
        <v>45200</v>
      </c>
      <c r="C776" t="s">
        <v>230</v>
      </c>
      <c r="D776">
        <v>1058.98</v>
      </c>
      <c r="E776">
        <v>3177.04</v>
      </c>
      <c r="F776" s="20">
        <f t="shared" si="89"/>
        <v>3.0000944304897166</v>
      </c>
      <c r="G776" t="str">
        <f t="shared" si="87"/>
        <v>outubro</v>
      </c>
      <c r="H776">
        <f t="shared" si="88"/>
        <v>2023</v>
      </c>
    </row>
    <row r="777" spans="1:8" hidden="1" x14ac:dyDescent="0.25">
      <c r="A777">
        <v>4031304</v>
      </c>
      <c r="B777" s="1">
        <v>45200</v>
      </c>
      <c r="C777" t="s">
        <v>232</v>
      </c>
      <c r="D777">
        <v>1501.59</v>
      </c>
      <c r="E777">
        <v>4333.59</v>
      </c>
      <c r="F777" s="20">
        <f t="shared" si="89"/>
        <v>2.8860008391105429</v>
      </c>
      <c r="G777" t="str">
        <f t="shared" si="87"/>
        <v>outubro</v>
      </c>
      <c r="H777">
        <f t="shared" si="88"/>
        <v>2023</v>
      </c>
    </row>
    <row r="778" spans="1:8" hidden="1" x14ac:dyDescent="0.25">
      <c r="A778">
        <v>4031411</v>
      </c>
      <c r="B778" s="1">
        <v>45200</v>
      </c>
      <c r="C778" t="s">
        <v>234</v>
      </c>
      <c r="D778">
        <v>50.68</v>
      </c>
      <c r="E778">
        <v>161.44</v>
      </c>
      <c r="F778" s="20">
        <f t="shared" si="89"/>
        <v>3.1854775059194949</v>
      </c>
      <c r="G778" t="str">
        <f t="shared" si="87"/>
        <v>outubro</v>
      </c>
      <c r="H778">
        <f t="shared" si="88"/>
        <v>2023</v>
      </c>
    </row>
    <row r="779" spans="1:8" hidden="1" x14ac:dyDescent="0.25">
      <c r="A779">
        <v>4031500</v>
      </c>
      <c r="B779" s="1">
        <v>45200</v>
      </c>
      <c r="C779" t="s">
        <v>236</v>
      </c>
      <c r="D779">
        <v>6346.66</v>
      </c>
      <c r="E779">
        <v>17832.27</v>
      </c>
      <c r="F779" s="20">
        <f t="shared" si="89"/>
        <v>2.8097093589384023</v>
      </c>
      <c r="G779" t="str">
        <f t="shared" si="87"/>
        <v>outubro</v>
      </c>
      <c r="H779">
        <f t="shared" si="88"/>
        <v>2023</v>
      </c>
    </row>
    <row r="780" spans="1:8" hidden="1" x14ac:dyDescent="0.25">
      <c r="A780">
        <v>4031604</v>
      </c>
      <c r="B780" s="1">
        <v>45200</v>
      </c>
      <c r="C780" t="s">
        <v>238</v>
      </c>
      <c r="D780">
        <v>6678.68</v>
      </c>
      <c r="E780">
        <v>18292.330000000002</v>
      </c>
      <c r="F780" s="20">
        <f t="shared" si="89"/>
        <v>2.7389139770134219</v>
      </c>
      <c r="G780" t="str">
        <f t="shared" si="87"/>
        <v>outubro</v>
      </c>
      <c r="H780">
        <f t="shared" si="88"/>
        <v>2023</v>
      </c>
    </row>
    <row r="781" spans="1:8" hidden="1" x14ac:dyDescent="0.25">
      <c r="A781">
        <v>4031605</v>
      </c>
      <c r="B781" s="1">
        <v>45200</v>
      </c>
      <c r="C781" t="s">
        <v>240</v>
      </c>
      <c r="D781">
        <v>72.08</v>
      </c>
      <c r="E781">
        <v>233.97</v>
      </c>
      <c r="F781" s="20">
        <f t="shared" si="89"/>
        <v>3.245976692563818</v>
      </c>
      <c r="G781" t="str">
        <f t="shared" si="87"/>
        <v>outubro</v>
      </c>
      <c r="H781">
        <f t="shared" si="88"/>
        <v>2023</v>
      </c>
    </row>
    <row r="782" spans="1:8" hidden="1" x14ac:dyDescent="0.25">
      <c r="A782">
        <v>4031700</v>
      </c>
      <c r="B782" s="1">
        <v>45200</v>
      </c>
      <c r="C782" t="s">
        <v>242</v>
      </c>
      <c r="D782">
        <v>755.1</v>
      </c>
      <c r="E782">
        <v>2233.92</v>
      </c>
      <c r="F782" s="20">
        <f t="shared" si="89"/>
        <v>2.9584425903853795</v>
      </c>
      <c r="G782" t="str">
        <f t="shared" si="87"/>
        <v>outubro</v>
      </c>
      <c r="H782">
        <f t="shared" si="88"/>
        <v>2023</v>
      </c>
    </row>
    <row r="783" spans="1:8" hidden="1" x14ac:dyDescent="0.25">
      <c r="A783">
        <v>4031812</v>
      </c>
      <c r="B783" s="1">
        <v>45200</v>
      </c>
      <c r="C783" t="s">
        <v>244</v>
      </c>
      <c r="D783">
        <v>425.67</v>
      </c>
      <c r="E783">
        <v>1318.27</v>
      </c>
      <c r="F783" s="20">
        <f t="shared" si="89"/>
        <v>3.0969295463622055</v>
      </c>
      <c r="G783" t="str">
        <f t="shared" si="87"/>
        <v>outubro</v>
      </c>
      <c r="H783">
        <f t="shared" si="88"/>
        <v>2023</v>
      </c>
    </row>
    <row r="784" spans="1:8" hidden="1" x14ac:dyDescent="0.25">
      <c r="A784">
        <v>4031813</v>
      </c>
      <c r="B784" s="1">
        <v>45200</v>
      </c>
      <c r="C784" t="s">
        <v>464</v>
      </c>
      <c r="D784">
        <v>70</v>
      </c>
      <c r="E784">
        <v>46.9</v>
      </c>
      <c r="F784" s="20">
        <f t="shared" si="89"/>
        <v>0.66999999999999993</v>
      </c>
      <c r="G784" t="str">
        <f t="shared" si="87"/>
        <v>outubro</v>
      </c>
      <c r="H784">
        <f t="shared" si="88"/>
        <v>2023</v>
      </c>
    </row>
    <row r="785" spans="1:8" hidden="1" x14ac:dyDescent="0.25">
      <c r="A785">
        <v>4031904</v>
      </c>
      <c r="B785" s="1">
        <v>45200</v>
      </c>
      <c r="C785" t="s">
        <v>246</v>
      </c>
      <c r="D785">
        <v>1246.5899999999999</v>
      </c>
      <c r="E785">
        <v>3651.61</v>
      </c>
      <c r="F785" s="20">
        <f t="shared" si="89"/>
        <v>2.9292790733119953</v>
      </c>
      <c r="G785" t="str">
        <f t="shared" si="87"/>
        <v>outubro</v>
      </c>
      <c r="H785">
        <f t="shared" si="88"/>
        <v>2023</v>
      </c>
    </row>
    <row r="786" spans="1:8" hidden="1" x14ac:dyDescent="0.25">
      <c r="A786">
        <v>4032204</v>
      </c>
      <c r="B786" s="1">
        <v>45200</v>
      </c>
      <c r="C786" t="s">
        <v>315</v>
      </c>
      <c r="D786">
        <v>30.64</v>
      </c>
      <c r="E786">
        <v>153.16</v>
      </c>
      <c r="F786" s="20">
        <f t="shared" si="89"/>
        <v>4.9986945169712795</v>
      </c>
      <c r="G786" t="str">
        <f t="shared" si="87"/>
        <v>outubro</v>
      </c>
      <c r="H786">
        <f t="shared" si="88"/>
        <v>2023</v>
      </c>
    </row>
    <row r="787" spans="1:8" hidden="1" x14ac:dyDescent="0.25">
      <c r="A787">
        <v>4032205</v>
      </c>
      <c r="B787" s="1">
        <v>45200</v>
      </c>
      <c r="C787" t="s">
        <v>553</v>
      </c>
      <c r="D787">
        <v>372.12</v>
      </c>
      <c r="E787">
        <v>1916.9</v>
      </c>
      <c r="F787" s="20">
        <f t="shared" si="89"/>
        <v>5.1512952810921213</v>
      </c>
      <c r="G787" t="str">
        <f t="shared" si="87"/>
        <v>outubro</v>
      </c>
      <c r="H787">
        <f t="shared" si="88"/>
        <v>2023</v>
      </c>
    </row>
    <row r="788" spans="1:8" hidden="1" x14ac:dyDescent="0.25">
      <c r="A788">
        <v>4032206</v>
      </c>
      <c r="B788" s="1">
        <v>45200</v>
      </c>
      <c r="C788" t="s">
        <v>555</v>
      </c>
      <c r="D788">
        <v>35.97</v>
      </c>
      <c r="E788">
        <v>192.37</v>
      </c>
      <c r="F788" s="20">
        <f t="shared" si="89"/>
        <v>5.3480678343063666</v>
      </c>
      <c r="G788" t="str">
        <f t="shared" si="87"/>
        <v>outubro</v>
      </c>
      <c r="H788">
        <f t="shared" si="88"/>
        <v>2023</v>
      </c>
    </row>
    <row r="789" spans="1:8" hidden="1" x14ac:dyDescent="0.25">
      <c r="A789">
        <v>4032312</v>
      </c>
      <c r="B789" s="1">
        <v>45200</v>
      </c>
      <c r="C789" t="s">
        <v>252</v>
      </c>
      <c r="D789">
        <v>562.45000000000005</v>
      </c>
      <c r="E789">
        <v>2358.7199999999998</v>
      </c>
      <c r="F789" s="20">
        <f t="shared" si="89"/>
        <v>4.1936527691350332</v>
      </c>
      <c r="G789" t="str">
        <f t="shared" si="87"/>
        <v>outubro</v>
      </c>
      <c r="H789">
        <f t="shared" si="88"/>
        <v>2023</v>
      </c>
    </row>
    <row r="790" spans="1:8" hidden="1" x14ac:dyDescent="0.25">
      <c r="A790">
        <v>4032404</v>
      </c>
      <c r="B790" s="1">
        <v>45200</v>
      </c>
      <c r="C790" t="s">
        <v>254</v>
      </c>
      <c r="D790">
        <v>69.41</v>
      </c>
      <c r="E790">
        <v>300.20999999999998</v>
      </c>
      <c r="F790" s="20">
        <f t="shared" si="89"/>
        <v>4.3251692839648461</v>
      </c>
      <c r="G790" t="str">
        <f t="shared" si="87"/>
        <v>outubro</v>
      </c>
      <c r="H790">
        <f t="shared" si="88"/>
        <v>2023</v>
      </c>
    </row>
    <row r="791" spans="1:8" hidden="1" x14ac:dyDescent="0.25">
      <c r="A791">
        <v>4032500</v>
      </c>
      <c r="B791" s="1">
        <v>45200</v>
      </c>
      <c r="C791" t="s">
        <v>256</v>
      </c>
      <c r="D791">
        <v>315.89999999999998</v>
      </c>
      <c r="E791">
        <v>872.4</v>
      </c>
      <c r="F791" s="20">
        <f t="shared" si="89"/>
        <v>2.7616334283000952</v>
      </c>
      <c r="G791" t="str">
        <f t="shared" si="87"/>
        <v>outubro</v>
      </c>
      <c r="H791">
        <f t="shared" si="88"/>
        <v>2023</v>
      </c>
    </row>
    <row r="792" spans="1:8" hidden="1" x14ac:dyDescent="0.25">
      <c r="A792">
        <v>4032611</v>
      </c>
      <c r="B792" s="1">
        <v>45200</v>
      </c>
      <c r="C792" t="s">
        <v>258</v>
      </c>
      <c r="D792">
        <v>276.77999999999997</v>
      </c>
      <c r="E792">
        <v>772.55</v>
      </c>
      <c r="F792" s="20">
        <f t="shared" si="89"/>
        <v>2.7912060119950866</v>
      </c>
      <c r="G792" t="str">
        <f t="shared" si="87"/>
        <v>outubro</v>
      </c>
      <c r="H792">
        <f t="shared" si="88"/>
        <v>2023</v>
      </c>
    </row>
    <row r="793" spans="1:8" hidden="1" x14ac:dyDescent="0.25">
      <c r="A793">
        <v>4032704</v>
      </c>
      <c r="B793" s="1">
        <v>45200</v>
      </c>
      <c r="C793" t="s">
        <v>260</v>
      </c>
      <c r="D793">
        <v>319.45999999999998</v>
      </c>
      <c r="E793">
        <v>970.84</v>
      </c>
      <c r="F793" s="20">
        <f t="shared" si="89"/>
        <v>3.0390033180992928</v>
      </c>
      <c r="G793" t="str">
        <f t="shared" si="87"/>
        <v>outubro</v>
      </c>
      <c r="H793">
        <f t="shared" si="88"/>
        <v>2023</v>
      </c>
    </row>
    <row r="794" spans="1:8" hidden="1" x14ac:dyDescent="0.25">
      <c r="A794">
        <v>4032800</v>
      </c>
      <c r="B794" s="1">
        <v>45200</v>
      </c>
      <c r="C794" t="s">
        <v>262</v>
      </c>
      <c r="D794">
        <v>240.04</v>
      </c>
      <c r="E794">
        <v>1309.7</v>
      </c>
      <c r="F794" s="20">
        <f t="shared" si="89"/>
        <v>5.4561739710048327</v>
      </c>
      <c r="G794" t="str">
        <f t="shared" si="87"/>
        <v>outubro</v>
      </c>
      <c r="H794">
        <f t="shared" si="88"/>
        <v>2023</v>
      </c>
    </row>
    <row r="795" spans="1:8" hidden="1" x14ac:dyDescent="0.25">
      <c r="A795">
        <v>4032902</v>
      </c>
      <c r="B795" s="1">
        <v>45200</v>
      </c>
      <c r="C795" t="s">
        <v>264</v>
      </c>
      <c r="D795">
        <v>371.33</v>
      </c>
      <c r="E795">
        <v>1964.05</v>
      </c>
      <c r="F795" s="20">
        <f t="shared" si="89"/>
        <v>5.289230603506315</v>
      </c>
      <c r="G795" t="str">
        <f t="shared" si="87"/>
        <v>outubro</v>
      </c>
      <c r="H795">
        <f t="shared" si="88"/>
        <v>2023</v>
      </c>
    </row>
    <row r="796" spans="1:8" hidden="1" x14ac:dyDescent="0.25">
      <c r="A796">
        <v>4033011</v>
      </c>
      <c r="B796" s="1">
        <v>45200</v>
      </c>
      <c r="C796" t="s">
        <v>266</v>
      </c>
      <c r="D796">
        <v>93.77</v>
      </c>
      <c r="E796">
        <v>482.9</v>
      </c>
      <c r="F796" s="20">
        <f t="shared" si="89"/>
        <v>5.1498347019302546</v>
      </c>
      <c r="G796" t="str">
        <f t="shared" si="87"/>
        <v>outubro</v>
      </c>
      <c r="H796">
        <f t="shared" si="88"/>
        <v>2023</v>
      </c>
    </row>
    <row r="797" spans="1:8" hidden="1" x14ac:dyDescent="0.25">
      <c r="A797">
        <v>4033111</v>
      </c>
      <c r="B797" s="1">
        <v>45200</v>
      </c>
      <c r="C797" t="s">
        <v>268</v>
      </c>
      <c r="D797">
        <v>338</v>
      </c>
      <c r="E797">
        <v>1448.27</v>
      </c>
      <c r="F797" s="20">
        <f t="shared" si="89"/>
        <v>4.2848224852071004</v>
      </c>
      <c r="G797" t="str">
        <f t="shared" si="87"/>
        <v>outubro</v>
      </c>
      <c r="H797">
        <f t="shared" si="88"/>
        <v>2023</v>
      </c>
    </row>
    <row r="798" spans="1:8" hidden="1" x14ac:dyDescent="0.25">
      <c r="A798">
        <v>4033211</v>
      </c>
      <c r="B798" s="1">
        <v>45200</v>
      </c>
      <c r="C798" t="s">
        <v>270</v>
      </c>
      <c r="D798">
        <v>62.26</v>
      </c>
      <c r="E798">
        <v>283.54000000000002</v>
      </c>
      <c r="F798" s="20">
        <f t="shared" si="89"/>
        <v>4.5541278509476397</v>
      </c>
      <c r="G798" t="str">
        <f t="shared" si="87"/>
        <v>outubro</v>
      </c>
      <c r="H798">
        <f t="shared" si="88"/>
        <v>2023</v>
      </c>
    </row>
    <row r="799" spans="1:8" hidden="1" x14ac:dyDescent="0.25">
      <c r="A799">
        <v>4033311</v>
      </c>
      <c r="B799" s="1">
        <v>45200</v>
      </c>
      <c r="C799" t="s">
        <v>272</v>
      </c>
      <c r="D799">
        <v>10.56</v>
      </c>
      <c r="E799">
        <v>65.72</v>
      </c>
      <c r="F799" s="20">
        <f t="shared" si="89"/>
        <v>6.2234848484848477</v>
      </c>
      <c r="G799" t="str">
        <f t="shared" si="87"/>
        <v>outubro</v>
      </c>
      <c r="H799">
        <f t="shared" si="88"/>
        <v>2023</v>
      </c>
    </row>
    <row r="800" spans="1:8" hidden="1" x14ac:dyDescent="0.25">
      <c r="A800">
        <v>4033400</v>
      </c>
      <c r="B800" s="1">
        <v>45200</v>
      </c>
      <c r="C800" t="s">
        <v>274</v>
      </c>
      <c r="D800">
        <v>1354.39</v>
      </c>
      <c r="E800">
        <v>3952.88</v>
      </c>
      <c r="F800" s="20">
        <f t="shared" si="89"/>
        <v>2.9185685068554847</v>
      </c>
      <c r="G800" t="str">
        <f t="shared" ref="G800:G806" si="90">TEXT(B800,"mmmm")</f>
        <v>outubro</v>
      </c>
      <c r="H800">
        <f t="shared" ref="H800:H806" si="91">YEAR(B800)</f>
        <v>2023</v>
      </c>
    </row>
    <row r="801" spans="1:8" hidden="1" x14ac:dyDescent="0.25">
      <c r="A801">
        <v>4033511</v>
      </c>
      <c r="B801" s="1">
        <v>45200</v>
      </c>
      <c r="C801" t="s">
        <v>276</v>
      </c>
      <c r="D801">
        <v>2239.4299999999998</v>
      </c>
      <c r="E801">
        <v>7084.55</v>
      </c>
      <c r="F801" s="20">
        <f t="shared" si="89"/>
        <v>3.1635505463443825</v>
      </c>
      <c r="G801" t="str">
        <f t="shared" si="90"/>
        <v>outubro</v>
      </c>
      <c r="H801">
        <f t="shared" si="91"/>
        <v>2023</v>
      </c>
    </row>
    <row r="802" spans="1:8" hidden="1" x14ac:dyDescent="0.25">
      <c r="A802">
        <v>4033900</v>
      </c>
      <c r="B802" s="1">
        <v>45200</v>
      </c>
      <c r="C802" t="s">
        <v>725</v>
      </c>
      <c r="D802">
        <v>31.22</v>
      </c>
      <c r="E802">
        <v>160.18</v>
      </c>
      <c r="F802" s="20">
        <f t="shared" si="89"/>
        <v>5.1306854580397188</v>
      </c>
      <c r="G802" t="str">
        <f t="shared" si="90"/>
        <v>outubro</v>
      </c>
      <c r="H802">
        <f t="shared" si="91"/>
        <v>2023</v>
      </c>
    </row>
    <row r="803" spans="1:8" hidden="1" x14ac:dyDescent="0.25">
      <c r="A803">
        <v>4034011</v>
      </c>
      <c r="B803" s="1">
        <v>45200</v>
      </c>
      <c r="C803" t="s">
        <v>726</v>
      </c>
      <c r="D803">
        <v>701.16</v>
      </c>
      <c r="E803">
        <v>3658.35</v>
      </c>
      <c r="F803" s="20">
        <f t="shared" si="89"/>
        <v>5.2175680301215133</v>
      </c>
      <c r="G803" t="str">
        <f t="shared" si="90"/>
        <v>outubro</v>
      </c>
      <c r="H803">
        <f t="shared" si="91"/>
        <v>2023</v>
      </c>
    </row>
    <row r="804" spans="1:8" hidden="1" x14ac:dyDescent="0.25">
      <c r="A804">
        <v>4034211</v>
      </c>
      <c r="B804" s="1">
        <v>45200</v>
      </c>
      <c r="C804" t="s">
        <v>728</v>
      </c>
      <c r="D804">
        <v>156.47999999999999</v>
      </c>
      <c r="E804">
        <v>676.39</v>
      </c>
      <c r="F804" s="20">
        <f t="shared" si="89"/>
        <v>4.3225332310838445</v>
      </c>
      <c r="G804" t="str">
        <f t="shared" si="90"/>
        <v>outubro</v>
      </c>
      <c r="H804">
        <f t="shared" si="91"/>
        <v>2023</v>
      </c>
    </row>
    <row r="805" spans="1:8" hidden="1" x14ac:dyDescent="0.25">
      <c r="A805">
        <v>4034400</v>
      </c>
      <c r="B805" s="1">
        <v>45200</v>
      </c>
      <c r="C805" t="s">
        <v>284</v>
      </c>
      <c r="D805">
        <v>185.8</v>
      </c>
      <c r="E805">
        <v>487.53</v>
      </c>
      <c r="F805" s="20">
        <f t="shared" si="89"/>
        <v>2.6239504843918189</v>
      </c>
      <c r="G805" t="str">
        <f t="shared" si="90"/>
        <v>outubro</v>
      </c>
      <c r="H805">
        <f t="shared" si="91"/>
        <v>2023</v>
      </c>
    </row>
    <row r="806" spans="1:8" hidden="1" x14ac:dyDescent="0.25">
      <c r="A806">
        <v>4034502</v>
      </c>
      <c r="B806" s="1">
        <v>45200</v>
      </c>
      <c r="C806" t="s">
        <v>286</v>
      </c>
      <c r="D806">
        <v>169.88</v>
      </c>
      <c r="E806">
        <v>475.86</v>
      </c>
      <c r="F806" s="20">
        <f t="shared" ref="F806" si="92">E806/D806</f>
        <v>2.8011537555921828</v>
      </c>
      <c r="G806" t="str">
        <f t="shared" si="90"/>
        <v>outubro</v>
      </c>
      <c r="H806">
        <f t="shared" si="91"/>
        <v>2023</v>
      </c>
    </row>
    <row r="807" spans="1:8" hidden="1" x14ac:dyDescent="0.25">
      <c r="A807">
        <v>3020103</v>
      </c>
      <c r="B807" s="1">
        <v>45231</v>
      </c>
      <c r="C807" t="s">
        <v>131</v>
      </c>
      <c r="D807">
        <v>6656.39</v>
      </c>
      <c r="E807">
        <v>21964.35</v>
      </c>
      <c r="F807" s="20">
        <f t="shared" ref="F807:F826" si="93">E807/D807</f>
        <v>3.299739047742094</v>
      </c>
      <c r="G807" t="str">
        <f t="shared" ref="G807:G820" si="94">TEXT(B807,"mmmm")</f>
        <v>novembro</v>
      </c>
      <c r="H807">
        <f t="shared" ref="H807:H820" si="95">YEAR(B807)</f>
        <v>2023</v>
      </c>
    </row>
    <row r="808" spans="1:8" hidden="1" x14ac:dyDescent="0.25">
      <c r="A808">
        <v>3020212</v>
      </c>
      <c r="B808" s="1">
        <v>45231</v>
      </c>
      <c r="C808" t="s">
        <v>133</v>
      </c>
      <c r="D808">
        <v>1444.91</v>
      </c>
      <c r="E808">
        <v>5358.86</v>
      </c>
      <c r="F808" s="20">
        <f t="shared" si="93"/>
        <v>3.7087846301845784</v>
      </c>
      <c r="G808" t="str">
        <f t="shared" si="94"/>
        <v>novembro</v>
      </c>
      <c r="H808">
        <f t="shared" si="95"/>
        <v>2023</v>
      </c>
    </row>
    <row r="809" spans="1:8" hidden="1" x14ac:dyDescent="0.25">
      <c r="A809">
        <v>3020214</v>
      </c>
      <c r="B809" s="1">
        <v>45231</v>
      </c>
      <c r="C809" t="s">
        <v>135</v>
      </c>
      <c r="D809">
        <v>404.21</v>
      </c>
      <c r="E809">
        <v>1437.89</v>
      </c>
      <c r="F809" s="20">
        <f t="shared" si="93"/>
        <v>3.5572845797976305</v>
      </c>
      <c r="G809" t="str">
        <f t="shared" si="94"/>
        <v>novembro</v>
      </c>
      <c r="H809">
        <f t="shared" si="95"/>
        <v>2023</v>
      </c>
    </row>
    <row r="810" spans="1:8" hidden="1" x14ac:dyDescent="0.25">
      <c r="A810">
        <v>3020315</v>
      </c>
      <c r="B810" s="1">
        <v>45231</v>
      </c>
      <c r="C810" t="s">
        <v>137</v>
      </c>
      <c r="D810">
        <v>2092.8000000000002</v>
      </c>
      <c r="E810">
        <v>7409.46</v>
      </c>
      <c r="F810" s="20">
        <f t="shared" si="93"/>
        <v>3.5404529816513759</v>
      </c>
      <c r="G810" t="str">
        <f t="shared" si="94"/>
        <v>novembro</v>
      </c>
      <c r="H810">
        <f t="shared" si="95"/>
        <v>2023</v>
      </c>
    </row>
    <row r="811" spans="1:8" hidden="1" x14ac:dyDescent="0.25">
      <c r="A811">
        <v>3020316</v>
      </c>
      <c r="B811" s="1">
        <v>45231</v>
      </c>
      <c r="C811" t="s">
        <v>139</v>
      </c>
      <c r="D811">
        <v>170.77</v>
      </c>
      <c r="E811">
        <v>543.04</v>
      </c>
      <c r="F811" s="20">
        <f t="shared" si="93"/>
        <v>3.1799496398664866</v>
      </c>
      <c r="G811" t="str">
        <f t="shared" si="94"/>
        <v>novembro</v>
      </c>
      <c r="H811">
        <f t="shared" si="95"/>
        <v>2023</v>
      </c>
    </row>
    <row r="812" spans="1:8" hidden="1" x14ac:dyDescent="0.25">
      <c r="A812">
        <v>3020402</v>
      </c>
      <c r="B812" s="1">
        <v>45231</v>
      </c>
      <c r="C812" t="s">
        <v>141</v>
      </c>
      <c r="D812">
        <v>2513.87</v>
      </c>
      <c r="E812">
        <v>8962.7199999999993</v>
      </c>
      <c r="F812" s="20">
        <f t="shared" si="93"/>
        <v>3.5653076730300293</v>
      </c>
      <c r="G812" t="str">
        <f t="shared" si="94"/>
        <v>novembro</v>
      </c>
      <c r="H812">
        <f t="shared" si="95"/>
        <v>2023</v>
      </c>
    </row>
    <row r="813" spans="1:8" hidden="1" x14ac:dyDescent="0.25">
      <c r="A813">
        <v>3020504</v>
      </c>
      <c r="B813" s="1">
        <v>45231</v>
      </c>
      <c r="C813" t="s">
        <v>143</v>
      </c>
      <c r="D813">
        <v>457.09</v>
      </c>
      <c r="E813">
        <v>1715.68</v>
      </c>
      <c r="F813" s="20">
        <f t="shared" si="93"/>
        <v>3.7534839965871059</v>
      </c>
      <c r="G813" t="str">
        <f t="shared" si="94"/>
        <v>novembro</v>
      </c>
      <c r="H813">
        <f t="shared" si="95"/>
        <v>2023</v>
      </c>
    </row>
    <row r="814" spans="1:8" hidden="1" x14ac:dyDescent="0.25">
      <c r="A814">
        <v>3020622</v>
      </c>
      <c r="B814" s="1">
        <v>45231</v>
      </c>
      <c r="C814" t="s">
        <v>145</v>
      </c>
      <c r="D814">
        <v>5481.45</v>
      </c>
      <c r="E814">
        <v>20278.87</v>
      </c>
      <c r="F814" s="20">
        <f t="shared" si="93"/>
        <v>3.6995448284669203</v>
      </c>
      <c r="G814" t="str">
        <f t="shared" si="94"/>
        <v>novembro</v>
      </c>
      <c r="H814">
        <f t="shared" si="95"/>
        <v>2023</v>
      </c>
    </row>
    <row r="815" spans="1:8" hidden="1" x14ac:dyDescent="0.25">
      <c r="A815">
        <v>3020623</v>
      </c>
      <c r="B815" s="1">
        <v>45231</v>
      </c>
      <c r="C815" t="s">
        <v>147</v>
      </c>
      <c r="D815">
        <v>784.77</v>
      </c>
      <c r="E815">
        <v>3029.23</v>
      </c>
      <c r="F815" s="20">
        <f t="shared" si="93"/>
        <v>3.86002268180486</v>
      </c>
      <c r="G815" t="str">
        <f t="shared" si="94"/>
        <v>novembro</v>
      </c>
      <c r="H815">
        <f t="shared" si="95"/>
        <v>2023</v>
      </c>
    </row>
    <row r="816" spans="1:8" hidden="1" x14ac:dyDescent="0.25">
      <c r="A816">
        <v>3020725</v>
      </c>
      <c r="B816" s="1">
        <v>45231</v>
      </c>
      <c r="C816" t="s">
        <v>149</v>
      </c>
      <c r="D816">
        <v>567.17999999999995</v>
      </c>
      <c r="E816">
        <v>2135.2800000000002</v>
      </c>
      <c r="F816" s="20">
        <f t="shared" si="93"/>
        <v>3.7647307732994824</v>
      </c>
      <c r="G816" t="str">
        <f t="shared" si="94"/>
        <v>novembro</v>
      </c>
      <c r="H816">
        <f t="shared" si="95"/>
        <v>2023</v>
      </c>
    </row>
    <row r="817" spans="1:8" hidden="1" x14ac:dyDescent="0.25">
      <c r="A817">
        <v>3020823</v>
      </c>
      <c r="B817" s="1">
        <v>45231</v>
      </c>
      <c r="C817" t="s">
        <v>151</v>
      </c>
      <c r="D817">
        <v>1734.43</v>
      </c>
      <c r="E817">
        <v>6535.96</v>
      </c>
      <c r="F817" s="20">
        <f t="shared" si="93"/>
        <v>3.7683619402339672</v>
      </c>
      <c r="G817" t="str">
        <f t="shared" si="94"/>
        <v>novembro</v>
      </c>
      <c r="H817">
        <f t="shared" si="95"/>
        <v>2023</v>
      </c>
    </row>
    <row r="818" spans="1:8" hidden="1" x14ac:dyDescent="0.25">
      <c r="A818">
        <v>3020824</v>
      </c>
      <c r="B818" s="1">
        <v>45231</v>
      </c>
      <c r="C818" t="s">
        <v>153</v>
      </c>
      <c r="D818">
        <v>2051.7199999999998</v>
      </c>
      <c r="E818">
        <v>7175.1</v>
      </c>
      <c r="F818" s="20">
        <f t="shared" si="93"/>
        <v>3.4971146160294784</v>
      </c>
      <c r="G818" t="str">
        <f t="shared" si="94"/>
        <v>novembro</v>
      </c>
      <c r="H818">
        <f t="shared" si="95"/>
        <v>2023</v>
      </c>
    </row>
    <row r="819" spans="1:8" hidden="1" x14ac:dyDescent="0.25">
      <c r="A819">
        <v>3020825</v>
      </c>
      <c r="B819" s="1">
        <v>45231</v>
      </c>
      <c r="C819" t="s">
        <v>455</v>
      </c>
      <c r="D819">
        <v>698.43</v>
      </c>
      <c r="E819">
        <v>2863.6</v>
      </c>
      <c r="F819" s="20">
        <f t="shared" si="93"/>
        <v>4.1000529759603683</v>
      </c>
      <c r="G819" t="str">
        <f t="shared" si="94"/>
        <v>novembro</v>
      </c>
      <c r="H819">
        <f t="shared" si="95"/>
        <v>2023</v>
      </c>
    </row>
    <row r="820" spans="1:8" hidden="1" x14ac:dyDescent="0.25">
      <c r="A820">
        <v>3020924</v>
      </c>
      <c r="B820" s="1">
        <v>45231</v>
      </c>
      <c r="C820" t="s">
        <v>155</v>
      </c>
      <c r="D820">
        <v>1461.52</v>
      </c>
      <c r="E820">
        <v>5612.8</v>
      </c>
      <c r="F820" s="20">
        <f t="shared" si="93"/>
        <v>3.8403853522360283</v>
      </c>
      <c r="G820" t="str">
        <f t="shared" si="94"/>
        <v>novembro</v>
      </c>
      <c r="H820">
        <f t="shared" si="95"/>
        <v>2023</v>
      </c>
    </row>
    <row r="821" spans="1:8" hidden="1" x14ac:dyDescent="0.25">
      <c r="A821">
        <v>3020925</v>
      </c>
      <c r="B821" s="1">
        <v>45231</v>
      </c>
      <c r="C821" t="s">
        <v>157</v>
      </c>
      <c r="D821">
        <v>1336.1</v>
      </c>
      <c r="E821">
        <v>5034.7299999999996</v>
      </c>
      <c r="F821" s="20">
        <f t="shared" si="93"/>
        <v>3.7682284260160168</v>
      </c>
      <c r="G821" t="str">
        <f t="shared" ref="G821:G881" si="96">TEXT(B821,"mmmm")</f>
        <v>novembro</v>
      </c>
      <c r="H821">
        <f t="shared" ref="H821:H881" si="97">YEAR(B821)</f>
        <v>2023</v>
      </c>
    </row>
    <row r="822" spans="1:8" hidden="1" x14ac:dyDescent="0.25">
      <c r="A822">
        <v>3021436</v>
      </c>
      <c r="B822" s="1">
        <v>45231</v>
      </c>
      <c r="C822" t="s">
        <v>546</v>
      </c>
      <c r="D822">
        <v>371.52</v>
      </c>
      <c r="E822">
        <v>1207.98</v>
      </c>
      <c r="F822" s="20">
        <f t="shared" si="93"/>
        <v>3.2514534883720931</v>
      </c>
      <c r="G822" t="str">
        <f t="shared" si="96"/>
        <v>novembro</v>
      </c>
      <c r="H822">
        <f t="shared" si="97"/>
        <v>2023</v>
      </c>
    </row>
    <row r="823" spans="1:8" hidden="1" x14ac:dyDescent="0.25">
      <c r="A823">
        <v>3021538</v>
      </c>
      <c r="B823" s="1">
        <v>45231</v>
      </c>
      <c r="C823" t="s">
        <v>548</v>
      </c>
      <c r="D823">
        <v>52.36</v>
      </c>
      <c r="E823">
        <v>156.33000000000001</v>
      </c>
      <c r="F823" s="20">
        <f t="shared" si="93"/>
        <v>2.9856760886172653</v>
      </c>
      <c r="G823" t="str">
        <f t="shared" si="96"/>
        <v>novembro</v>
      </c>
      <c r="H823">
        <f t="shared" si="97"/>
        <v>2023</v>
      </c>
    </row>
    <row r="824" spans="1:8" hidden="1" x14ac:dyDescent="0.25">
      <c r="A824">
        <v>3021639</v>
      </c>
      <c r="B824" s="1">
        <v>45231</v>
      </c>
      <c r="C824" t="s">
        <v>457</v>
      </c>
      <c r="D824">
        <v>22.4</v>
      </c>
      <c r="E824">
        <v>69.44</v>
      </c>
      <c r="F824" s="20">
        <f t="shared" si="93"/>
        <v>3.1</v>
      </c>
      <c r="G824" t="str">
        <f t="shared" si="96"/>
        <v>novembro</v>
      </c>
      <c r="H824">
        <f t="shared" si="97"/>
        <v>2023</v>
      </c>
    </row>
    <row r="825" spans="1:8" hidden="1" x14ac:dyDescent="0.25">
      <c r="A825">
        <v>3021739</v>
      </c>
      <c r="B825" s="1">
        <v>45231</v>
      </c>
      <c r="C825" t="s">
        <v>165</v>
      </c>
      <c r="D825">
        <v>-2.88</v>
      </c>
      <c r="E825">
        <v>-8.06</v>
      </c>
      <c r="F825" s="20">
        <f t="shared" si="93"/>
        <v>2.7986111111111116</v>
      </c>
      <c r="G825" t="str">
        <f t="shared" si="96"/>
        <v>novembro</v>
      </c>
      <c r="H825">
        <f t="shared" si="97"/>
        <v>2023</v>
      </c>
    </row>
    <row r="826" spans="1:8" hidden="1" x14ac:dyDescent="0.25">
      <c r="A826">
        <v>3021740</v>
      </c>
      <c r="B826" s="1">
        <v>45231</v>
      </c>
      <c r="C826" t="s">
        <v>459</v>
      </c>
      <c r="D826">
        <v>940.94</v>
      </c>
      <c r="E826">
        <v>2359.9699999999998</v>
      </c>
      <c r="F826" s="20">
        <f t="shared" si="93"/>
        <v>2.5080982846940292</v>
      </c>
      <c r="G826" t="str">
        <f t="shared" si="96"/>
        <v>novembro</v>
      </c>
      <c r="H826">
        <f t="shared" si="97"/>
        <v>2023</v>
      </c>
    </row>
    <row r="827" spans="1:8" hidden="1" x14ac:dyDescent="0.25">
      <c r="A827">
        <v>3021760</v>
      </c>
      <c r="B827" s="1">
        <v>45231</v>
      </c>
      <c r="C827" t="s">
        <v>167</v>
      </c>
      <c r="D827">
        <v>2288.1</v>
      </c>
      <c r="E827">
        <v>4997.71</v>
      </c>
      <c r="F827" s="20">
        <f t="shared" ref="F827:F885" si="98">E827/D827</f>
        <v>2.1842183471002143</v>
      </c>
      <c r="G827" t="str">
        <f t="shared" si="96"/>
        <v>novembro</v>
      </c>
      <c r="H827">
        <f t="shared" si="97"/>
        <v>2023</v>
      </c>
    </row>
    <row r="828" spans="1:8" hidden="1" x14ac:dyDescent="0.25">
      <c r="A828">
        <v>3021811</v>
      </c>
      <c r="B828" s="1">
        <v>45231</v>
      </c>
      <c r="C828" t="s">
        <v>169</v>
      </c>
      <c r="D828">
        <v>829.21</v>
      </c>
      <c r="E828">
        <v>1813.64</v>
      </c>
      <c r="F828" s="20">
        <f t="shared" si="98"/>
        <v>2.1871902171946793</v>
      </c>
      <c r="G828" t="str">
        <f t="shared" si="96"/>
        <v>novembro</v>
      </c>
      <c r="H828">
        <f t="shared" si="97"/>
        <v>2023</v>
      </c>
    </row>
    <row r="829" spans="1:8" hidden="1" x14ac:dyDescent="0.25">
      <c r="A829">
        <v>3021812</v>
      </c>
      <c r="B829" s="1">
        <v>45231</v>
      </c>
      <c r="C829" t="s">
        <v>171</v>
      </c>
      <c r="D829">
        <v>1849.1</v>
      </c>
      <c r="E829">
        <v>3776.26</v>
      </c>
      <c r="F829" s="20">
        <f t="shared" si="98"/>
        <v>2.0422151316856851</v>
      </c>
      <c r="G829" t="str">
        <f t="shared" si="96"/>
        <v>novembro</v>
      </c>
      <c r="H829">
        <f t="shared" si="97"/>
        <v>2023</v>
      </c>
    </row>
    <row r="830" spans="1:8" hidden="1" x14ac:dyDescent="0.25">
      <c r="A830">
        <v>3022100</v>
      </c>
      <c r="B830" s="1">
        <v>45231</v>
      </c>
      <c r="C830" t="s">
        <v>173</v>
      </c>
      <c r="D830">
        <v>55.37</v>
      </c>
      <c r="E830">
        <v>219.35</v>
      </c>
      <c r="F830" s="20">
        <f t="shared" si="98"/>
        <v>3.9615315152609716</v>
      </c>
      <c r="G830" t="str">
        <f t="shared" si="96"/>
        <v>novembro</v>
      </c>
      <c r="H830">
        <f t="shared" si="97"/>
        <v>2023</v>
      </c>
    </row>
    <row r="831" spans="1:8" hidden="1" x14ac:dyDescent="0.25">
      <c r="A831">
        <v>3022208</v>
      </c>
      <c r="B831" s="1">
        <v>45231</v>
      </c>
      <c r="C831" t="s">
        <v>307</v>
      </c>
      <c r="D831">
        <v>113.8</v>
      </c>
      <c r="E831">
        <v>437.13</v>
      </c>
      <c r="F831" s="20">
        <f t="shared" si="98"/>
        <v>3.8412126537785589</v>
      </c>
      <c r="G831" t="str">
        <f t="shared" si="96"/>
        <v>novembro</v>
      </c>
      <c r="H831">
        <f t="shared" si="97"/>
        <v>2023</v>
      </c>
    </row>
    <row r="832" spans="1:8" hidden="1" x14ac:dyDescent="0.25">
      <c r="A832">
        <v>3022311</v>
      </c>
      <c r="B832" s="1">
        <v>45231</v>
      </c>
      <c r="C832" t="s">
        <v>176</v>
      </c>
      <c r="D832">
        <v>1886.32</v>
      </c>
      <c r="E832">
        <v>4497.6899999999996</v>
      </c>
      <c r="F832" s="20">
        <f t="shared" si="98"/>
        <v>2.3843727469358327</v>
      </c>
      <c r="G832" t="str">
        <f t="shared" si="96"/>
        <v>novembro</v>
      </c>
      <c r="H832">
        <f t="shared" si="97"/>
        <v>2023</v>
      </c>
    </row>
    <row r="833" spans="1:8" hidden="1" x14ac:dyDescent="0.25">
      <c r="A833">
        <v>3022411</v>
      </c>
      <c r="B833" s="1">
        <v>45231</v>
      </c>
      <c r="C833" t="s">
        <v>178</v>
      </c>
      <c r="D833">
        <v>46.2</v>
      </c>
      <c r="E833">
        <v>130.86000000000001</v>
      </c>
      <c r="F833" s="20">
        <f t="shared" si="98"/>
        <v>2.8324675324675326</v>
      </c>
      <c r="G833" t="str">
        <f t="shared" si="96"/>
        <v>novembro</v>
      </c>
      <c r="H833">
        <f t="shared" si="97"/>
        <v>2023</v>
      </c>
    </row>
    <row r="834" spans="1:8" hidden="1" x14ac:dyDescent="0.25">
      <c r="A834">
        <v>3022511</v>
      </c>
      <c r="B834" s="1">
        <v>45231</v>
      </c>
      <c r="C834" t="s">
        <v>180</v>
      </c>
      <c r="D834">
        <v>4.4000000000000004</v>
      </c>
      <c r="E834">
        <v>10.79</v>
      </c>
      <c r="F834" s="20">
        <f t="shared" si="98"/>
        <v>2.4522727272727267</v>
      </c>
      <c r="G834" t="str">
        <f t="shared" si="96"/>
        <v>novembro</v>
      </c>
      <c r="H834">
        <f t="shared" si="97"/>
        <v>2023</v>
      </c>
    </row>
    <row r="835" spans="1:8" hidden="1" x14ac:dyDescent="0.25">
      <c r="A835">
        <v>3022601</v>
      </c>
      <c r="B835" s="1">
        <v>45231</v>
      </c>
      <c r="C835" t="s">
        <v>182</v>
      </c>
      <c r="D835">
        <v>455.25</v>
      </c>
      <c r="E835">
        <v>1826.27</v>
      </c>
      <c r="F835" s="20">
        <f t="shared" si="98"/>
        <v>4.0115760571114771</v>
      </c>
      <c r="G835" t="str">
        <f t="shared" si="96"/>
        <v>novembro</v>
      </c>
      <c r="H835">
        <f t="shared" si="97"/>
        <v>2023</v>
      </c>
    </row>
    <row r="836" spans="1:8" hidden="1" x14ac:dyDescent="0.25">
      <c r="A836">
        <v>3022703</v>
      </c>
      <c r="B836" s="1">
        <v>45231</v>
      </c>
      <c r="C836" t="s">
        <v>309</v>
      </c>
      <c r="D836">
        <v>917</v>
      </c>
      <c r="E836">
        <v>2535.25</v>
      </c>
      <c r="F836" s="20">
        <f t="shared" si="98"/>
        <v>2.764721919302072</v>
      </c>
      <c r="G836" t="str">
        <f t="shared" si="96"/>
        <v>novembro</v>
      </c>
      <c r="H836">
        <f t="shared" si="97"/>
        <v>2023</v>
      </c>
    </row>
    <row r="837" spans="1:8" hidden="1" x14ac:dyDescent="0.25">
      <c r="A837">
        <v>3022805</v>
      </c>
      <c r="B837" s="1">
        <v>45231</v>
      </c>
      <c r="C837" t="s">
        <v>186</v>
      </c>
      <c r="D837">
        <v>2225</v>
      </c>
      <c r="E837">
        <v>4662.8999999999996</v>
      </c>
      <c r="F837" s="20">
        <f t="shared" si="98"/>
        <v>2.0956853932584267</v>
      </c>
      <c r="G837" t="str">
        <f t="shared" si="96"/>
        <v>novembro</v>
      </c>
      <c r="H837">
        <f t="shared" si="97"/>
        <v>2023</v>
      </c>
    </row>
    <row r="838" spans="1:8" hidden="1" x14ac:dyDescent="0.25">
      <c r="A838">
        <v>3022906</v>
      </c>
      <c r="B838" s="1">
        <v>45231</v>
      </c>
      <c r="C838" t="s">
        <v>188</v>
      </c>
      <c r="D838">
        <v>3880</v>
      </c>
      <c r="E838">
        <v>7932.8</v>
      </c>
      <c r="F838" s="20">
        <f t="shared" si="98"/>
        <v>2.0445360824742269</v>
      </c>
      <c r="G838" t="str">
        <f t="shared" si="96"/>
        <v>novembro</v>
      </c>
      <c r="H838">
        <f t="shared" si="97"/>
        <v>2023</v>
      </c>
    </row>
    <row r="839" spans="1:8" hidden="1" x14ac:dyDescent="0.25">
      <c r="A839">
        <v>3023007</v>
      </c>
      <c r="B839" s="1">
        <v>45231</v>
      </c>
      <c r="C839" t="s">
        <v>190</v>
      </c>
      <c r="D839">
        <v>1340</v>
      </c>
      <c r="E839">
        <v>2728.8</v>
      </c>
      <c r="F839" s="20">
        <f t="shared" si="98"/>
        <v>2.0364179104477613</v>
      </c>
      <c r="G839" t="str">
        <f t="shared" si="96"/>
        <v>novembro</v>
      </c>
      <c r="H839">
        <f t="shared" si="97"/>
        <v>2023</v>
      </c>
    </row>
    <row r="840" spans="1:8" hidden="1" x14ac:dyDescent="0.25">
      <c r="A840">
        <v>4030100</v>
      </c>
      <c r="B840" s="1">
        <v>45231</v>
      </c>
      <c r="C840" t="s">
        <v>200</v>
      </c>
      <c r="D840">
        <v>420.37</v>
      </c>
      <c r="E840">
        <v>2627.06</v>
      </c>
      <c r="F840" s="20">
        <f t="shared" si="98"/>
        <v>6.249399338677831</v>
      </c>
      <c r="G840" t="str">
        <f t="shared" si="96"/>
        <v>novembro</v>
      </c>
      <c r="H840">
        <f t="shared" si="97"/>
        <v>2023</v>
      </c>
    </row>
    <row r="841" spans="1:8" hidden="1" x14ac:dyDescent="0.25">
      <c r="A841">
        <v>4030211</v>
      </c>
      <c r="B841" s="1">
        <v>45231</v>
      </c>
      <c r="C841" t="s">
        <v>202</v>
      </c>
      <c r="D841">
        <v>1102.33</v>
      </c>
      <c r="E841">
        <v>6354.72</v>
      </c>
      <c r="F841" s="20">
        <f t="shared" si="98"/>
        <v>5.7648072718695857</v>
      </c>
      <c r="G841" t="str">
        <f t="shared" si="96"/>
        <v>novembro</v>
      </c>
      <c r="H841">
        <f t="shared" si="97"/>
        <v>2023</v>
      </c>
    </row>
    <row r="842" spans="1:8" hidden="1" x14ac:dyDescent="0.25">
      <c r="A842">
        <v>4030311</v>
      </c>
      <c r="B842" s="1">
        <v>45231</v>
      </c>
      <c r="C842" t="s">
        <v>311</v>
      </c>
      <c r="D842">
        <v>359.06</v>
      </c>
      <c r="E842">
        <v>2371.2199999999998</v>
      </c>
      <c r="F842" s="20">
        <f t="shared" si="98"/>
        <v>6.6039659109898059</v>
      </c>
      <c r="G842" t="str">
        <f t="shared" si="96"/>
        <v>novembro</v>
      </c>
      <c r="H842">
        <f t="shared" si="97"/>
        <v>2023</v>
      </c>
    </row>
    <row r="843" spans="1:8" hidden="1" x14ac:dyDescent="0.25">
      <c r="A843">
        <v>4030401</v>
      </c>
      <c r="B843" s="1">
        <v>45231</v>
      </c>
      <c r="C843" t="s">
        <v>461</v>
      </c>
      <c r="D843">
        <v>212.45</v>
      </c>
      <c r="E843">
        <v>1057.2</v>
      </c>
      <c r="F843" s="20">
        <f t="shared" si="98"/>
        <v>4.9762297011061429</v>
      </c>
      <c r="G843" t="str">
        <f t="shared" si="96"/>
        <v>novembro</v>
      </c>
      <c r="H843">
        <f t="shared" si="97"/>
        <v>2023</v>
      </c>
    </row>
    <row r="844" spans="1:8" hidden="1" x14ac:dyDescent="0.25">
      <c r="A844">
        <v>4030532</v>
      </c>
      <c r="B844" s="1">
        <v>45231</v>
      </c>
      <c r="C844" t="s">
        <v>210</v>
      </c>
      <c r="D844">
        <v>230.66</v>
      </c>
      <c r="E844">
        <v>1212</v>
      </c>
      <c r="F844" s="20">
        <f t="shared" si="98"/>
        <v>5.2544871239053155</v>
      </c>
      <c r="G844" t="str">
        <f t="shared" si="96"/>
        <v>novembro</v>
      </c>
      <c r="H844">
        <f t="shared" si="97"/>
        <v>2023</v>
      </c>
    </row>
    <row r="845" spans="1:8" hidden="1" x14ac:dyDescent="0.25">
      <c r="A845">
        <v>4030600</v>
      </c>
      <c r="B845" s="1">
        <v>45231</v>
      </c>
      <c r="C845" t="s">
        <v>212</v>
      </c>
      <c r="D845">
        <v>950.43</v>
      </c>
      <c r="E845">
        <v>2943.53</v>
      </c>
      <c r="F845" s="20">
        <f t="shared" si="98"/>
        <v>3.0970508085813795</v>
      </c>
      <c r="G845" t="str">
        <f t="shared" si="96"/>
        <v>novembro</v>
      </c>
      <c r="H845">
        <f t="shared" si="97"/>
        <v>2023</v>
      </c>
    </row>
    <row r="846" spans="1:8" hidden="1" x14ac:dyDescent="0.25">
      <c r="A846">
        <v>4030711</v>
      </c>
      <c r="B846" s="1">
        <v>45231</v>
      </c>
      <c r="C846" t="s">
        <v>214</v>
      </c>
      <c r="D846">
        <v>2852.12</v>
      </c>
      <c r="E846">
        <v>9324.5</v>
      </c>
      <c r="F846" s="20">
        <f t="shared" si="98"/>
        <v>3.2693224689003269</v>
      </c>
      <c r="G846" t="str">
        <f t="shared" si="96"/>
        <v>novembro</v>
      </c>
      <c r="H846">
        <f t="shared" si="97"/>
        <v>2023</v>
      </c>
    </row>
    <row r="847" spans="1:8" hidden="1" x14ac:dyDescent="0.25">
      <c r="A847">
        <v>4030811</v>
      </c>
      <c r="B847" s="1">
        <v>45231</v>
      </c>
      <c r="C847" t="s">
        <v>216</v>
      </c>
      <c r="D847">
        <v>1918.95</v>
      </c>
      <c r="E847">
        <v>6043.86</v>
      </c>
      <c r="F847" s="20">
        <f t="shared" si="98"/>
        <v>3.1495661689986707</v>
      </c>
      <c r="G847" t="str">
        <f t="shared" si="96"/>
        <v>novembro</v>
      </c>
      <c r="H847">
        <f t="shared" si="97"/>
        <v>2023</v>
      </c>
    </row>
    <row r="848" spans="1:8" hidden="1" x14ac:dyDescent="0.25">
      <c r="A848">
        <v>4030813</v>
      </c>
      <c r="B848" s="1">
        <v>45231</v>
      </c>
      <c r="C848" t="s">
        <v>218</v>
      </c>
      <c r="D848">
        <v>1281.8399999999999</v>
      </c>
      <c r="E848">
        <v>3771.1</v>
      </c>
      <c r="F848" s="20">
        <f t="shared" si="98"/>
        <v>2.9419428321787433</v>
      </c>
      <c r="G848" t="str">
        <f t="shared" si="96"/>
        <v>novembro</v>
      </c>
      <c r="H848">
        <f t="shared" si="97"/>
        <v>2023</v>
      </c>
    </row>
    <row r="849" spans="1:8" hidden="1" x14ac:dyDescent="0.25">
      <c r="A849">
        <v>4030900</v>
      </c>
      <c r="B849" s="1">
        <v>45231</v>
      </c>
      <c r="C849" t="s">
        <v>220</v>
      </c>
      <c r="D849">
        <v>6874.66</v>
      </c>
      <c r="E849">
        <v>20632.28</v>
      </c>
      <c r="F849" s="20">
        <f t="shared" si="98"/>
        <v>3.0012073324353494</v>
      </c>
      <c r="G849" t="str">
        <f t="shared" si="96"/>
        <v>novembro</v>
      </c>
      <c r="H849">
        <f t="shared" si="97"/>
        <v>2023</v>
      </c>
    </row>
    <row r="850" spans="1:8" hidden="1" x14ac:dyDescent="0.25">
      <c r="A850">
        <v>4030910</v>
      </c>
      <c r="B850" s="1">
        <v>45231</v>
      </c>
      <c r="C850" t="s">
        <v>222</v>
      </c>
      <c r="D850">
        <v>170.61</v>
      </c>
      <c r="E850">
        <v>541.16999999999996</v>
      </c>
      <c r="F850" s="20">
        <f t="shared" si="98"/>
        <v>3.171971162299982</v>
      </c>
      <c r="G850" t="str">
        <f t="shared" si="96"/>
        <v>novembro</v>
      </c>
      <c r="H850">
        <f t="shared" si="97"/>
        <v>2023</v>
      </c>
    </row>
    <row r="851" spans="1:8" hidden="1" x14ac:dyDescent="0.25">
      <c r="A851">
        <v>4031012</v>
      </c>
      <c r="B851" s="1">
        <v>45231</v>
      </c>
      <c r="C851" t="s">
        <v>224</v>
      </c>
      <c r="D851">
        <v>1050.98</v>
      </c>
      <c r="E851">
        <v>3224.61</v>
      </c>
      <c r="F851" s="20">
        <f t="shared" si="98"/>
        <v>3.068193495594588</v>
      </c>
      <c r="G851" t="str">
        <f t="shared" si="96"/>
        <v>novembro</v>
      </c>
      <c r="H851">
        <f t="shared" si="97"/>
        <v>2023</v>
      </c>
    </row>
    <row r="852" spans="1:8" hidden="1" x14ac:dyDescent="0.25">
      <c r="A852">
        <v>4031017</v>
      </c>
      <c r="B852" s="1">
        <v>45231</v>
      </c>
      <c r="C852" t="s">
        <v>226</v>
      </c>
      <c r="D852">
        <v>2404</v>
      </c>
      <c r="E852">
        <v>1602.39</v>
      </c>
      <c r="F852" s="20">
        <f t="shared" si="98"/>
        <v>0.66655158069883536</v>
      </c>
      <c r="G852" t="str">
        <f t="shared" si="96"/>
        <v>novembro</v>
      </c>
      <c r="H852">
        <f t="shared" si="97"/>
        <v>2023</v>
      </c>
    </row>
    <row r="853" spans="1:8" hidden="1" x14ac:dyDescent="0.25">
      <c r="A853">
        <v>4031102</v>
      </c>
      <c r="B853" s="1">
        <v>45231</v>
      </c>
      <c r="C853" t="s">
        <v>228</v>
      </c>
      <c r="D853">
        <v>11484.61</v>
      </c>
      <c r="E853">
        <v>33669.800000000003</v>
      </c>
      <c r="F853" s="20">
        <f t="shared" si="98"/>
        <v>2.9317321180257756</v>
      </c>
      <c r="G853" t="str">
        <f t="shared" si="96"/>
        <v>novembro</v>
      </c>
      <c r="H853">
        <f t="shared" si="97"/>
        <v>2023</v>
      </c>
    </row>
    <row r="854" spans="1:8" hidden="1" x14ac:dyDescent="0.25">
      <c r="A854">
        <v>4031200</v>
      </c>
      <c r="B854" s="1">
        <v>45231</v>
      </c>
      <c r="C854" t="s">
        <v>230</v>
      </c>
      <c r="D854">
        <v>1349.37</v>
      </c>
      <c r="E854">
        <v>4047.87</v>
      </c>
      <c r="F854" s="20">
        <f t="shared" si="98"/>
        <v>2.9998221392205253</v>
      </c>
      <c r="G854" t="str">
        <f t="shared" si="96"/>
        <v>novembro</v>
      </c>
      <c r="H854">
        <f t="shared" si="97"/>
        <v>2023</v>
      </c>
    </row>
    <row r="855" spans="1:8" hidden="1" x14ac:dyDescent="0.25">
      <c r="A855">
        <v>4031304</v>
      </c>
      <c r="B855" s="1">
        <v>45231</v>
      </c>
      <c r="C855" t="s">
        <v>232</v>
      </c>
      <c r="D855">
        <v>985.12</v>
      </c>
      <c r="E855">
        <v>2873.79</v>
      </c>
      <c r="F855" s="20">
        <f t="shared" si="98"/>
        <v>2.9171979048237779</v>
      </c>
      <c r="G855" t="str">
        <f t="shared" si="96"/>
        <v>novembro</v>
      </c>
      <c r="H855">
        <f t="shared" si="97"/>
        <v>2023</v>
      </c>
    </row>
    <row r="856" spans="1:8" hidden="1" x14ac:dyDescent="0.25">
      <c r="A856">
        <v>4031411</v>
      </c>
      <c r="B856" s="1">
        <v>45231</v>
      </c>
      <c r="C856" t="s">
        <v>234</v>
      </c>
      <c r="D856">
        <v>92.02</v>
      </c>
      <c r="E856">
        <v>294.18</v>
      </c>
      <c r="F856" s="20">
        <f t="shared" si="98"/>
        <v>3.1969137144099111</v>
      </c>
      <c r="G856" t="str">
        <f t="shared" si="96"/>
        <v>novembro</v>
      </c>
      <c r="H856">
        <f t="shared" si="97"/>
        <v>2023</v>
      </c>
    </row>
    <row r="857" spans="1:8" hidden="1" x14ac:dyDescent="0.25">
      <c r="A857">
        <v>4031500</v>
      </c>
      <c r="B857" s="1">
        <v>45231</v>
      </c>
      <c r="C857" t="s">
        <v>236</v>
      </c>
      <c r="D857">
        <v>6445.07</v>
      </c>
      <c r="E857">
        <v>18160.12</v>
      </c>
      <c r="F857" s="20">
        <f t="shared" si="98"/>
        <v>2.8176761462637332</v>
      </c>
      <c r="G857" t="str">
        <f t="shared" si="96"/>
        <v>novembro</v>
      </c>
      <c r="H857">
        <f t="shared" si="97"/>
        <v>2023</v>
      </c>
    </row>
    <row r="858" spans="1:8" hidden="1" x14ac:dyDescent="0.25">
      <c r="A858">
        <v>4031604</v>
      </c>
      <c r="B858" s="1">
        <v>45231</v>
      </c>
      <c r="C858" t="s">
        <v>238</v>
      </c>
      <c r="D858">
        <v>6718.92</v>
      </c>
      <c r="E858">
        <v>18185.39</v>
      </c>
      <c r="F858" s="20">
        <f t="shared" si="98"/>
        <v>2.7065942145463855</v>
      </c>
      <c r="G858" t="str">
        <f t="shared" si="96"/>
        <v>novembro</v>
      </c>
      <c r="H858">
        <f t="shared" si="97"/>
        <v>2023</v>
      </c>
    </row>
    <row r="859" spans="1:8" hidden="1" x14ac:dyDescent="0.25">
      <c r="A859">
        <v>4031605</v>
      </c>
      <c r="B859" s="1">
        <v>45231</v>
      </c>
      <c r="C859" t="s">
        <v>240</v>
      </c>
      <c r="D859">
        <v>125.2</v>
      </c>
      <c r="E859">
        <v>403.88</v>
      </c>
      <c r="F859" s="20">
        <f t="shared" si="98"/>
        <v>3.2258785942492012</v>
      </c>
      <c r="G859" t="str">
        <f t="shared" si="96"/>
        <v>novembro</v>
      </c>
      <c r="H859">
        <f t="shared" si="97"/>
        <v>2023</v>
      </c>
    </row>
    <row r="860" spans="1:8" hidden="1" x14ac:dyDescent="0.25">
      <c r="A860">
        <v>4031700</v>
      </c>
      <c r="B860" s="1">
        <v>45231</v>
      </c>
      <c r="C860" t="s">
        <v>242</v>
      </c>
      <c r="D860">
        <v>824.9</v>
      </c>
      <c r="E860">
        <v>2447</v>
      </c>
      <c r="F860" s="20">
        <f t="shared" si="98"/>
        <v>2.9664201721420778</v>
      </c>
      <c r="G860" t="str">
        <f t="shared" si="96"/>
        <v>novembro</v>
      </c>
      <c r="H860">
        <f t="shared" si="97"/>
        <v>2023</v>
      </c>
    </row>
    <row r="861" spans="1:8" hidden="1" x14ac:dyDescent="0.25">
      <c r="A861">
        <v>4031812</v>
      </c>
      <c r="B861" s="1">
        <v>45231</v>
      </c>
      <c r="C861" t="s">
        <v>244</v>
      </c>
      <c r="D861">
        <v>458.54</v>
      </c>
      <c r="E861">
        <v>1405.1</v>
      </c>
      <c r="F861" s="20">
        <f t="shared" si="98"/>
        <v>3.0642910105988568</v>
      </c>
      <c r="G861" t="str">
        <f t="shared" si="96"/>
        <v>novembro</v>
      </c>
      <c r="H861">
        <f t="shared" si="97"/>
        <v>2023</v>
      </c>
    </row>
    <row r="862" spans="1:8" hidden="1" x14ac:dyDescent="0.25">
      <c r="A862">
        <v>4031813</v>
      </c>
      <c r="B862" s="1">
        <v>45231</v>
      </c>
      <c r="C862" t="s">
        <v>464</v>
      </c>
      <c r="D862">
        <v>350</v>
      </c>
      <c r="E862">
        <v>234.5</v>
      </c>
      <c r="F862" s="20">
        <f t="shared" si="98"/>
        <v>0.67</v>
      </c>
      <c r="G862" t="str">
        <f t="shared" si="96"/>
        <v>novembro</v>
      </c>
      <c r="H862">
        <f t="shared" si="97"/>
        <v>2023</v>
      </c>
    </row>
    <row r="863" spans="1:8" hidden="1" x14ac:dyDescent="0.25">
      <c r="A863">
        <v>4031904</v>
      </c>
      <c r="B863" s="1">
        <v>45231</v>
      </c>
      <c r="C863" t="s">
        <v>246</v>
      </c>
      <c r="D863">
        <v>1304.94</v>
      </c>
      <c r="E863">
        <v>3849.68</v>
      </c>
      <c r="F863" s="20">
        <f t="shared" si="98"/>
        <v>2.9500819961071003</v>
      </c>
      <c r="G863" t="str">
        <f t="shared" si="96"/>
        <v>novembro</v>
      </c>
      <c r="H863">
        <f t="shared" si="97"/>
        <v>2023</v>
      </c>
    </row>
    <row r="864" spans="1:8" hidden="1" x14ac:dyDescent="0.25">
      <c r="A864">
        <v>4032111</v>
      </c>
      <c r="B864" s="1">
        <v>45231</v>
      </c>
      <c r="C864" t="s">
        <v>314</v>
      </c>
      <c r="D864">
        <v>13.75</v>
      </c>
      <c r="E864">
        <v>63.04</v>
      </c>
      <c r="F864" s="20">
        <f t="shared" si="98"/>
        <v>4.5847272727272728</v>
      </c>
      <c r="G864" t="str">
        <f t="shared" si="96"/>
        <v>novembro</v>
      </c>
      <c r="H864">
        <f t="shared" si="97"/>
        <v>2023</v>
      </c>
    </row>
    <row r="865" spans="1:8" hidden="1" x14ac:dyDescent="0.25">
      <c r="A865">
        <v>4032204</v>
      </c>
      <c r="B865" s="1">
        <v>45231</v>
      </c>
      <c r="C865" t="s">
        <v>315</v>
      </c>
      <c r="D865">
        <v>40.68</v>
      </c>
      <c r="E865">
        <v>213.1</v>
      </c>
      <c r="F865" s="20">
        <f t="shared" si="98"/>
        <v>5.2384464110127826</v>
      </c>
      <c r="G865" t="str">
        <f t="shared" si="96"/>
        <v>novembro</v>
      </c>
      <c r="H865">
        <f t="shared" si="97"/>
        <v>2023</v>
      </c>
    </row>
    <row r="866" spans="1:8" hidden="1" x14ac:dyDescent="0.25">
      <c r="A866">
        <v>4032205</v>
      </c>
      <c r="B866" s="1">
        <v>45231</v>
      </c>
      <c r="C866" t="s">
        <v>553</v>
      </c>
      <c r="D866">
        <v>98.29</v>
      </c>
      <c r="E866">
        <v>508.61</v>
      </c>
      <c r="F866" s="20">
        <f t="shared" si="98"/>
        <v>5.1745854105198896</v>
      </c>
      <c r="G866" t="str">
        <f t="shared" si="96"/>
        <v>novembro</v>
      </c>
      <c r="H866">
        <f t="shared" si="97"/>
        <v>2023</v>
      </c>
    </row>
    <row r="867" spans="1:8" hidden="1" x14ac:dyDescent="0.25">
      <c r="A867">
        <v>4032206</v>
      </c>
      <c r="B867" s="1">
        <v>45231</v>
      </c>
      <c r="C867" t="s">
        <v>555</v>
      </c>
      <c r="D867">
        <v>105.25</v>
      </c>
      <c r="E867">
        <v>552.54</v>
      </c>
      <c r="F867" s="20">
        <f t="shared" si="98"/>
        <v>5.2497862232779093</v>
      </c>
      <c r="G867" t="str">
        <f t="shared" si="96"/>
        <v>novembro</v>
      </c>
      <c r="H867">
        <f t="shared" si="97"/>
        <v>2023</v>
      </c>
    </row>
    <row r="868" spans="1:8" hidden="1" x14ac:dyDescent="0.25">
      <c r="A868">
        <v>4032312</v>
      </c>
      <c r="B868" s="1">
        <v>45231</v>
      </c>
      <c r="C868" t="s">
        <v>252</v>
      </c>
      <c r="D868">
        <v>470.34</v>
      </c>
      <c r="E868">
        <v>1993.52</v>
      </c>
      <c r="F868" s="20">
        <f t="shared" si="98"/>
        <v>4.2384657907045966</v>
      </c>
      <c r="G868" t="str">
        <f t="shared" si="96"/>
        <v>novembro</v>
      </c>
      <c r="H868">
        <f t="shared" si="97"/>
        <v>2023</v>
      </c>
    </row>
    <row r="869" spans="1:8" hidden="1" x14ac:dyDescent="0.25">
      <c r="A869">
        <v>4032404</v>
      </c>
      <c r="B869" s="1">
        <v>45231</v>
      </c>
      <c r="C869" t="s">
        <v>254</v>
      </c>
      <c r="D869">
        <v>113.1</v>
      </c>
      <c r="E869">
        <v>484.73</v>
      </c>
      <c r="F869" s="20">
        <f t="shared" si="98"/>
        <v>4.285853227232538</v>
      </c>
      <c r="G869" t="str">
        <f t="shared" si="96"/>
        <v>novembro</v>
      </c>
      <c r="H869">
        <f t="shared" si="97"/>
        <v>2023</v>
      </c>
    </row>
    <row r="870" spans="1:8" hidden="1" x14ac:dyDescent="0.25">
      <c r="A870">
        <v>4032500</v>
      </c>
      <c r="B870" s="1">
        <v>45231</v>
      </c>
      <c r="C870" t="s">
        <v>256</v>
      </c>
      <c r="D870">
        <v>405.5</v>
      </c>
      <c r="E870">
        <v>1114.07</v>
      </c>
      <c r="F870" s="20">
        <f t="shared" si="98"/>
        <v>2.747398273736128</v>
      </c>
      <c r="G870" t="str">
        <f t="shared" si="96"/>
        <v>novembro</v>
      </c>
      <c r="H870">
        <f t="shared" si="97"/>
        <v>2023</v>
      </c>
    </row>
    <row r="871" spans="1:8" hidden="1" x14ac:dyDescent="0.25">
      <c r="A871">
        <v>4032611</v>
      </c>
      <c r="B871" s="1">
        <v>45231</v>
      </c>
      <c r="C871" t="s">
        <v>258</v>
      </c>
      <c r="D871">
        <v>81.99</v>
      </c>
      <c r="E871">
        <v>255.38</v>
      </c>
      <c r="F871" s="20">
        <f t="shared" si="98"/>
        <v>3.1147700939138923</v>
      </c>
      <c r="G871" t="str">
        <f t="shared" si="96"/>
        <v>novembro</v>
      </c>
      <c r="H871">
        <f t="shared" si="97"/>
        <v>2023</v>
      </c>
    </row>
    <row r="872" spans="1:8" hidden="1" x14ac:dyDescent="0.25">
      <c r="A872">
        <v>4032704</v>
      </c>
      <c r="B872" s="1">
        <v>45231</v>
      </c>
      <c r="C872" t="s">
        <v>260</v>
      </c>
      <c r="D872">
        <v>537.86</v>
      </c>
      <c r="E872">
        <v>1593.11</v>
      </c>
      <c r="F872" s="20">
        <f t="shared" si="98"/>
        <v>2.9619417692336292</v>
      </c>
      <c r="G872" t="str">
        <f t="shared" si="96"/>
        <v>novembro</v>
      </c>
      <c r="H872">
        <f t="shared" si="97"/>
        <v>2023</v>
      </c>
    </row>
    <row r="873" spans="1:8" hidden="1" x14ac:dyDescent="0.25">
      <c r="A873">
        <v>4032800</v>
      </c>
      <c r="B873" s="1">
        <v>45231</v>
      </c>
      <c r="C873" t="s">
        <v>262</v>
      </c>
      <c r="D873">
        <v>193.15</v>
      </c>
      <c r="E873">
        <v>1039.69</v>
      </c>
      <c r="F873" s="20">
        <f t="shared" si="98"/>
        <v>5.3828112865648459</v>
      </c>
      <c r="G873" t="str">
        <f t="shared" si="96"/>
        <v>novembro</v>
      </c>
      <c r="H873">
        <f t="shared" si="97"/>
        <v>2023</v>
      </c>
    </row>
    <row r="874" spans="1:8" hidden="1" x14ac:dyDescent="0.25">
      <c r="A874">
        <v>4032902</v>
      </c>
      <c r="B874" s="1">
        <v>45231</v>
      </c>
      <c r="C874" t="s">
        <v>264</v>
      </c>
      <c r="D874">
        <v>452.78</v>
      </c>
      <c r="E874">
        <v>2362.48</v>
      </c>
      <c r="F874" s="20">
        <f t="shared" si="98"/>
        <v>5.2177216308140819</v>
      </c>
      <c r="G874" t="str">
        <f t="shared" si="96"/>
        <v>novembro</v>
      </c>
      <c r="H874">
        <f t="shared" si="97"/>
        <v>2023</v>
      </c>
    </row>
    <row r="875" spans="1:8" hidden="1" x14ac:dyDescent="0.25">
      <c r="A875">
        <v>4033011</v>
      </c>
      <c r="B875" s="1">
        <v>45231</v>
      </c>
      <c r="C875" t="s">
        <v>266</v>
      </c>
      <c r="D875">
        <v>143.44999999999999</v>
      </c>
      <c r="E875">
        <v>732.41</v>
      </c>
      <c r="F875" s="20">
        <f t="shared" si="98"/>
        <v>5.105681422098292</v>
      </c>
      <c r="G875" t="str">
        <f t="shared" si="96"/>
        <v>novembro</v>
      </c>
      <c r="H875">
        <f t="shared" si="97"/>
        <v>2023</v>
      </c>
    </row>
    <row r="876" spans="1:8" hidden="1" x14ac:dyDescent="0.25">
      <c r="A876">
        <v>4033111</v>
      </c>
      <c r="B876" s="1">
        <v>45231</v>
      </c>
      <c r="C876" t="s">
        <v>268</v>
      </c>
      <c r="D876">
        <v>664.1</v>
      </c>
      <c r="E876">
        <v>2831.56</v>
      </c>
      <c r="F876" s="20">
        <f t="shared" si="98"/>
        <v>4.2637554585152833</v>
      </c>
      <c r="G876" t="str">
        <f t="shared" si="96"/>
        <v>novembro</v>
      </c>
      <c r="H876">
        <f t="shared" si="97"/>
        <v>2023</v>
      </c>
    </row>
    <row r="877" spans="1:8" hidden="1" x14ac:dyDescent="0.25">
      <c r="A877">
        <v>4033211</v>
      </c>
      <c r="B877" s="1">
        <v>45231</v>
      </c>
      <c r="C877" t="s">
        <v>270</v>
      </c>
      <c r="D877">
        <v>142.97</v>
      </c>
      <c r="E877">
        <v>656</v>
      </c>
      <c r="F877" s="20">
        <f t="shared" si="98"/>
        <v>4.5883751836049518</v>
      </c>
      <c r="G877" t="str">
        <f t="shared" si="96"/>
        <v>novembro</v>
      </c>
      <c r="H877">
        <f t="shared" si="97"/>
        <v>2023</v>
      </c>
    </row>
    <row r="878" spans="1:8" hidden="1" x14ac:dyDescent="0.25">
      <c r="A878">
        <v>4033311</v>
      </c>
      <c r="B878" s="1">
        <v>45231</v>
      </c>
      <c r="C878" t="s">
        <v>272</v>
      </c>
      <c r="D878">
        <v>17.559999999999999</v>
      </c>
      <c r="E878">
        <v>109.82</v>
      </c>
      <c r="F878" s="20">
        <f t="shared" si="98"/>
        <v>6.2539863325740317</v>
      </c>
      <c r="G878" t="str">
        <f t="shared" si="96"/>
        <v>novembro</v>
      </c>
      <c r="H878">
        <f t="shared" si="97"/>
        <v>2023</v>
      </c>
    </row>
    <row r="879" spans="1:8" hidden="1" x14ac:dyDescent="0.25">
      <c r="A879">
        <v>4033400</v>
      </c>
      <c r="B879" s="1">
        <v>45231</v>
      </c>
      <c r="C879" t="s">
        <v>274</v>
      </c>
      <c r="D879">
        <v>1138.5</v>
      </c>
      <c r="E879">
        <v>3340.39</v>
      </c>
      <c r="F879" s="20">
        <f t="shared" si="98"/>
        <v>2.9340272288098372</v>
      </c>
      <c r="G879" t="str">
        <f t="shared" si="96"/>
        <v>novembro</v>
      </c>
      <c r="H879">
        <f t="shared" si="97"/>
        <v>2023</v>
      </c>
    </row>
    <row r="880" spans="1:8" hidden="1" x14ac:dyDescent="0.25">
      <c r="A880">
        <v>4033511</v>
      </c>
      <c r="B880" s="1">
        <v>45231</v>
      </c>
      <c r="C880" t="s">
        <v>276</v>
      </c>
      <c r="D880">
        <v>3082.2</v>
      </c>
      <c r="E880">
        <v>9764.33</v>
      </c>
      <c r="F880" s="20">
        <f t="shared" si="98"/>
        <v>3.167974174291091</v>
      </c>
      <c r="G880" t="str">
        <f t="shared" si="96"/>
        <v>novembro</v>
      </c>
      <c r="H880">
        <f t="shared" si="97"/>
        <v>2023</v>
      </c>
    </row>
    <row r="881" spans="1:8" hidden="1" x14ac:dyDescent="0.25">
      <c r="A881">
        <v>4033900</v>
      </c>
      <c r="B881" s="1">
        <v>45231</v>
      </c>
      <c r="C881" t="s">
        <v>278</v>
      </c>
      <c r="D881">
        <v>12.86</v>
      </c>
      <c r="E881">
        <v>67.260000000000005</v>
      </c>
      <c r="F881" s="20">
        <f t="shared" si="98"/>
        <v>5.2301710730948683</v>
      </c>
      <c r="G881" t="str">
        <f t="shared" si="96"/>
        <v>novembro</v>
      </c>
      <c r="H881">
        <f t="shared" si="97"/>
        <v>2023</v>
      </c>
    </row>
    <row r="882" spans="1:8" hidden="1" x14ac:dyDescent="0.25">
      <c r="A882">
        <v>4034011</v>
      </c>
      <c r="B882" s="1">
        <v>45231</v>
      </c>
      <c r="C882" t="s">
        <v>280</v>
      </c>
      <c r="D882">
        <v>858.22</v>
      </c>
      <c r="E882">
        <v>4461.3500000000004</v>
      </c>
      <c r="F882" s="20">
        <f t="shared" si="98"/>
        <v>5.198375707860456</v>
      </c>
      <c r="G882" t="str">
        <f t="shared" ref="G882:G885" si="99">TEXT(B882,"mmmm")</f>
        <v>novembro</v>
      </c>
      <c r="H882">
        <f t="shared" ref="H882:H885" si="100">YEAR(B882)</f>
        <v>2023</v>
      </c>
    </row>
    <row r="883" spans="1:8" hidden="1" x14ac:dyDescent="0.25">
      <c r="A883">
        <v>4034211</v>
      </c>
      <c r="B883" s="1">
        <v>45231</v>
      </c>
      <c r="C883" t="s">
        <v>282</v>
      </c>
      <c r="D883">
        <v>245.36</v>
      </c>
      <c r="E883">
        <v>1051.3399999999999</v>
      </c>
      <c r="F883" s="20">
        <f t="shared" si="98"/>
        <v>4.2848875122269314</v>
      </c>
      <c r="G883" t="str">
        <f t="shared" si="99"/>
        <v>novembro</v>
      </c>
      <c r="H883">
        <f t="shared" si="100"/>
        <v>2023</v>
      </c>
    </row>
    <row r="884" spans="1:8" hidden="1" x14ac:dyDescent="0.25">
      <c r="A884">
        <v>4034400</v>
      </c>
      <c r="B884" s="1">
        <v>45231</v>
      </c>
      <c r="C884" t="s">
        <v>284</v>
      </c>
      <c r="D884">
        <v>253.7</v>
      </c>
      <c r="E884">
        <v>666.59</v>
      </c>
      <c r="F884" s="20">
        <f t="shared" si="98"/>
        <v>2.6274733937721719</v>
      </c>
      <c r="G884" t="str">
        <f t="shared" si="99"/>
        <v>novembro</v>
      </c>
      <c r="H884">
        <f t="shared" si="100"/>
        <v>2023</v>
      </c>
    </row>
    <row r="885" spans="1:8" hidden="1" x14ac:dyDescent="0.25">
      <c r="A885">
        <v>4034502</v>
      </c>
      <c r="B885" s="1">
        <v>45231</v>
      </c>
      <c r="C885" t="s">
        <v>286</v>
      </c>
      <c r="D885">
        <v>125.04</v>
      </c>
      <c r="E885">
        <v>354.62</v>
      </c>
      <c r="F885" s="20">
        <f t="shared" si="98"/>
        <v>2.8360524632117721</v>
      </c>
      <c r="G885" t="str">
        <f t="shared" si="99"/>
        <v>novembro</v>
      </c>
      <c r="H885">
        <f t="shared" si="100"/>
        <v>2023</v>
      </c>
    </row>
    <row r="886" spans="1:8" hidden="1" x14ac:dyDescent="0.25">
      <c r="A886">
        <v>3020103</v>
      </c>
      <c r="B886" s="1">
        <v>45261</v>
      </c>
      <c r="C886" t="s">
        <v>131</v>
      </c>
      <c r="D886" s="17">
        <v>6918.17</v>
      </c>
      <c r="E886" s="17">
        <v>22462.02</v>
      </c>
      <c r="F886" s="20">
        <f t="shared" ref="F886:F921" si="101">E886/D886</f>
        <v>3.2468152705122888</v>
      </c>
      <c r="G886" t="str">
        <f t="shared" ref="G886:G918" si="102">TEXT(B886,"mmmm")</f>
        <v>dezembro</v>
      </c>
      <c r="H886">
        <f t="shared" ref="H886:H918" si="103">YEAR(B886)</f>
        <v>2023</v>
      </c>
    </row>
    <row r="887" spans="1:8" hidden="1" x14ac:dyDescent="0.25">
      <c r="A887">
        <v>3020212</v>
      </c>
      <c r="B887" s="1">
        <v>45261</v>
      </c>
      <c r="C887" t="s">
        <v>133</v>
      </c>
      <c r="D887" s="17">
        <v>1187.06</v>
      </c>
      <c r="E887" s="17">
        <v>4377.6099999999997</v>
      </c>
      <c r="F887" s="20">
        <f t="shared" si="101"/>
        <v>3.6877748386770675</v>
      </c>
      <c r="G887" t="str">
        <f t="shared" si="102"/>
        <v>dezembro</v>
      </c>
      <c r="H887">
        <f t="shared" si="103"/>
        <v>2023</v>
      </c>
    </row>
    <row r="888" spans="1:8" hidden="1" x14ac:dyDescent="0.25">
      <c r="A888">
        <v>3020214</v>
      </c>
      <c r="B888" s="1">
        <v>45261</v>
      </c>
      <c r="C888" t="s">
        <v>135</v>
      </c>
      <c r="D888" s="19">
        <v>436.6</v>
      </c>
      <c r="E888" s="17">
        <v>1536.61</v>
      </c>
      <c r="F888" s="20">
        <f t="shared" si="101"/>
        <v>3.5194915254237285</v>
      </c>
      <c r="G888" t="str">
        <f t="shared" si="102"/>
        <v>dezembro</v>
      </c>
      <c r="H888">
        <f t="shared" si="103"/>
        <v>2023</v>
      </c>
    </row>
    <row r="889" spans="1:8" hidden="1" x14ac:dyDescent="0.25">
      <c r="A889">
        <v>3020315</v>
      </c>
      <c r="B889" s="1">
        <v>45261</v>
      </c>
      <c r="C889" t="s">
        <v>137</v>
      </c>
      <c r="D889" s="17">
        <v>2057.91</v>
      </c>
      <c r="E889" s="17">
        <v>7322.22</v>
      </c>
      <c r="F889" s="20">
        <f t="shared" si="101"/>
        <v>3.5580856305669348</v>
      </c>
      <c r="G889" t="str">
        <f t="shared" si="102"/>
        <v>dezembro</v>
      </c>
      <c r="H889">
        <f t="shared" si="103"/>
        <v>2023</v>
      </c>
    </row>
    <row r="890" spans="1:8" hidden="1" x14ac:dyDescent="0.25">
      <c r="A890">
        <v>3020316</v>
      </c>
      <c r="B890" s="1">
        <v>45261</v>
      </c>
      <c r="C890" t="s">
        <v>139</v>
      </c>
      <c r="D890" s="19">
        <v>214.08</v>
      </c>
      <c r="E890" s="17">
        <v>680.78</v>
      </c>
      <c r="F890" s="20">
        <f t="shared" si="101"/>
        <v>3.1800261584454406</v>
      </c>
      <c r="G890" t="str">
        <f t="shared" si="102"/>
        <v>dezembro</v>
      </c>
      <c r="H890">
        <f t="shared" si="103"/>
        <v>2023</v>
      </c>
    </row>
    <row r="891" spans="1:8" hidden="1" x14ac:dyDescent="0.25">
      <c r="A891">
        <v>3020402</v>
      </c>
      <c r="B891" s="1">
        <v>45261</v>
      </c>
      <c r="C891" t="s">
        <v>141</v>
      </c>
      <c r="D891" s="17">
        <v>2401.85</v>
      </c>
      <c r="E891" s="17">
        <v>8393.99</v>
      </c>
      <c r="F891" s="20">
        <f t="shared" si="101"/>
        <v>3.4948019235172887</v>
      </c>
      <c r="G891" t="str">
        <f t="shared" si="102"/>
        <v>dezembro</v>
      </c>
      <c r="H891">
        <f t="shared" si="103"/>
        <v>2023</v>
      </c>
    </row>
    <row r="892" spans="1:8" hidden="1" x14ac:dyDescent="0.25">
      <c r="A892">
        <v>3020504</v>
      </c>
      <c r="B892" s="1">
        <v>45261</v>
      </c>
      <c r="C892" t="s">
        <v>143</v>
      </c>
      <c r="D892" s="19">
        <v>487.24</v>
      </c>
      <c r="E892" s="17">
        <v>1837.22</v>
      </c>
      <c r="F892" s="20">
        <f t="shared" si="101"/>
        <v>3.7706674328872833</v>
      </c>
      <c r="G892" t="str">
        <f t="shared" si="102"/>
        <v>dezembro</v>
      </c>
      <c r="H892">
        <f t="shared" si="103"/>
        <v>2023</v>
      </c>
    </row>
    <row r="893" spans="1:8" hidden="1" x14ac:dyDescent="0.25">
      <c r="A893">
        <v>3020622</v>
      </c>
      <c r="B893" s="1">
        <v>45261</v>
      </c>
      <c r="C893" t="s">
        <v>145</v>
      </c>
      <c r="D893" s="17">
        <v>4422.5</v>
      </c>
      <c r="E893" s="17">
        <v>16413.95</v>
      </c>
      <c r="F893" s="20">
        <f t="shared" si="101"/>
        <v>3.711464104013567</v>
      </c>
      <c r="G893" t="str">
        <f t="shared" si="102"/>
        <v>dezembro</v>
      </c>
      <c r="H893">
        <f t="shared" si="103"/>
        <v>2023</v>
      </c>
    </row>
    <row r="894" spans="1:8" hidden="1" x14ac:dyDescent="0.25">
      <c r="A894">
        <v>3020623</v>
      </c>
      <c r="B894" s="1">
        <v>45261</v>
      </c>
      <c r="C894" t="s">
        <v>147</v>
      </c>
      <c r="D894" s="19">
        <v>654.25</v>
      </c>
      <c r="E894" s="17">
        <v>2521.65</v>
      </c>
      <c r="F894" s="20">
        <f t="shared" si="101"/>
        <v>3.8542606037447462</v>
      </c>
      <c r="G894" t="str">
        <f t="shared" si="102"/>
        <v>dezembro</v>
      </c>
      <c r="H894">
        <f t="shared" si="103"/>
        <v>2023</v>
      </c>
    </row>
    <row r="895" spans="1:8" hidden="1" x14ac:dyDescent="0.25">
      <c r="A895">
        <v>3020725</v>
      </c>
      <c r="B895" s="1">
        <v>45261</v>
      </c>
      <c r="C895" t="s">
        <v>149</v>
      </c>
      <c r="D895" s="19">
        <v>290.82</v>
      </c>
      <c r="E895" s="17">
        <v>1102.9000000000001</v>
      </c>
      <c r="F895" s="20">
        <f t="shared" si="101"/>
        <v>3.7923801664259682</v>
      </c>
      <c r="G895" t="str">
        <f t="shared" si="102"/>
        <v>dezembro</v>
      </c>
      <c r="H895">
        <f t="shared" si="103"/>
        <v>2023</v>
      </c>
    </row>
    <row r="896" spans="1:8" hidden="1" x14ac:dyDescent="0.25">
      <c r="A896">
        <v>3020823</v>
      </c>
      <c r="B896" s="1">
        <v>45261</v>
      </c>
      <c r="C896" t="s">
        <v>151</v>
      </c>
      <c r="D896" s="17">
        <v>1784.15</v>
      </c>
      <c r="E896" s="17">
        <v>6614.18</v>
      </c>
      <c r="F896" s="20">
        <f t="shared" si="101"/>
        <v>3.7071882969481265</v>
      </c>
      <c r="G896" t="str">
        <f t="shared" si="102"/>
        <v>dezembro</v>
      </c>
      <c r="H896">
        <f t="shared" si="103"/>
        <v>2023</v>
      </c>
    </row>
    <row r="897" spans="1:8" hidden="1" x14ac:dyDescent="0.25">
      <c r="A897">
        <v>3020824</v>
      </c>
      <c r="B897" s="1">
        <v>45261</v>
      </c>
      <c r="C897" t="s">
        <v>153</v>
      </c>
      <c r="D897" s="17">
        <v>1299.25</v>
      </c>
      <c r="E897" s="17">
        <v>4841.62</v>
      </c>
      <c r="F897" s="20">
        <f t="shared" si="101"/>
        <v>3.7264729651722148</v>
      </c>
      <c r="G897" t="str">
        <f t="shared" si="102"/>
        <v>dezembro</v>
      </c>
      <c r="H897">
        <f t="shared" si="103"/>
        <v>2023</v>
      </c>
    </row>
    <row r="898" spans="1:8" hidden="1" x14ac:dyDescent="0.25">
      <c r="A898">
        <v>3020825</v>
      </c>
      <c r="B898" s="1">
        <v>45261</v>
      </c>
      <c r="C898" t="s">
        <v>455</v>
      </c>
      <c r="D898" s="19">
        <v>257.70999999999998</v>
      </c>
      <c r="E898" s="17">
        <v>1056.6199999999999</v>
      </c>
      <c r="F898" s="20">
        <f t="shared" si="101"/>
        <v>4.1000349229754374</v>
      </c>
      <c r="G898" t="str">
        <f t="shared" si="102"/>
        <v>dezembro</v>
      </c>
      <c r="H898">
        <f t="shared" si="103"/>
        <v>2023</v>
      </c>
    </row>
    <row r="899" spans="1:8" hidden="1" x14ac:dyDescent="0.25">
      <c r="A899">
        <v>3020924</v>
      </c>
      <c r="B899" s="1">
        <v>45261</v>
      </c>
      <c r="C899" t="s">
        <v>155</v>
      </c>
      <c r="D899" s="17">
        <v>1059.47</v>
      </c>
      <c r="E899" s="17">
        <v>4040.32</v>
      </c>
      <c r="F899" s="20">
        <f t="shared" si="101"/>
        <v>3.8135294062125404</v>
      </c>
      <c r="G899" t="str">
        <f t="shared" si="102"/>
        <v>dezembro</v>
      </c>
      <c r="H899">
        <f t="shared" si="103"/>
        <v>2023</v>
      </c>
    </row>
    <row r="900" spans="1:8" hidden="1" x14ac:dyDescent="0.25">
      <c r="A900">
        <v>3020925</v>
      </c>
      <c r="B900" s="1">
        <v>45261</v>
      </c>
      <c r="C900" t="s">
        <v>157</v>
      </c>
      <c r="D900" s="17">
        <v>1801.34</v>
      </c>
      <c r="E900" s="17">
        <v>6907.86</v>
      </c>
      <c r="F900" s="20">
        <f t="shared" si="101"/>
        <v>3.8348451708172804</v>
      </c>
      <c r="G900" t="str">
        <f t="shared" si="102"/>
        <v>dezembro</v>
      </c>
      <c r="H900">
        <f t="shared" si="103"/>
        <v>2023</v>
      </c>
    </row>
    <row r="901" spans="1:8" hidden="1" x14ac:dyDescent="0.25">
      <c r="A901">
        <v>3021436</v>
      </c>
      <c r="B901" s="1">
        <v>45261</v>
      </c>
      <c r="C901" t="s">
        <v>546</v>
      </c>
      <c r="D901" s="19">
        <v>416.51</v>
      </c>
      <c r="E901" s="17">
        <v>1350.85</v>
      </c>
      <c r="F901" s="20">
        <f t="shared" si="101"/>
        <v>3.2432594655590501</v>
      </c>
      <c r="G901" t="str">
        <f t="shared" si="102"/>
        <v>dezembro</v>
      </c>
      <c r="H901">
        <f t="shared" si="103"/>
        <v>2023</v>
      </c>
    </row>
    <row r="902" spans="1:8" hidden="1" x14ac:dyDescent="0.25">
      <c r="A902">
        <v>3021538</v>
      </c>
      <c r="B902" s="1">
        <v>45261</v>
      </c>
      <c r="C902" t="s">
        <v>548</v>
      </c>
      <c r="D902" s="19">
        <v>66.36</v>
      </c>
      <c r="E902" s="17">
        <v>207.31</v>
      </c>
      <c r="F902" s="20">
        <f t="shared" si="101"/>
        <v>3.1240204942736587</v>
      </c>
      <c r="G902" t="str">
        <f t="shared" si="102"/>
        <v>dezembro</v>
      </c>
      <c r="H902">
        <f t="shared" si="103"/>
        <v>2023</v>
      </c>
    </row>
    <row r="903" spans="1:8" hidden="1" x14ac:dyDescent="0.25">
      <c r="A903">
        <v>3021639</v>
      </c>
      <c r="B903" s="1">
        <v>45261</v>
      </c>
      <c r="C903" t="s">
        <v>457</v>
      </c>
      <c r="D903" s="19">
        <v>19.600000000000001</v>
      </c>
      <c r="E903" s="17">
        <v>60.76</v>
      </c>
      <c r="F903" s="20">
        <f t="shared" si="101"/>
        <v>3.0999999999999996</v>
      </c>
      <c r="G903" t="str">
        <f t="shared" si="102"/>
        <v>dezembro</v>
      </c>
      <c r="H903">
        <f t="shared" si="103"/>
        <v>2023</v>
      </c>
    </row>
    <row r="904" spans="1:8" hidden="1" x14ac:dyDescent="0.25">
      <c r="A904">
        <v>3021739</v>
      </c>
      <c r="B904" s="1">
        <v>45261</v>
      </c>
      <c r="C904" t="s">
        <v>165</v>
      </c>
      <c r="D904" s="19">
        <v>459.67</v>
      </c>
      <c r="E904" s="17">
        <v>1287.07</v>
      </c>
      <c r="F904" s="20">
        <f t="shared" si="101"/>
        <v>2.7999869471577434</v>
      </c>
      <c r="G904" t="str">
        <f t="shared" si="102"/>
        <v>dezembro</v>
      </c>
      <c r="H904">
        <f t="shared" si="103"/>
        <v>2023</v>
      </c>
    </row>
    <row r="905" spans="1:8" hidden="1" x14ac:dyDescent="0.25">
      <c r="A905">
        <v>3021740</v>
      </c>
      <c r="B905" s="1">
        <v>45261</v>
      </c>
      <c r="C905" t="s">
        <v>459</v>
      </c>
      <c r="D905" s="19">
        <v>139.94</v>
      </c>
      <c r="E905" s="17">
        <v>433.48</v>
      </c>
      <c r="F905" s="20">
        <f t="shared" si="101"/>
        <v>3.097613262826926</v>
      </c>
      <c r="G905" t="str">
        <f t="shared" si="102"/>
        <v>dezembro</v>
      </c>
      <c r="H905">
        <f t="shared" si="103"/>
        <v>2023</v>
      </c>
    </row>
    <row r="906" spans="1:8" hidden="1" x14ac:dyDescent="0.25">
      <c r="A906">
        <v>3021760</v>
      </c>
      <c r="B906" s="1">
        <v>45261</v>
      </c>
      <c r="C906" t="s">
        <v>167</v>
      </c>
      <c r="D906" s="19">
        <v>871.33</v>
      </c>
      <c r="E906" s="17">
        <v>1744.52</v>
      </c>
      <c r="F906" s="20">
        <f t="shared" si="101"/>
        <v>2.0021346676919189</v>
      </c>
      <c r="G906" t="str">
        <f t="shared" si="102"/>
        <v>dezembro</v>
      </c>
      <c r="H906">
        <f t="shared" si="103"/>
        <v>2023</v>
      </c>
    </row>
    <row r="907" spans="1:8" hidden="1" x14ac:dyDescent="0.25">
      <c r="A907">
        <v>3021811</v>
      </c>
      <c r="B907" s="1">
        <v>45261</v>
      </c>
      <c r="C907" t="s">
        <v>169</v>
      </c>
      <c r="D907" s="19">
        <v>583.46</v>
      </c>
      <c r="E907" s="17">
        <v>1279.55</v>
      </c>
      <c r="F907" s="20">
        <f t="shared" si="101"/>
        <v>2.1930380831590854</v>
      </c>
      <c r="G907" t="str">
        <f t="shared" si="102"/>
        <v>dezembro</v>
      </c>
      <c r="H907">
        <f t="shared" si="103"/>
        <v>2023</v>
      </c>
    </row>
    <row r="908" spans="1:8" hidden="1" x14ac:dyDescent="0.25">
      <c r="A908">
        <v>3021812</v>
      </c>
      <c r="B908" s="1">
        <v>45261</v>
      </c>
      <c r="C908" t="s">
        <v>171</v>
      </c>
      <c r="D908" s="17">
        <v>2161.2600000000002</v>
      </c>
      <c r="E908" s="17">
        <v>4188.5</v>
      </c>
      <c r="F908" s="20">
        <f t="shared" si="101"/>
        <v>1.9379898762758758</v>
      </c>
      <c r="G908" t="str">
        <f t="shared" si="102"/>
        <v>dezembro</v>
      </c>
      <c r="H908">
        <f t="shared" si="103"/>
        <v>2023</v>
      </c>
    </row>
    <row r="909" spans="1:8" hidden="1" x14ac:dyDescent="0.25">
      <c r="A909">
        <v>3022100</v>
      </c>
      <c r="B909" s="1">
        <v>45261</v>
      </c>
      <c r="C909" t="s">
        <v>173</v>
      </c>
      <c r="D909" s="19">
        <v>35.049999999999997</v>
      </c>
      <c r="E909" s="17">
        <v>138.96</v>
      </c>
      <c r="F909" s="20">
        <f t="shared" si="101"/>
        <v>3.9646219686162629</v>
      </c>
      <c r="G909" t="str">
        <f t="shared" si="102"/>
        <v>dezembro</v>
      </c>
      <c r="H909">
        <f t="shared" si="103"/>
        <v>2023</v>
      </c>
    </row>
    <row r="910" spans="1:8" hidden="1" x14ac:dyDescent="0.25">
      <c r="A910">
        <v>3022208</v>
      </c>
      <c r="B910" s="1">
        <v>45261</v>
      </c>
      <c r="C910" t="s">
        <v>307</v>
      </c>
      <c r="D910" s="19">
        <v>139.38</v>
      </c>
      <c r="E910" s="17">
        <v>500.25</v>
      </c>
      <c r="F910" s="20">
        <f t="shared" si="101"/>
        <v>3.5891089108910892</v>
      </c>
      <c r="G910" t="str">
        <f t="shared" si="102"/>
        <v>dezembro</v>
      </c>
      <c r="H910">
        <f t="shared" si="103"/>
        <v>2023</v>
      </c>
    </row>
    <row r="911" spans="1:8" hidden="1" x14ac:dyDescent="0.25">
      <c r="A911">
        <v>3022311</v>
      </c>
      <c r="B911" s="1">
        <v>45261</v>
      </c>
      <c r="C911" t="s">
        <v>176</v>
      </c>
      <c r="D911" s="17">
        <v>2057.0300000000002</v>
      </c>
      <c r="E911" s="17">
        <v>4910.58</v>
      </c>
      <c r="F911" s="20">
        <f t="shared" si="101"/>
        <v>2.3872184654574795</v>
      </c>
      <c r="G911" t="str">
        <f t="shared" si="102"/>
        <v>dezembro</v>
      </c>
      <c r="H911">
        <f t="shared" si="103"/>
        <v>2023</v>
      </c>
    </row>
    <row r="912" spans="1:8" hidden="1" x14ac:dyDescent="0.25">
      <c r="A912">
        <v>3022411</v>
      </c>
      <c r="B912" s="1">
        <v>45261</v>
      </c>
      <c r="C912" t="s">
        <v>178</v>
      </c>
      <c r="D912" s="19">
        <v>43.94</v>
      </c>
      <c r="E912" s="17">
        <v>123.8</v>
      </c>
      <c r="F912" s="20">
        <f t="shared" si="101"/>
        <v>2.8174783796085574</v>
      </c>
      <c r="G912" t="str">
        <f t="shared" si="102"/>
        <v>dezembro</v>
      </c>
      <c r="H912">
        <f t="shared" si="103"/>
        <v>2023</v>
      </c>
    </row>
    <row r="913" spans="1:8" hidden="1" x14ac:dyDescent="0.25">
      <c r="A913">
        <v>3022511</v>
      </c>
      <c r="B913" s="1">
        <v>45261</v>
      </c>
      <c r="C913" t="s">
        <v>180</v>
      </c>
      <c r="D913" s="19">
        <v>5.3</v>
      </c>
      <c r="E913" s="17">
        <v>14.51</v>
      </c>
      <c r="F913" s="20">
        <f t="shared" si="101"/>
        <v>2.7377358490566039</v>
      </c>
      <c r="G913" t="str">
        <f t="shared" si="102"/>
        <v>dezembro</v>
      </c>
      <c r="H913">
        <f t="shared" si="103"/>
        <v>2023</v>
      </c>
    </row>
    <row r="914" spans="1:8" hidden="1" x14ac:dyDescent="0.25">
      <c r="A914">
        <v>3022601</v>
      </c>
      <c r="B914" s="1">
        <v>45261</v>
      </c>
      <c r="C914" t="s">
        <v>182</v>
      </c>
      <c r="D914" s="19">
        <v>304.25</v>
      </c>
      <c r="E914" s="17">
        <v>1214.7</v>
      </c>
      <c r="F914" s="20">
        <f t="shared" si="101"/>
        <v>3.9924404272801972</v>
      </c>
      <c r="G914" t="str">
        <f t="shared" si="102"/>
        <v>dezembro</v>
      </c>
      <c r="H914">
        <f t="shared" si="103"/>
        <v>2023</v>
      </c>
    </row>
    <row r="915" spans="1:8" hidden="1" x14ac:dyDescent="0.25">
      <c r="A915">
        <v>3022703</v>
      </c>
      <c r="B915" s="1">
        <v>45261</v>
      </c>
      <c r="C915" t="s">
        <v>309</v>
      </c>
      <c r="D915" s="18">
        <v>706</v>
      </c>
      <c r="E915" s="17">
        <v>1948.6</v>
      </c>
      <c r="F915" s="20">
        <f t="shared" si="101"/>
        <v>2.7600566572237959</v>
      </c>
      <c r="G915" t="str">
        <f t="shared" si="102"/>
        <v>dezembro</v>
      </c>
      <c r="H915">
        <f t="shared" si="103"/>
        <v>2023</v>
      </c>
    </row>
    <row r="916" spans="1:8" hidden="1" x14ac:dyDescent="0.25">
      <c r="A916">
        <v>3022805</v>
      </c>
      <c r="B916" s="1">
        <v>45261</v>
      </c>
      <c r="C916" t="s">
        <v>186</v>
      </c>
      <c r="D916" s="17">
        <v>1465</v>
      </c>
      <c r="E916" s="17">
        <v>3068.2</v>
      </c>
      <c r="F916" s="20">
        <f t="shared" si="101"/>
        <v>2.0943344709897609</v>
      </c>
      <c r="G916" t="str">
        <f t="shared" si="102"/>
        <v>dezembro</v>
      </c>
      <c r="H916">
        <f t="shared" si="103"/>
        <v>2023</v>
      </c>
    </row>
    <row r="917" spans="1:8" hidden="1" x14ac:dyDescent="0.25">
      <c r="A917">
        <v>3022906</v>
      </c>
      <c r="B917" s="1">
        <v>45261</v>
      </c>
      <c r="C917" t="s">
        <v>188</v>
      </c>
      <c r="D917" s="17">
        <v>3840</v>
      </c>
      <c r="E917" s="17">
        <v>7850.07</v>
      </c>
      <c r="F917" s="20">
        <f t="shared" si="101"/>
        <v>2.0442890624999999</v>
      </c>
      <c r="G917" t="str">
        <f t="shared" si="102"/>
        <v>dezembro</v>
      </c>
      <c r="H917">
        <f t="shared" si="103"/>
        <v>2023</v>
      </c>
    </row>
    <row r="918" spans="1:8" hidden="1" x14ac:dyDescent="0.25">
      <c r="A918">
        <v>3023007</v>
      </c>
      <c r="B918" s="1">
        <v>45261</v>
      </c>
      <c r="C918" t="s">
        <v>190</v>
      </c>
      <c r="D918" s="17">
        <v>1520</v>
      </c>
      <c r="E918" s="17">
        <v>3097.4</v>
      </c>
      <c r="F918" s="20">
        <f t="shared" si="101"/>
        <v>2.0377631578947368</v>
      </c>
      <c r="G918" t="str">
        <f t="shared" si="102"/>
        <v>dezembro</v>
      </c>
      <c r="H918">
        <f t="shared" si="103"/>
        <v>2023</v>
      </c>
    </row>
    <row r="919" spans="1:8" hidden="1" x14ac:dyDescent="0.25">
      <c r="A919">
        <v>4030100</v>
      </c>
      <c r="B919" s="1">
        <v>45261</v>
      </c>
      <c r="C919" t="s">
        <v>200</v>
      </c>
      <c r="D919" s="19">
        <v>301.8</v>
      </c>
      <c r="E919" s="17">
        <v>1892.08</v>
      </c>
      <c r="F919" s="20">
        <f t="shared" si="101"/>
        <v>6.2693174287607683</v>
      </c>
      <c r="G919" t="str">
        <f t="shared" ref="G919:G963" si="104">TEXT(B919,"mmmm")</f>
        <v>dezembro</v>
      </c>
      <c r="H919">
        <f t="shared" ref="H919:H963" si="105">YEAR(B919)</f>
        <v>2023</v>
      </c>
    </row>
    <row r="920" spans="1:8" hidden="1" x14ac:dyDescent="0.25">
      <c r="A920">
        <v>4030211</v>
      </c>
      <c r="B920" s="1">
        <v>45261</v>
      </c>
      <c r="C920" t="s">
        <v>202</v>
      </c>
      <c r="D920" s="17">
        <v>1576.9</v>
      </c>
      <c r="E920" s="17">
        <v>8811.34</v>
      </c>
      <c r="F920" s="20">
        <f t="shared" si="101"/>
        <v>5.5877607964994604</v>
      </c>
      <c r="G920" t="str">
        <f t="shared" si="104"/>
        <v>dezembro</v>
      </c>
      <c r="H920">
        <f t="shared" si="105"/>
        <v>2023</v>
      </c>
    </row>
    <row r="921" spans="1:8" hidden="1" x14ac:dyDescent="0.25">
      <c r="A921">
        <v>4030311</v>
      </c>
      <c r="B921" s="1">
        <v>45261</v>
      </c>
      <c r="C921" t="s">
        <v>311</v>
      </c>
      <c r="D921" s="19">
        <v>308.56</v>
      </c>
      <c r="E921" s="17">
        <v>2006.42</v>
      </c>
      <c r="F921" s="20">
        <f t="shared" si="101"/>
        <v>6.5025278714026449</v>
      </c>
      <c r="G921" t="str">
        <f t="shared" si="104"/>
        <v>dezembro</v>
      </c>
      <c r="H921">
        <f t="shared" si="105"/>
        <v>2023</v>
      </c>
    </row>
    <row r="922" spans="1:8" hidden="1" x14ac:dyDescent="0.25">
      <c r="A922">
        <v>4030401</v>
      </c>
      <c r="B922" s="1">
        <v>45261</v>
      </c>
      <c r="C922" t="s">
        <v>461</v>
      </c>
      <c r="D922" s="19">
        <v>328.25</v>
      </c>
      <c r="E922" s="17">
        <v>1623.75</v>
      </c>
      <c r="F922" s="20">
        <f t="shared" ref="F922:F963" si="106">E922/D922</f>
        <v>4.9466869763899464</v>
      </c>
      <c r="G922" t="str">
        <f t="shared" si="104"/>
        <v>dezembro</v>
      </c>
      <c r="H922">
        <f t="shared" si="105"/>
        <v>2023</v>
      </c>
    </row>
    <row r="923" spans="1:8" hidden="1" x14ac:dyDescent="0.25">
      <c r="A923">
        <v>4030532</v>
      </c>
      <c r="B923" s="1">
        <v>45261</v>
      </c>
      <c r="C923" t="s">
        <v>210</v>
      </c>
      <c r="D923" s="19">
        <v>394.28</v>
      </c>
      <c r="E923" s="17">
        <v>1998.94</v>
      </c>
      <c r="F923" s="20">
        <f t="shared" si="106"/>
        <v>5.0698488383889631</v>
      </c>
      <c r="G923" t="str">
        <f t="shared" si="104"/>
        <v>dezembro</v>
      </c>
      <c r="H923">
        <f t="shared" si="105"/>
        <v>2023</v>
      </c>
    </row>
    <row r="924" spans="1:8" hidden="1" x14ac:dyDescent="0.25">
      <c r="A924">
        <v>4030600</v>
      </c>
      <c r="B924" s="1">
        <v>45261</v>
      </c>
      <c r="C924" t="s">
        <v>212</v>
      </c>
      <c r="D924" s="19">
        <v>963.84</v>
      </c>
      <c r="E924" s="17">
        <v>2931.22</v>
      </c>
      <c r="F924" s="20">
        <f t="shared" si="106"/>
        <v>3.0411894090305442</v>
      </c>
      <c r="G924" t="str">
        <f t="shared" si="104"/>
        <v>dezembro</v>
      </c>
      <c r="H924">
        <f t="shared" si="105"/>
        <v>2023</v>
      </c>
    </row>
    <row r="925" spans="1:8" hidden="1" x14ac:dyDescent="0.25">
      <c r="A925">
        <v>4030711</v>
      </c>
      <c r="B925" s="1">
        <v>45261</v>
      </c>
      <c r="C925" t="s">
        <v>214</v>
      </c>
      <c r="D925" s="17">
        <v>1386.74</v>
      </c>
      <c r="E925" s="17">
        <v>4545.25</v>
      </c>
      <c r="F925" s="20">
        <f t="shared" si="106"/>
        <v>3.2776511819086491</v>
      </c>
      <c r="G925" t="str">
        <f t="shared" si="104"/>
        <v>dezembro</v>
      </c>
      <c r="H925">
        <f t="shared" si="105"/>
        <v>2023</v>
      </c>
    </row>
    <row r="926" spans="1:8" hidden="1" x14ac:dyDescent="0.25">
      <c r="A926">
        <v>4030811</v>
      </c>
      <c r="B926" s="1">
        <v>45261</v>
      </c>
      <c r="C926" t="s">
        <v>216</v>
      </c>
      <c r="D926" s="17">
        <v>1303.98</v>
      </c>
      <c r="E926" s="17">
        <v>4108.29</v>
      </c>
      <c r="F926" s="20">
        <f t="shared" si="106"/>
        <v>3.150577462844522</v>
      </c>
      <c r="G926" t="str">
        <f t="shared" si="104"/>
        <v>dezembro</v>
      </c>
      <c r="H926">
        <f t="shared" si="105"/>
        <v>2023</v>
      </c>
    </row>
    <row r="927" spans="1:8" hidden="1" x14ac:dyDescent="0.25">
      <c r="A927">
        <v>4030813</v>
      </c>
      <c r="B927" s="1">
        <v>45261</v>
      </c>
      <c r="C927" t="s">
        <v>218</v>
      </c>
      <c r="D927" s="19">
        <v>357.75</v>
      </c>
      <c r="E927" s="17">
        <v>1019.59</v>
      </c>
      <c r="F927" s="20">
        <f t="shared" si="106"/>
        <v>2.8500069881201959</v>
      </c>
      <c r="G927" t="str">
        <f t="shared" si="104"/>
        <v>dezembro</v>
      </c>
      <c r="H927">
        <f t="shared" si="105"/>
        <v>2023</v>
      </c>
    </row>
    <row r="928" spans="1:8" hidden="1" x14ac:dyDescent="0.25">
      <c r="A928">
        <v>4030900</v>
      </c>
      <c r="B928" s="1">
        <v>45261</v>
      </c>
      <c r="C928" t="s">
        <v>220</v>
      </c>
      <c r="D928" s="17">
        <v>5482.3</v>
      </c>
      <c r="E928" s="17">
        <v>16358.55</v>
      </c>
      <c r="F928" s="20">
        <f t="shared" si="106"/>
        <v>2.9838845010305892</v>
      </c>
      <c r="G928" t="str">
        <f t="shared" si="104"/>
        <v>dezembro</v>
      </c>
      <c r="H928">
        <f t="shared" si="105"/>
        <v>2023</v>
      </c>
    </row>
    <row r="929" spans="1:8" hidden="1" x14ac:dyDescent="0.25">
      <c r="A929">
        <v>4030910</v>
      </c>
      <c r="B929" s="1">
        <v>45261</v>
      </c>
      <c r="C929" t="s">
        <v>222</v>
      </c>
      <c r="D929" s="19">
        <v>246.82</v>
      </c>
      <c r="E929" s="17">
        <v>801.43</v>
      </c>
      <c r="F929" s="20">
        <f t="shared" si="106"/>
        <v>3.2470221213840045</v>
      </c>
      <c r="G929" t="str">
        <f t="shared" si="104"/>
        <v>dezembro</v>
      </c>
      <c r="H929">
        <f t="shared" si="105"/>
        <v>2023</v>
      </c>
    </row>
    <row r="930" spans="1:8" hidden="1" x14ac:dyDescent="0.25">
      <c r="A930">
        <v>4031012</v>
      </c>
      <c r="B930" s="1">
        <v>45261</v>
      </c>
      <c r="C930" t="s">
        <v>224</v>
      </c>
      <c r="D930" s="17">
        <v>1168.53</v>
      </c>
      <c r="E930" s="17">
        <v>3613.56</v>
      </c>
      <c r="F930" s="20">
        <f t="shared" si="106"/>
        <v>3.0923981412543964</v>
      </c>
      <c r="G930" t="str">
        <f t="shared" si="104"/>
        <v>dezembro</v>
      </c>
      <c r="H930">
        <f t="shared" si="105"/>
        <v>2023</v>
      </c>
    </row>
    <row r="931" spans="1:8" hidden="1" x14ac:dyDescent="0.25">
      <c r="A931">
        <v>4031017</v>
      </c>
      <c r="B931" s="1">
        <v>45261</v>
      </c>
      <c r="C931" t="s">
        <v>226</v>
      </c>
      <c r="D931" s="17">
        <v>2408</v>
      </c>
      <c r="E931" s="17">
        <v>1548.33</v>
      </c>
      <c r="F931" s="20">
        <f t="shared" si="106"/>
        <v>0.6429941860465116</v>
      </c>
      <c r="G931" t="str">
        <f t="shared" si="104"/>
        <v>dezembro</v>
      </c>
      <c r="H931">
        <f t="shared" si="105"/>
        <v>2023</v>
      </c>
    </row>
    <row r="932" spans="1:8" hidden="1" x14ac:dyDescent="0.25">
      <c r="A932">
        <v>4031102</v>
      </c>
      <c r="B932" s="1">
        <v>45261</v>
      </c>
      <c r="C932" t="s">
        <v>228</v>
      </c>
      <c r="D932" s="17">
        <v>9132.7800000000007</v>
      </c>
      <c r="E932" s="17">
        <v>26321.82</v>
      </c>
      <c r="F932" s="20">
        <f t="shared" si="106"/>
        <v>2.882125705425949</v>
      </c>
      <c r="G932" t="str">
        <f t="shared" si="104"/>
        <v>dezembro</v>
      </c>
      <c r="H932">
        <f t="shared" si="105"/>
        <v>2023</v>
      </c>
    </row>
    <row r="933" spans="1:8" hidden="1" x14ac:dyDescent="0.25">
      <c r="A933">
        <v>4031200</v>
      </c>
      <c r="B933" s="1">
        <v>45261</v>
      </c>
      <c r="C933" t="s">
        <v>230</v>
      </c>
      <c r="D933" s="17">
        <v>1030.4000000000001</v>
      </c>
      <c r="E933" s="17">
        <v>3101.6</v>
      </c>
      <c r="F933" s="20">
        <f t="shared" si="106"/>
        <v>3.010093167701863</v>
      </c>
      <c r="G933" t="str">
        <f t="shared" si="104"/>
        <v>dezembro</v>
      </c>
      <c r="H933">
        <f t="shared" si="105"/>
        <v>2023</v>
      </c>
    </row>
    <row r="934" spans="1:8" hidden="1" x14ac:dyDescent="0.25">
      <c r="A934">
        <v>4031304</v>
      </c>
      <c r="B934" s="1">
        <v>45261</v>
      </c>
      <c r="C934" t="s">
        <v>232</v>
      </c>
      <c r="D934" s="17">
        <v>1020.95</v>
      </c>
      <c r="E934" s="17">
        <v>3013.84</v>
      </c>
      <c r="F934" s="20">
        <f t="shared" si="106"/>
        <v>2.9519956902884568</v>
      </c>
      <c r="G934" t="str">
        <f t="shared" si="104"/>
        <v>dezembro</v>
      </c>
      <c r="H934">
        <f t="shared" si="105"/>
        <v>2023</v>
      </c>
    </row>
    <row r="935" spans="1:8" hidden="1" x14ac:dyDescent="0.25">
      <c r="A935">
        <v>4031411</v>
      </c>
      <c r="B935" s="1">
        <v>45261</v>
      </c>
      <c r="C935" t="s">
        <v>234</v>
      </c>
      <c r="D935" s="19">
        <v>126.41</v>
      </c>
      <c r="E935" s="17">
        <v>373.97</v>
      </c>
      <c r="F935" s="20">
        <f t="shared" si="106"/>
        <v>2.9583893679297528</v>
      </c>
      <c r="G935" t="str">
        <f t="shared" si="104"/>
        <v>dezembro</v>
      </c>
      <c r="H935">
        <f t="shared" si="105"/>
        <v>2023</v>
      </c>
    </row>
    <row r="936" spans="1:8" hidden="1" x14ac:dyDescent="0.25">
      <c r="A936">
        <v>4031500</v>
      </c>
      <c r="B936" s="1">
        <v>45261</v>
      </c>
      <c r="C936" t="s">
        <v>236</v>
      </c>
      <c r="D936" s="17">
        <v>5689.6</v>
      </c>
      <c r="E936" s="17">
        <v>15910.97</v>
      </c>
      <c r="F936" s="20">
        <f t="shared" si="106"/>
        <v>2.7965006327334079</v>
      </c>
      <c r="G936" t="str">
        <f t="shared" si="104"/>
        <v>dezembro</v>
      </c>
      <c r="H936">
        <f t="shared" si="105"/>
        <v>2023</v>
      </c>
    </row>
    <row r="937" spans="1:8" hidden="1" x14ac:dyDescent="0.25">
      <c r="A937">
        <v>4031604</v>
      </c>
      <c r="B937" s="1">
        <v>45261</v>
      </c>
      <c r="C937" t="s">
        <v>238</v>
      </c>
      <c r="D937" s="17">
        <v>6259.86</v>
      </c>
      <c r="E937" s="17">
        <v>16866.3</v>
      </c>
      <c r="F937" s="20">
        <f t="shared" si="106"/>
        <v>2.694357381794481</v>
      </c>
      <c r="G937" t="str">
        <f t="shared" si="104"/>
        <v>dezembro</v>
      </c>
      <c r="H937">
        <f t="shared" si="105"/>
        <v>2023</v>
      </c>
    </row>
    <row r="938" spans="1:8" hidden="1" x14ac:dyDescent="0.25">
      <c r="A938">
        <v>4031605</v>
      </c>
      <c r="B938" s="1">
        <v>45261</v>
      </c>
      <c r="C938" t="s">
        <v>240</v>
      </c>
      <c r="D938" s="19">
        <v>4.3</v>
      </c>
      <c r="E938" s="17">
        <v>14.62</v>
      </c>
      <c r="F938" s="20">
        <f t="shared" si="106"/>
        <v>3.4</v>
      </c>
      <c r="G938" t="str">
        <f t="shared" si="104"/>
        <v>dezembro</v>
      </c>
      <c r="H938">
        <f t="shared" si="105"/>
        <v>2023</v>
      </c>
    </row>
    <row r="939" spans="1:8" hidden="1" x14ac:dyDescent="0.25">
      <c r="A939">
        <v>4031700</v>
      </c>
      <c r="B939" s="1">
        <v>45261</v>
      </c>
      <c r="C939" t="s">
        <v>242</v>
      </c>
      <c r="D939" s="19">
        <v>564.4</v>
      </c>
      <c r="E939" s="17">
        <v>1662.53</v>
      </c>
      <c r="F939" s="20">
        <f t="shared" si="106"/>
        <v>2.9456591070163007</v>
      </c>
      <c r="G939" t="str">
        <f t="shared" si="104"/>
        <v>dezembro</v>
      </c>
      <c r="H939">
        <f t="shared" si="105"/>
        <v>2023</v>
      </c>
    </row>
    <row r="940" spans="1:8" hidden="1" x14ac:dyDescent="0.25">
      <c r="A940">
        <v>4031812</v>
      </c>
      <c r="B940" s="1">
        <v>45261</v>
      </c>
      <c r="C940" t="s">
        <v>244</v>
      </c>
      <c r="D940" s="19">
        <v>367.95</v>
      </c>
      <c r="E940" s="17">
        <v>1109.53</v>
      </c>
      <c r="F940" s="20">
        <f t="shared" si="106"/>
        <v>3.0154368800108711</v>
      </c>
      <c r="G940" t="str">
        <f t="shared" si="104"/>
        <v>dezembro</v>
      </c>
      <c r="H940">
        <f t="shared" si="105"/>
        <v>2023</v>
      </c>
    </row>
    <row r="941" spans="1:8" hidden="1" x14ac:dyDescent="0.25">
      <c r="A941">
        <v>4031813</v>
      </c>
      <c r="B941" s="1">
        <v>45261</v>
      </c>
      <c r="C941" t="s">
        <v>464</v>
      </c>
      <c r="D941" s="18">
        <v>455</v>
      </c>
      <c r="E941" s="17">
        <v>300.64999999999998</v>
      </c>
      <c r="F941" s="20">
        <f t="shared" si="106"/>
        <v>0.66076923076923066</v>
      </c>
      <c r="G941" t="str">
        <f t="shared" si="104"/>
        <v>dezembro</v>
      </c>
      <c r="H941">
        <f t="shared" si="105"/>
        <v>2023</v>
      </c>
    </row>
    <row r="942" spans="1:8" hidden="1" x14ac:dyDescent="0.25">
      <c r="A942">
        <v>4031904</v>
      </c>
      <c r="B942" s="1">
        <v>45261</v>
      </c>
      <c r="C942" t="s">
        <v>246</v>
      </c>
      <c r="D942" s="17">
        <v>1058.32</v>
      </c>
      <c r="E942" s="17">
        <v>3107.83</v>
      </c>
      <c r="F942" s="20">
        <f t="shared" si="106"/>
        <v>2.9365692796129714</v>
      </c>
      <c r="G942" t="str">
        <f t="shared" si="104"/>
        <v>dezembro</v>
      </c>
      <c r="H942">
        <f t="shared" si="105"/>
        <v>2023</v>
      </c>
    </row>
    <row r="943" spans="1:8" hidden="1" x14ac:dyDescent="0.25">
      <c r="A943">
        <v>4032002</v>
      </c>
      <c r="B943" s="1">
        <v>45261</v>
      </c>
      <c r="C943" t="s">
        <v>793</v>
      </c>
      <c r="D943" s="18">
        <v>5</v>
      </c>
      <c r="E943" s="17">
        <v>30</v>
      </c>
      <c r="F943" s="20">
        <f t="shared" si="106"/>
        <v>6</v>
      </c>
      <c r="G943" t="str">
        <f t="shared" si="104"/>
        <v>dezembro</v>
      </c>
      <c r="H943">
        <f t="shared" si="105"/>
        <v>2023</v>
      </c>
    </row>
    <row r="944" spans="1:8" hidden="1" x14ac:dyDescent="0.25">
      <c r="A944">
        <v>4032205</v>
      </c>
      <c r="B944" s="1">
        <v>45261</v>
      </c>
      <c r="C944" t="s">
        <v>553</v>
      </c>
      <c r="D944" s="19">
        <v>122.92</v>
      </c>
      <c r="E944" s="17">
        <v>636.55999999999995</v>
      </c>
      <c r="F944" s="20">
        <f t="shared" si="106"/>
        <v>5.1786527822974291</v>
      </c>
      <c r="G944" t="str">
        <f t="shared" si="104"/>
        <v>dezembro</v>
      </c>
      <c r="H944">
        <f t="shared" si="105"/>
        <v>2023</v>
      </c>
    </row>
    <row r="945" spans="1:8" hidden="1" x14ac:dyDescent="0.25">
      <c r="A945">
        <v>4032206</v>
      </c>
      <c r="B945" s="1">
        <v>45261</v>
      </c>
      <c r="C945" t="s">
        <v>555</v>
      </c>
      <c r="D945" s="19">
        <v>49.45</v>
      </c>
      <c r="E945" s="17">
        <v>261</v>
      </c>
      <c r="F945" s="20">
        <f t="shared" si="106"/>
        <v>5.2780586450960563</v>
      </c>
      <c r="G945" t="str">
        <f t="shared" si="104"/>
        <v>dezembro</v>
      </c>
      <c r="H945">
        <f t="shared" si="105"/>
        <v>2023</v>
      </c>
    </row>
    <row r="946" spans="1:8" hidden="1" x14ac:dyDescent="0.25">
      <c r="A946">
        <v>4032312</v>
      </c>
      <c r="B946" s="1">
        <v>45261</v>
      </c>
      <c r="C946" t="s">
        <v>252</v>
      </c>
      <c r="D946" s="19">
        <v>379.26</v>
      </c>
      <c r="E946" s="17">
        <v>1607.16</v>
      </c>
      <c r="F946" s="20">
        <f t="shared" si="106"/>
        <v>4.2376206296472079</v>
      </c>
      <c r="G946" t="str">
        <f t="shared" si="104"/>
        <v>dezembro</v>
      </c>
      <c r="H946">
        <f t="shared" si="105"/>
        <v>2023</v>
      </c>
    </row>
    <row r="947" spans="1:8" hidden="1" x14ac:dyDescent="0.25">
      <c r="A947">
        <v>4032404</v>
      </c>
      <c r="B947" s="1">
        <v>45261</v>
      </c>
      <c r="C947" t="s">
        <v>254</v>
      </c>
      <c r="D947" s="19">
        <v>296.68</v>
      </c>
      <c r="E947" s="17">
        <v>1235.22</v>
      </c>
      <c r="F947" s="20">
        <f t="shared" si="106"/>
        <v>4.1634757988405013</v>
      </c>
      <c r="G947" t="str">
        <f t="shared" si="104"/>
        <v>dezembro</v>
      </c>
      <c r="H947">
        <f t="shared" si="105"/>
        <v>2023</v>
      </c>
    </row>
    <row r="948" spans="1:8" hidden="1" x14ac:dyDescent="0.25">
      <c r="A948">
        <v>4032500</v>
      </c>
      <c r="B948" s="1">
        <v>45261</v>
      </c>
      <c r="C948" t="s">
        <v>256</v>
      </c>
      <c r="D948" s="19">
        <v>279.5</v>
      </c>
      <c r="E948" s="17">
        <v>772.66</v>
      </c>
      <c r="F948" s="20">
        <f t="shared" si="106"/>
        <v>2.7644364937388191</v>
      </c>
      <c r="G948" t="str">
        <f t="shared" si="104"/>
        <v>dezembro</v>
      </c>
      <c r="H948">
        <f t="shared" si="105"/>
        <v>2023</v>
      </c>
    </row>
    <row r="949" spans="1:8" hidden="1" x14ac:dyDescent="0.25">
      <c r="A949">
        <v>4032611</v>
      </c>
      <c r="B949" s="1">
        <v>45261</v>
      </c>
      <c r="C949" t="s">
        <v>258</v>
      </c>
      <c r="D949" s="19">
        <v>34.53</v>
      </c>
      <c r="E949" s="17">
        <v>111.01</v>
      </c>
      <c r="F949" s="20">
        <f t="shared" si="106"/>
        <v>3.2148856067187954</v>
      </c>
      <c r="G949" t="str">
        <f t="shared" si="104"/>
        <v>dezembro</v>
      </c>
      <c r="H949">
        <f t="shared" si="105"/>
        <v>2023</v>
      </c>
    </row>
    <row r="950" spans="1:8" hidden="1" x14ac:dyDescent="0.25">
      <c r="A950">
        <v>4032704</v>
      </c>
      <c r="B950" s="1">
        <v>45261</v>
      </c>
      <c r="C950" t="s">
        <v>260</v>
      </c>
      <c r="D950" s="19">
        <v>303.56</v>
      </c>
      <c r="E950" s="17">
        <v>887.76</v>
      </c>
      <c r="F950" s="20">
        <f t="shared" si="106"/>
        <v>2.9244959810251681</v>
      </c>
      <c r="G950" t="str">
        <f t="shared" si="104"/>
        <v>dezembro</v>
      </c>
      <c r="H950">
        <f t="shared" si="105"/>
        <v>2023</v>
      </c>
    </row>
    <row r="951" spans="1:8" hidden="1" x14ac:dyDescent="0.25">
      <c r="A951">
        <v>4032800</v>
      </c>
      <c r="B951" s="1">
        <v>45261</v>
      </c>
      <c r="C951" t="s">
        <v>262</v>
      </c>
      <c r="D951" s="19">
        <v>102</v>
      </c>
      <c r="E951" s="17">
        <v>583.80999999999995</v>
      </c>
      <c r="F951" s="20">
        <f t="shared" si="106"/>
        <v>5.7236274509803913</v>
      </c>
      <c r="G951" t="str">
        <f t="shared" si="104"/>
        <v>dezembro</v>
      </c>
      <c r="H951">
        <f t="shared" si="105"/>
        <v>2023</v>
      </c>
    </row>
    <row r="952" spans="1:8" hidden="1" x14ac:dyDescent="0.25">
      <c r="A952">
        <v>4032902</v>
      </c>
      <c r="B952" s="1">
        <v>45261</v>
      </c>
      <c r="C952" t="s">
        <v>264</v>
      </c>
      <c r="D952" s="19">
        <v>167.53</v>
      </c>
      <c r="E952" s="17">
        <v>897.35</v>
      </c>
      <c r="F952" s="20">
        <f t="shared" si="106"/>
        <v>5.3563540858353731</v>
      </c>
      <c r="G952" t="str">
        <f t="shared" si="104"/>
        <v>dezembro</v>
      </c>
      <c r="H952">
        <f t="shared" si="105"/>
        <v>2023</v>
      </c>
    </row>
    <row r="953" spans="1:8" hidden="1" x14ac:dyDescent="0.25">
      <c r="A953">
        <v>4033011</v>
      </c>
      <c r="B953" s="1">
        <v>45261</v>
      </c>
      <c r="C953" t="s">
        <v>266</v>
      </c>
      <c r="D953" s="19">
        <v>83.02</v>
      </c>
      <c r="E953" s="17">
        <v>396.34</v>
      </c>
      <c r="F953" s="20">
        <f t="shared" si="106"/>
        <v>4.7740303541315345</v>
      </c>
      <c r="G953" t="str">
        <f t="shared" si="104"/>
        <v>dezembro</v>
      </c>
      <c r="H953">
        <f t="shared" si="105"/>
        <v>2023</v>
      </c>
    </row>
    <row r="954" spans="1:8" hidden="1" x14ac:dyDescent="0.25">
      <c r="A954">
        <v>4033111</v>
      </c>
      <c r="B954" s="1">
        <v>45261</v>
      </c>
      <c r="C954" t="s">
        <v>268</v>
      </c>
      <c r="D954" s="19">
        <v>349.7</v>
      </c>
      <c r="E954" s="17">
        <v>1496.75</v>
      </c>
      <c r="F954" s="20">
        <f t="shared" si="106"/>
        <v>4.280097226193881</v>
      </c>
      <c r="G954" t="str">
        <f t="shared" si="104"/>
        <v>dezembro</v>
      </c>
      <c r="H954">
        <f t="shared" si="105"/>
        <v>2023</v>
      </c>
    </row>
    <row r="955" spans="1:8" hidden="1" x14ac:dyDescent="0.25">
      <c r="A955">
        <v>4033211</v>
      </c>
      <c r="B955" s="1">
        <v>45261</v>
      </c>
      <c r="C955" t="s">
        <v>270</v>
      </c>
      <c r="D955" s="19">
        <v>103.8</v>
      </c>
      <c r="E955" s="17">
        <v>443.27</v>
      </c>
      <c r="F955" s="20">
        <f t="shared" si="106"/>
        <v>4.2704238921001929</v>
      </c>
      <c r="G955" t="str">
        <f t="shared" si="104"/>
        <v>dezembro</v>
      </c>
      <c r="H955">
        <f t="shared" si="105"/>
        <v>2023</v>
      </c>
    </row>
    <row r="956" spans="1:8" hidden="1" x14ac:dyDescent="0.25">
      <c r="A956">
        <v>4033311</v>
      </c>
      <c r="B956" s="1">
        <v>45261</v>
      </c>
      <c r="C956" t="s">
        <v>272</v>
      </c>
      <c r="D956" s="18">
        <v>23</v>
      </c>
      <c r="E956" s="17">
        <v>141.99</v>
      </c>
      <c r="F956" s="20">
        <f t="shared" si="106"/>
        <v>6.1734782608695653</v>
      </c>
      <c r="G956" t="str">
        <f t="shared" si="104"/>
        <v>dezembro</v>
      </c>
      <c r="H956">
        <f t="shared" si="105"/>
        <v>2023</v>
      </c>
    </row>
    <row r="957" spans="1:8" hidden="1" x14ac:dyDescent="0.25">
      <c r="A957">
        <v>4033400</v>
      </c>
      <c r="B957" s="1">
        <v>45261</v>
      </c>
      <c r="C957" t="s">
        <v>274</v>
      </c>
      <c r="D957" s="17">
        <v>1182.4000000000001</v>
      </c>
      <c r="E957" s="17">
        <v>3416.81</v>
      </c>
      <c r="F957" s="20">
        <f t="shared" si="106"/>
        <v>2.889724289580514</v>
      </c>
      <c r="G957" t="str">
        <f t="shared" si="104"/>
        <v>dezembro</v>
      </c>
      <c r="H957">
        <f t="shared" si="105"/>
        <v>2023</v>
      </c>
    </row>
    <row r="958" spans="1:8" hidden="1" x14ac:dyDescent="0.25">
      <c r="A958">
        <v>4033511</v>
      </c>
      <c r="B958" s="1">
        <v>45261</v>
      </c>
      <c r="C958" t="s">
        <v>276</v>
      </c>
      <c r="D958" s="17">
        <v>1857.5</v>
      </c>
      <c r="E958" s="17">
        <v>5852.76</v>
      </c>
      <c r="F958" s="20">
        <f t="shared" si="106"/>
        <v>3.1508802153432032</v>
      </c>
      <c r="G958" t="str">
        <f t="shared" si="104"/>
        <v>dezembro</v>
      </c>
      <c r="H958">
        <f t="shared" si="105"/>
        <v>2023</v>
      </c>
    </row>
    <row r="959" spans="1:8" hidden="1" x14ac:dyDescent="0.25">
      <c r="A959">
        <v>4033900</v>
      </c>
      <c r="B959" s="1">
        <v>45261</v>
      </c>
      <c r="C959" t="s">
        <v>278</v>
      </c>
      <c r="D959" s="19">
        <v>89.49</v>
      </c>
      <c r="E959" s="17">
        <v>460.88</v>
      </c>
      <c r="F959" s="20">
        <f t="shared" si="106"/>
        <v>5.1500726338138341</v>
      </c>
      <c r="G959" t="str">
        <f t="shared" si="104"/>
        <v>dezembro</v>
      </c>
      <c r="H959">
        <f t="shared" si="105"/>
        <v>2023</v>
      </c>
    </row>
    <row r="960" spans="1:8" hidden="1" x14ac:dyDescent="0.25">
      <c r="A960">
        <v>4034011</v>
      </c>
      <c r="B960" s="1">
        <v>45261</v>
      </c>
      <c r="C960" t="s">
        <v>280</v>
      </c>
      <c r="D960" s="19">
        <v>867.9</v>
      </c>
      <c r="E960" s="17">
        <v>4509.17</v>
      </c>
      <c r="F960" s="20">
        <f t="shared" si="106"/>
        <v>5.1954948726811843</v>
      </c>
      <c r="G960" t="str">
        <f t="shared" si="104"/>
        <v>dezembro</v>
      </c>
      <c r="H960">
        <f t="shared" si="105"/>
        <v>2023</v>
      </c>
    </row>
    <row r="961" spans="1:8" hidden="1" x14ac:dyDescent="0.25">
      <c r="A961">
        <v>4034211</v>
      </c>
      <c r="B961" s="1">
        <v>45261</v>
      </c>
      <c r="C961" t="s">
        <v>282</v>
      </c>
      <c r="D961" s="19">
        <v>194.46</v>
      </c>
      <c r="E961" s="17">
        <v>834.37</v>
      </c>
      <c r="F961" s="20">
        <f t="shared" si="106"/>
        <v>4.2907024580890667</v>
      </c>
      <c r="G961" t="str">
        <f t="shared" si="104"/>
        <v>dezembro</v>
      </c>
      <c r="H961">
        <f t="shared" si="105"/>
        <v>2023</v>
      </c>
    </row>
    <row r="962" spans="1:8" hidden="1" x14ac:dyDescent="0.25">
      <c r="A962">
        <v>4034400</v>
      </c>
      <c r="B962" s="1">
        <v>45261</v>
      </c>
      <c r="C962" t="s">
        <v>284</v>
      </c>
      <c r="D962" s="19">
        <v>177.45</v>
      </c>
      <c r="E962" s="17">
        <v>464.19</v>
      </c>
      <c r="F962" s="20">
        <f t="shared" si="106"/>
        <v>2.6158918005071854</v>
      </c>
      <c r="G962" t="str">
        <f t="shared" si="104"/>
        <v>dezembro</v>
      </c>
      <c r="H962">
        <f t="shared" si="105"/>
        <v>2023</v>
      </c>
    </row>
    <row r="963" spans="1:8" hidden="1" x14ac:dyDescent="0.25">
      <c r="A963">
        <v>4034502</v>
      </c>
      <c r="B963" s="1">
        <v>45261</v>
      </c>
      <c r="C963" t="s">
        <v>286</v>
      </c>
      <c r="D963" s="18">
        <v>39</v>
      </c>
      <c r="E963" s="17">
        <v>112.11</v>
      </c>
      <c r="F963" s="20">
        <f t="shared" si="106"/>
        <v>2.8746153846153848</v>
      </c>
      <c r="G963" t="str">
        <f t="shared" si="104"/>
        <v>dezembro</v>
      </c>
      <c r="H963">
        <f t="shared" si="105"/>
        <v>2023</v>
      </c>
    </row>
    <row r="964" spans="1:8" hidden="1" x14ac:dyDescent="0.25">
      <c r="A964">
        <v>3020103</v>
      </c>
      <c r="B964" s="1">
        <v>45292</v>
      </c>
      <c r="C964" t="s">
        <v>131</v>
      </c>
      <c r="D964">
        <v>6373.58</v>
      </c>
      <c r="E964" s="6">
        <v>20058.740000000002</v>
      </c>
      <c r="F964" s="20">
        <f t="shared" ref="F964:F1023" si="107">E964/D964</f>
        <v>3.1471700363061266</v>
      </c>
      <c r="G964" t="str">
        <f t="shared" ref="G964:G1017" si="108">TEXT(B964,"mmmm")</f>
        <v>janeiro</v>
      </c>
      <c r="H964">
        <f t="shared" ref="H964:H1017" si="109">YEAR(B964)</f>
        <v>2024</v>
      </c>
    </row>
    <row r="965" spans="1:8" hidden="1" x14ac:dyDescent="0.25">
      <c r="A965">
        <v>3020212</v>
      </c>
      <c r="B965" s="1">
        <v>45292</v>
      </c>
      <c r="C965" t="s">
        <v>133</v>
      </c>
      <c r="D965">
        <v>1623.9</v>
      </c>
      <c r="E965" s="6">
        <v>6002.62</v>
      </c>
      <c r="F965" s="20">
        <f t="shared" si="107"/>
        <v>3.6964221934848203</v>
      </c>
      <c r="G965" t="str">
        <f t="shared" si="108"/>
        <v>janeiro</v>
      </c>
      <c r="H965">
        <f t="shared" si="109"/>
        <v>2024</v>
      </c>
    </row>
    <row r="966" spans="1:8" hidden="1" x14ac:dyDescent="0.25">
      <c r="A966">
        <v>3020214</v>
      </c>
      <c r="B966" s="1">
        <v>45292</v>
      </c>
      <c r="C966" t="s">
        <v>135</v>
      </c>
      <c r="D966">
        <v>569.35</v>
      </c>
      <c r="E966" s="6">
        <v>2037.2</v>
      </c>
      <c r="F966" s="20">
        <f t="shared" si="107"/>
        <v>3.578115394748397</v>
      </c>
      <c r="G966" t="str">
        <f t="shared" si="108"/>
        <v>janeiro</v>
      </c>
      <c r="H966">
        <f t="shared" si="109"/>
        <v>2024</v>
      </c>
    </row>
    <row r="967" spans="1:8" hidden="1" x14ac:dyDescent="0.25">
      <c r="A967">
        <v>3020315</v>
      </c>
      <c r="B967" s="1">
        <v>45292</v>
      </c>
      <c r="C967" t="s">
        <v>137</v>
      </c>
      <c r="D967">
        <v>2286.79</v>
      </c>
      <c r="E967" s="6">
        <v>8170.78</v>
      </c>
      <c r="F967" s="20">
        <f t="shared" si="107"/>
        <v>3.5730346905487602</v>
      </c>
      <c r="G967" t="str">
        <f t="shared" si="108"/>
        <v>janeiro</v>
      </c>
      <c r="H967">
        <f t="shared" si="109"/>
        <v>2024</v>
      </c>
    </row>
    <row r="968" spans="1:8" hidden="1" x14ac:dyDescent="0.25">
      <c r="A968">
        <v>3020316</v>
      </c>
      <c r="B968" s="1">
        <v>45292</v>
      </c>
      <c r="C968" t="s">
        <v>139</v>
      </c>
      <c r="D968">
        <v>241.96</v>
      </c>
      <c r="E968" s="6">
        <v>769.43</v>
      </c>
      <c r="F968" s="20">
        <f t="shared" si="107"/>
        <v>3.1799884278393118</v>
      </c>
      <c r="G968" t="str">
        <f t="shared" si="108"/>
        <v>janeiro</v>
      </c>
      <c r="H968">
        <f t="shared" si="109"/>
        <v>2024</v>
      </c>
    </row>
    <row r="969" spans="1:8" hidden="1" x14ac:dyDescent="0.25">
      <c r="A969">
        <v>3020317</v>
      </c>
      <c r="B969" s="1">
        <v>45292</v>
      </c>
      <c r="C969" t="s">
        <v>845</v>
      </c>
      <c r="D969">
        <v>34.5</v>
      </c>
      <c r="E969" s="6">
        <v>120.75</v>
      </c>
      <c r="F969" s="20">
        <f t="shared" si="107"/>
        <v>3.5</v>
      </c>
      <c r="G969" t="str">
        <f t="shared" si="108"/>
        <v>janeiro</v>
      </c>
      <c r="H969">
        <f t="shared" si="109"/>
        <v>2024</v>
      </c>
    </row>
    <row r="970" spans="1:8" hidden="1" x14ac:dyDescent="0.25">
      <c r="A970">
        <v>3020318</v>
      </c>
      <c r="B970" s="1">
        <v>45292</v>
      </c>
      <c r="C970" t="s">
        <v>847</v>
      </c>
      <c r="D970">
        <v>34.5</v>
      </c>
      <c r="E970" s="6">
        <v>120.75</v>
      </c>
      <c r="F970" s="20">
        <f t="shared" si="107"/>
        <v>3.5</v>
      </c>
      <c r="G970" t="str">
        <f t="shared" si="108"/>
        <v>janeiro</v>
      </c>
      <c r="H970">
        <f t="shared" si="109"/>
        <v>2024</v>
      </c>
    </row>
    <row r="971" spans="1:8" hidden="1" x14ac:dyDescent="0.25">
      <c r="A971">
        <v>3020402</v>
      </c>
      <c r="B971" s="1">
        <v>45292</v>
      </c>
      <c r="C971" t="s">
        <v>141</v>
      </c>
      <c r="D971">
        <v>3414.57</v>
      </c>
      <c r="E971" s="6">
        <v>11971.14</v>
      </c>
      <c r="F971" s="20">
        <f t="shared" si="107"/>
        <v>3.5058997179732732</v>
      </c>
      <c r="G971" t="str">
        <f t="shared" si="108"/>
        <v>janeiro</v>
      </c>
      <c r="H971">
        <f t="shared" si="109"/>
        <v>2024</v>
      </c>
    </row>
    <row r="972" spans="1:8" hidden="1" x14ac:dyDescent="0.25">
      <c r="A972">
        <v>3020504</v>
      </c>
      <c r="B972" s="1">
        <v>45292</v>
      </c>
      <c r="C972" t="s">
        <v>143</v>
      </c>
      <c r="D972">
        <v>411.42</v>
      </c>
      <c r="E972" s="6">
        <v>1549.94</v>
      </c>
      <c r="F972" s="20">
        <f t="shared" si="107"/>
        <v>3.7672937630645085</v>
      </c>
      <c r="G972" t="str">
        <f t="shared" si="108"/>
        <v>janeiro</v>
      </c>
      <c r="H972">
        <f t="shared" si="109"/>
        <v>2024</v>
      </c>
    </row>
    <row r="973" spans="1:8" hidden="1" x14ac:dyDescent="0.25">
      <c r="A973">
        <v>3020622</v>
      </c>
      <c r="B973" s="1">
        <v>45292</v>
      </c>
      <c r="C973" t="s">
        <v>145</v>
      </c>
      <c r="D973">
        <v>7312.62</v>
      </c>
      <c r="E973" s="6">
        <v>26283.19</v>
      </c>
      <c r="F973" s="20">
        <f t="shared" si="107"/>
        <v>3.5942234110346223</v>
      </c>
      <c r="G973" t="str">
        <f t="shared" si="108"/>
        <v>janeiro</v>
      </c>
      <c r="H973">
        <f t="shared" si="109"/>
        <v>2024</v>
      </c>
    </row>
    <row r="974" spans="1:8" hidden="1" x14ac:dyDescent="0.25">
      <c r="A974">
        <v>3020623</v>
      </c>
      <c r="B974" s="1">
        <v>45292</v>
      </c>
      <c r="C974" t="s">
        <v>147</v>
      </c>
      <c r="D974">
        <v>859.57</v>
      </c>
      <c r="E974" s="6">
        <v>3317.9</v>
      </c>
      <c r="F974" s="20">
        <f t="shared" si="107"/>
        <v>3.8599532324301684</v>
      </c>
      <c r="G974" t="str">
        <f t="shared" si="108"/>
        <v>janeiro</v>
      </c>
      <c r="H974">
        <f t="shared" si="109"/>
        <v>2024</v>
      </c>
    </row>
    <row r="975" spans="1:8" hidden="1" x14ac:dyDescent="0.25">
      <c r="A975">
        <v>3020725</v>
      </c>
      <c r="B975" s="1">
        <v>45292</v>
      </c>
      <c r="C975" t="s">
        <v>149</v>
      </c>
      <c r="D975">
        <v>479.91</v>
      </c>
      <c r="E975" s="6">
        <v>1804.64</v>
      </c>
      <c r="F975" s="20">
        <f t="shared" si="107"/>
        <v>3.7603717363672353</v>
      </c>
      <c r="G975" t="str">
        <f t="shared" si="108"/>
        <v>janeiro</v>
      </c>
      <c r="H975">
        <f t="shared" si="109"/>
        <v>2024</v>
      </c>
    </row>
    <row r="976" spans="1:8" hidden="1" x14ac:dyDescent="0.25">
      <c r="A976">
        <v>3020823</v>
      </c>
      <c r="B976" s="1">
        <v>45292</v>
      </c>
      <c r="C976" t="s">
        <v>151</v>
      </c>
      <c r="D976">
        <v>1721.57</v>
      </c>
      <c r="E976" s="6">
        <v>6420.74</v>
      </c>
      <c r="F976" s="20">
        <f t="shared" si="107"/>
        <v>3.729584042472859</v>
      </c>
      <c r="G976" t="str">
        <f t="shared" si="108"/>
        <v>janeiro</v>
      </c>
      <c r="H976">
        <f t="shared" si="109"/>
        <v>2024</v>
      </c>
    </row>
    <row r="977" spans="1:8" hidden="1" x14ac:dyDescent="0.25">
      <c r="A977">
        <v>3020824</v>
      </c>
      <c r="B977" s="1">
        <v>45292</v>
      </c>
      <c r="C977" t="s">
        <v>153</v>
      </c>
      <c r="D977">
        <v>2082.46</v>
      </c>
      <c r="E977" s="6">
        <v>7823.6</v>
      </c>
      <c r="F977" s="20">
        <f t="shared" si="107"/>
        <v>3.7569028936930362</v>
      </c>
      <c r="G977" t="str">
        <f t="shared" si="108"/>
        <v>janeiro</v>
      </c>
      <c r="H977">
        <f t="shared" si="109"/>
        <v>2024</v>
      </c>
    </row>
    <row r="978" spans="1:8" hidden="1" x14ac:dyDescent="0.25">
      <c r="A978">
        <v>3020825</v>
      </c>
      <c r="B978" s="1">
        <v>45292</v>
      </c>
      <c r="C978" t="s">
        <v>848</v>
      </c>
      <c r="D978">
        <v>240.58</v>
      </c>
      <c r="E978" s="6">
        <v>986.38</v>
      </c>
      <c r="F978" s="20">
        <f t="shared" si="107"/>
        <v>4.1000083132429959</v>
      </c>
      <c r="G978" t="str">
        <f t="shared" si="108"/>
        <v>janeiro</v>
      </c>
      <c r="H978">
        <f t="shared" si="109"/>
        <v>2024</v>
      </c>
    </row>
    <row r="979" spans="1:8" hidden="1" x14ac:dyDescent="0.25">
      <c r="A979">
        <v>3020924</v>
      </c>
      <c r="B979" s="1">
        <v>45292</v>
      </c>
      <c r="C979" t="s">
        <v>155</v>
      </c>
      <c r="D979">
        <v>1278.25</v>
      </c>
      <c r="E979" s="6">
        <v>4815.49</v>
      </c>
      <c r="F979" s="20">
        <f t="shared" si="107"/>
        <v>3.7672521024838646</v>
      </c>
      <c r="G979" t="str">
        <f t="shared" si="108"/>
        <v>janeiro</v>
      </c>
      <c r="H979">
        <f t="shared" si="109"/>
        <v>2024</v>
      </c>
    </row>
    <row r="980" spans="1:8" hidden="1" x14ac:dyDescent="0.25">
      <c r="A980">
        <v>3020925</v>
      </c>
      <c r="B980" s="1">
        <v>45292</v>
      </c>
      <c r="C980" t="s">
        <v>157</v>
      </c>
      <c r="D980">
        <v>1974.07</v>
      </c>
      <c r="E980" s="6">
        <v>7514.86</v>
      </c>
      <c r="F980" s="20">
        <f t="shared" si="107"/>
        <v>3.8067849670984311</v>
      </c>
      <c r="G980" t="str">
        <f t="shared" si="108"/>
        <v>janeiro</v>
      </c>
      <c r="H980">
        <f t="shared" si="109"/>
        <v>2024</v>
      </c>
    </row>
    <row r="981" spans="1:8" hidden="1" x14ac:dyDescent="0.25">
      <c r="A981">
        <v>3021436</v>
      </c>
      <c r="B981" s="1">
        <v>45292</v>
      </c>
      <c r="C981" t="s">
        <v>546</v>
      </c>
      <c r="D981">
        <v>292.42</v>
      </c>
      <c r="E981" s="6">
        <v>950.93</v>
      </c>
      <c r="F981" s="20">
        <f t="shared" si="107"/>
        <v>3.2519321523835574</v>
      </c>
      <c r="G981" t="str">
        <f t="shared" si="108"/>
        <v>janeiro</v>
      </c>
      <c r="H981">
        <f t="shared" si="109"/>
        <v>2024</v>
      </c>
    </row>
    <row r="982" spans="1:8" hidden="1" x14ac:dyDescent="0.25">
      <c r="A982">
        <v>3021538</v>
      </c>
      <c r="B982" s="1">
        <v>45292</v>
      </c>
      <c r="C982" t="s">
        <v>548</v>
      </c>
      <c r="D982">
        <v>549.42999999999995</v>
      </c>
      <c r="E982" s="6">
        <v>1610.37</v>
      </c>
      <c r="F982" s="20">
        <f t="shared" si="107"/>
        <v>2.930983018764902</v>
      </c>
      <c r="G982" t="str">
        <f t="shared" si="108"/>
        <v>janeiro</v>
      </c>
      <c r="H982">
        <f t="shared" si="109"/>
        <v>2024</v>
      </c>
    </row>
    <row r="983" spans="1:8" hidden="1" x14ac:dyDescent="0.25">
      <c r="A983">
        <v>3021639</v>
      </c>
      <c r="B983" s="1">
        <v>45292</v>
      </c>
      <c r="C983" t="s">
        <v>457</v>
      </c>
      <c r="D983">
        <v>30.37</v>
      </c>
      <c r="E983" s="6">
        <v>94.15</v>
      </c>
      <c r="F983" s="20">
        <f t="shared" si="107"/>
        <v>3.1000987816924597</v>
      </c>
      <c r="G983" t="str">
        <f t="shared" si="108"/>
        <v>janeiro</v>
      </c>
      <c r="H983">
        <f t="shared" si="109"/>
        <v>2024</v>
      </c>
    </row>
    <row r="984" spans="1:8" hidden="1" x14ac:dyDescent="0.25">
      <c r="A984">
        <v>3021739</v>
      </c>
      <c r="B984" s="1">
        <v>45292</v>
      </c>
      <c r="C984" t="s">
        <v>165</v>
      </c>
      <c r="D984">
        <v>-2.99</v>
      </c>
      <c r="E984" s="6">
        <v>-8.3699999999999992</v>
      </c>
      <c r="F984" s="20">
        <f t="shared" si="107"/>
        <v>2.7993311036789295</v>
      </c>
      <c r="G984" t="str">
        <f t="shared" si="108"/>
        <v>janeiro</v>
      </c>
      <c r="H984">
        <f t="shared" si="109"/>
        <v>2024</v>
      </c>
    </row>
    <row r="985" spans="1:8" hidden="1" x14ac:dyDescent="0.25">
      <c r="A985">
        <v>3021740</v>
      </c>
      <c r="B985" s="1">
        <v>45292</v>
      </c>
      <c r="C985" t="s">
        <v>459</v>
      </c>
      <c r="D985">
        <v>379.27</v>
      </c>
      <c r="E985" s="6">
        <v>1076.94</v>
      </c>
      <c r="F985" s="20">
        <f t="shared" si="107"/>
        <v>2.8395074748859654</v>
      </c>
      <c r="G985" t="str">
        <f t="shared" si="108"/>
        <v>janeiro</v>
      </c>
      <c r="H985">
        <f t="shared" si="109"/>
        <v>2024</v>
      </c>
    </row>
    <row r="986" spans="1:8" hidden="1" x14ac:dyDescent="0.25">
      <c r="A986">
        <v>3021760</v>
      </c>
      <c r="B986" s="1">
        <v>45292</v>
      </c>
      <c r="C986" t="s">
        <v>167</v>
      </c>
      <c r="D986">
        <v>5460.53</v>
      </c>
      <c r="E986" s="6">
        <v>10425.870000000001</v>
      </c>
      <c r="F986" s="20">
        <f t="shared" si="107"/>
        <v>1.9093146635949261</v>
      </c>
      <c r="G986" t="str">
        <f t="shared" si="108"/>
        <v>janeiro</v>
      </c>
      <c r="H986">
        <f t="shared" si="109"/>
        <v>2024</v>
      </c>
    </row>
    <row r="987" spans="1:8" hidden="1" x14ac:dyDescent="0.25">
      <c r="A987">
        <v>3021811</v>
      </c>
      <c r="B987" s="1">
        <v>45292</v>
      </c>
      <c r="C987" t="s">
        <v>169</v>
      </c>
      <c r="D987">
        <v>881.72</v>
      </c>
      <c r="E987" s="6">
        <v>1923.25</v>
      </c>
      <c r="F987" s="20">
        <f t="shared" si="107"/>
        <v>2.1812480152429341</v>
      </c>
      <c r="G987" t="str">
        <f t="shared" si="108"/>
        <v>janeiro</v>
      </c>
      <c r="H987">
        <f t="shared" si="109"/>
        <v>2024</v>
      </c>
    </row>
    <row r="988" spans="1:8" hidden="1" x14ac:dyDescent="0.25">
      <c r="A988">
        <v>3021812</v>
      </c>
      <c r="B988" s="1">
        <v>45292</v>
      </c>
      <c r="C988" t="s">
        <v>171</v>
      </c>
      <c r="D988">
        <v>2953.29</v>
      </c>
      <c r="E988" s="6">
        <v>5623.7</v>
      </c>
      <c r="F988" s="20">
        <f t="shared" si="107"/>
        <v>1.9042152988700736</v>
      </c>
      <c r="G988" t="str">
        <f t="shared" si="108"/>
        <v>janeiro</v>
      </c>
      <c r="H988">
        <f t="shared" si="109"/>
        <v>2024</v>
      </c>
    </row>
    <row r="989" spans="1:8" hidden="1" x14ac:dyDescent="0.25">
      <c r="A989">
        <v>3022100</v>
      </c>
      <c r="B989" s="1">
        <v>45292</v>
      </c>
      <c r="C989" t="s">
        <v>173</v>
      </c>
      <c r="D989">
        <v>60.93</v>
      </c>
      <c r="E989" s="6">
        <v>240.65</v>
      </c>
      <c r="F989" s="20">
        <f t="shared" si="107"/>
        <v>3.9496143115050057</v>
      </c>
      <c r="G989" t="str">
        <f t="shared" si="108"/>
        <v>janeiro</v>
      </c>
      <c r="H989">
        <f t="shared" si="109"/>
        <v>2024</v>
      </c>
    </row>
    <row r="990" spans="1:8" hidden="1" x14ac:dyDescent="0.25">
      <c r="A990">
        <v>3022208</v>
      </c>
      <c r="B990" s="1">
        <v>45292</v>
      </c>
      <c r="C990" t="s">
        <v>849</v>
      </c>
      <c r="D990">
        <v>92.04</v>
      </c>
      <c r="E990" s="6">
        <v>356.04</v>
      </c>
      <c r="F990" s="20">
        <f t="shared" si="107"/>
        <v>3.8683181225554106</v>
      </c>
      <c r="G990" t="str">
        <f t="shared" si="108"/>
        <v>janeiro</v>
      </c>
      <c r="H990">
        <f t="shared" si="109"/>
        <v>2024</v>
      </c>
    </row>
    <row r="991" spans="1:8" hidden="1" x14ac:dyDescent="0.25">
      <c r="A991">
        <v>3022311</v>
      </c>
      <c r="B991" s="1">
        <v>45292</v>
      </c>
      <c r="C991" t="s">
        <v>176</v>
      </c>
      <c r="D991">
        <v>2499.87</v>
      </c>
      <c r="E991" s="6">
        <v>5977.75</v>
      </c>
      <c r="F991" s="20">
        <f t="shared" si="107"/>
        <v>2.3912243436658707</v>
      </c>
      <c r="G991" t="str">
        <f t="shared" si="108"/>
        <v>janeiro</v>
      </c>
      <c r="H991">
        <f t="shared" si="109"/>
        <v>2024</v>
      </c>
    </row>
    <row r="992" spans="1:8" hidden="1" x14ac:dyDescent="0.25">
      <c r="A992">
        <v>3022411</v>
      </c>
      <c r="B992" s="1">
        <v>45292</v>
      </c>
      <c r="C992" t="s">
        <v>178</v>
      </c>
      <c r="D992">
        <v>57.85</v>
      </c>
      <c r="E992" s="6">
        <v>158.36000000000001</v>
      </c>
      <c r="F992" s="20">
        <f t="shared" si="107"/>
        <v>2.7374243733794299</v>
      </c>
      <c r="G992" t="str">
        <f t="shared" si="108"/>
        <v>janeiro</v>
      </c>
      <c r="H992">
        <f t="shared" si="109"/>
        <v>2024</v>
      </c>
    </row>
    <row r="993" spans="1:8" hidden="1" x14ac:dyDescent="0.25">
      <c r="A993">
        <v>3022511</v>
      </c>
      <c r="B993" s="1">
        <v>45292</v>
      </c>
      <c r="C993" t="s">
        <v>180</v>
      </c>
      <c r="D993">
        <v>3.8</v>
      </c>
      <c r="E993" s="6">
        <v>9.32</v>
      </c>
      <c r="F993" s="20">
        <f t="shared" si="107"/>
        <v>2.4526315789473685</v>
      </c>
      <c r="G993" t="str">
        <f t="shared" si="108"/>
        <v>janeiro</v>
      </c>
      <c r="H993">
        <f t="shared" si="109"/>
        <v>2024</v>
      </c>
    </row>
    <row r="994" spans="1:8" hidden="1" x14ac:dyDescent="0.25">
      <c r="A994">
        <v>3022601</v>
      </c>
      <c r="B994" s="1">
        <v>45292</v>
      </c>
      <c r="C994" t="s">
        <v>182</v>
      </c>
      <c r="D994">
        <v>340.25</v>
      </c>
      <c r="E994" s="6">
        <v>1331.69</v>
      </c>
      <c r="F994" s="20">
        <f t="shared" si="107"/>
        <v>3.9138574577516532</v>
      </c>
      <c r="G994" t="str">
        <f t="shared" si="108"/>
        <v>janeiro</v>
      </c>
      <c r="H994">
        <f t="shared" si="109"/>
        <v>2024</v>
      </c>
    </row>
    <row r="995" spans="1:8" hidden="1" x14ac:dyDescent="0.25">
      <c r="A995">
        <v>3022703</v>
      </c>
      <c r="B995" s="1">
        <v>45292</v>
      </c>
      <c r="C995" t="s">
        <v>309</v>
      </c>
      <c r="D995">
        <v>1131</v>
      </c>
      <c r="E995" s="6">
        <v>3104.2</v>
      </c>
      <c r="F995" s="20">
        <f t="shared" si="107"/>
        <v>2.7446507515473031</v>
      </c>
      <c r="G995" t="str">
        <f t="shared" si="108"/>
        <v>janeiro</v>
      </c>
      <c r="H995">
        <f t="shared" si="109"/>
        <v>2024</v>
      </c>
    </row>
    <row r="996" spans="1:8" hidden="1" x14ac:dyDescent="0.25">
      <c r="A996">
        <v>3022805</v>
      </c>
      <c r="B996" s="1">
        <v>45292</v>
      </c>
      <c r="C996" t="s">
        <v>186</v>
      </c>
      <c r="D996">
        <v>1855</v>
      </c>
      <c r="E996" s="6">
        <v>3899.35</v>
      </c>
      <c r="F996" s="20">
        <f t="shared" si="107"/>
        <v>2.1020754716981132</v>
      </c>
      <c r="G996" t="str">
        <f t="shared" si="108"/>
        <v>janeiro</v>
      </c>
      <c r="H996">
        <f t="shared" si="109"/>
        <v>2024</v>
      </c>
    </row>
    <row r="997" spans="1:8" hidden="1" x14ac:dyDescent="0.25">
      <c r="A997">
        <v>3022906</v>
      </c>
      <c r="B997" s="1">
        <v>45292</v>
      </c>
      <c r="C997" t="s">
        <v>188</v>
      </c>
      <c r="D997">
        <v>3420</v>
      </c>
      <c r="E997" s="6">
        <v>7003.67</v>
      </c>
      <c r="F997" s="20">
        <f t="shared" si="107"/>
        <v>2.047856725146199</v>
      </c>
      <c r="G997" t="str">
        <f t="shared" si="108"/>
        <v>janeiro</v>
      </c>
      <c r="H997">
        <f t="shared" si="109"/>
        <v>2024</v>
      </c>
    </row>
    <row r="998" spans="1:8" hidden="1" x14ac:dyDescent="0.25">
      <c r="A998">
        <v>3023007</v>
      </c>
      <c r="B998" s="1">
        <v>45292</v>
      </c>
      <c r="C998" t="s">
        <v>190</v>
      </c>
      <c r="D998">
        <v>840</v>
      </c>
      <c r="E998" s="6">
        <v>1708.8</v>
      </c>
      <c r="F998" s="20">
        <f t="shared" si="107"/>
        <v>2.0342857142857143</v>
      </c>
      <c r="G998" t="str">
        <f t="shared" si="108"/>
        <v>janeiro</v>
      </c>
      <c r="H998">
        <f t="shared" si="109"/>
        <v>2024</v>
      </c>
    </row>
    <row r="999" spans="1:8" hidden="1" x14ac:dyDescent="0.25">
      <c r="A999">
        <v>4030100</v>
      </c>
      <c r="B999" s="1">
        <v>45292</v>
      </c>
      <c r="C999" t="s">
        <v>850</v>
      </c>
      <c r="D999">
        <v>393.24</v>
      </c>
      <c r="E999" s="6">
        <v>2461.14</v>
      </c>
      <c r="F999" s="20">
        <f t="shared" si="107"/>
        <v>6.2586206896551717</v>
      </c>
      <c r="G999" t="str">
        <f t="shared" si="108"/>
        <v>janeiro</v>
      </c>
      <c r="H999">
        <f t="shared" si="109"/>
        <v>2024</v>
      </c>
    </row>
    <row r="1000" spans="1:8" hidden="1" x14ac:dyDescent="0.25">
      <c r="A1000">
        <v>4030211</v>
      </c>
      <c r="B1000" s="1">
        <v>45292</v>
      </c>
      <c r="C1000" t="s">
        <v>851</v>
      </c>
      <c r="D1000">
        <v>694.28</v>
      </c>
      <c r="E1000" s="6">
        <v>4193.74</v>
      </c>
      <c r="F1000" s="20">
        <f t="shared" si="107"/>
        <v>6.0404159705018143</v>
      </c>
      <c r="G1000" t="str">
        <f t="shared" si="108"/>
        <v>janeiro</v>
      </c>
      <c r="H1000">
        <f t="shared" si="109"/>
        <v>2024</v>
      </c>
    </row>
    <row r="1001" spans="1:8" hidden="1" x14ac:dyDescent="0.25">
      <c r="A1001">
        <v>4030311</v>
      </c>
      <c r="B1001" s="1">
        <v>45292</v>
      </c>
      <c r="C1001" t="s">
        <v>311</v>
      </c>
      <c r="D1001">
        <v>587.95000000000005</v>
      </c>
      <c r="E1001" s="6">
        <v>3822.99</v>
      </c>
      <c r="F1001" s="20">
        <f t="shared" si="107"/>
        <v>6.5022365847436001</v>
      </c>
      <c r="G1001" t="str">
        <f t="shared" si="108"/>
        <v>janeiro</v>
      </c>
      <c r="H1001">
        <f t="shared" si="109"/>
        <v>2024</v>
      </c>
    </row>
    <row r="1002" spans="1:8" hidden="1" x14ac:dyDescent="0.25">
      <c r="A1002">
        <v>4030401</v>
      </c>
      <c r="B1002" s="1">
        <v>45292</v>
      </c>
      <c r="C1002" t="s">
        <v>206</v>
      </c>
      <c r="D1002">
        <v>170.5</v>
      </c>
      <c r="E1002" s="6">
        <v>841.4</v>
      </c>
      <c r="F1002" s="20">
        <f t="shared" si="107"/>
        <v>4.934897360703812</v>
      </c>
      <c r="G1002" t="str">
        <f t="shared" si="108"/>
        <v>janeiro</v>
      </c>
      <c r="H1002">
        <f t="shared" si="109"/>
        <v>2024</v>
      </c>
    </row>
    <row r="1003" spans="1:8" hidden="1" x14ac:dyDescent="0.25">
      <c r="A1003">
        <v>4030532</v>
      </c>
      <c r="B1003" s="1">
        <v>45292</v>
      </c>
      <c r="C1003" t="s">
        <v>852</v>
      </c>
      <c r="D1003">
        <v>379.43</v>
      </c>
      <c r="E1003" s="6">
        <v>1870.42</v>
      </c>
      <c r="F1003" s="20">
        <f t="shared" si="107"/>
        <v>4.9295522230714495</v>
      </c>
      <c r="G1003" t="str">
        <f t="shared" si="108"/>
        <v>janeiro</v>
      </c>
      <c r="H1003">
        <f t="shared" si="109"/>
        <v>2024</v>
      </c>
    </row>
    <row r="1004" spans="1:8" hidden="1" x14ac:dyDescent="0.25">
      <c r="A1004">
        <v>4030600</v>
      </c>
      <c r="B1004" s="1">
        <v>45292</v>
      </c>
      <c r="C1004" t="s">
        <v>212</v>
      </c>
      <c r="D1004">
        <v>1669.1</v>
      </c>
      <c r="E1004" s="6">
        <v>4969.7299999999996</v>
      </c>
      <c r="F1004" s="20">
        <f t="shared" si="107"/>
        <v>2.9774908633395243</v>
      </c>
      <c r="G1004" t="str">
        <f t="shared" si="108"/>
        <v>janeiro</v>
      </c>
      <c r="H1004">
        <f t="shared" si="109"/>
        <v>2024</v>
      </c>
    </row>
    <row r="1005" spans="1:8" hidden="1" x14ac:dyDescent="0.25">
      <c r="A1005">
        <v>4030711</v>
      </c>
      <c r="B1005" s="1">
        <v>45292</v>
      </c>
      <c r="C1005" t="s">
        <v>214</v>
      </c>
      <c r="D1005">
        <v>3324.46</v>
      </c>
      <c r="E1005" s="6">
        <v>10772.22</v>
      </c>
      <c r="F1005" s="20">
        <f t="shared" si="107"/>
        <v>3.2402916563893083</v>
      </c>
      <c r="G1005" t="str">
        <f t="shared" si="108"/>
        <v>janeiro</v>
      </c>
      <c r="H1005">
        <f t="shared" si="109"/>
        <v>2024</v>
      </c>
    </row>
    <row r="1006" spans="1:8" hidden="1" x14ac:dyDescent="0.25">
      <c r="A1006">
        <v>4030811</v>
      </c>
      <c r="B1006" s="1">
        <v>45292</v>
      </c>
      <c r="C1006" t="s">
        <v>216</v>
      </c>
      <c r="D1006">
        <v>1934.24</v>
      </c>
      <c r="E1006" s="6">
        <v>6082.86</v>
      </c>
      <c r="F1006" s="20">
        <f t="shared" si="107"/>
        <v>3.1448320787492761</v>
      </c>
      <c r="G1006" t="str">
        <f t="shared" si="108"/>
        <v>janeiro</v>
      </c>
      <c r="H1006">
        <f t="shared" si="109"/>
        <v>2024</v>
      </c>
    </row>
    <row r="1007" spans="1:8" hidden="1" x14ac:dyDescent="0.25">
      <c r="A1007">
        <v>4030813</v>
      </c>
      <c r="B1007" s="1">
        <v>45292</v>
      </c>
      <c r="C1007" t="s">
        <v>218</v>
      </c>
      <c r="D1007">
        <v>846.47</v>
      </c>
      <c r="E1007" s="6">
        <v>2353.19</v>
      </c>
      <c r="F1007" s="20">
        <f t="shared" si="107"/>
        <v>2.78000401668104</v>
      </c>
      <c r="G1007" t="str">
        <f t="shared" si="108"/>
        <v>janeiro</v>
      </c>
      <c r="H1007">
        <f t="shared" si="109"/>
        <v>2024</v>
      </c>
    </row>
    <row r="1008" spans="1:8" hidden="1" x14ac:dyDescent="0.25">
      <c r="A1008">
        <v>4030900</v>
      </c>
      <c r="B1008" s="1">
        <v>45292</v>
      </c>
      <c r="C1008" t="s">
        <v>220</v>
      </c>
      <c r="D1008">
        <v>6883.99</v>
      </c>
      <c r="E1008" s="6">
        <v>20472.62</v>
      </c>
      <c r="F1008" s="20">
        <f t="shared" si="107"/>
        <v>2.9739467953904639</v>
      </c>
      <c r="G1008" t="str">
        <f t="shared" si="108"/>
        <v>janeiro</v>
      </c>
      <c r="H1008">
        <f t="shared" si="109"/>
        <v>2024</v>
      </c>
    </row>
    <row r="1009" spans="1:8" hidden="1" x14ac:dyDescent="0.25">
      <c r="A1009">
        <v>4030910</v>
      </c>
      <c r="B1009" s="1">
        <v>45292</v>
      </c>
      <c r="C1009" t="s">
        <v>222</v>
      </c>
      <c r="D1009">
        <v>113.89</v>
      </c>
      <c r="E1009" s="6">
        <v>361.44</v>
      </c>
      <c r="F1009" s="20">
        <f t="shared" si="107"/>
        <v>3.1735885503556061</v>
      </c>
      <c r="G1009" t="str">
        <f t="shared" si="108"/>
        <v>janeiro</v>
      </c>
      <c r="H1009">
        <f t="shared" si="109"/>
        <v>2024</v>
      </c>
    </row>
    <row r="1010" spans="1:8" hidden="1" x14ac:dyDescent="0.25">
      <c r="A1010">
        <v>4031012</v>
      </c>
      <c r="B1010" s="1">
        <v>45292</v>
      </c>
      <c r="C1010" t="s">
        <v>224</v>
      </c>
      <c r="D1010">
        <v>1106.76</v>
      </c>
      <c r="E1010" s="6">
        <v>3402.98</v>
      </c>
      <c r="F1010" s="20">
        <f t="shared" si="107"/>
        <v>3.0747226137554664</v>
      </c>
      <c r="G1010" t="str">
        <f t="shared" si="108"/>
        <v>janeiro</v>
      </c>
      <c r="H1010">
        <f t="shared" si="109"/>
        <v>2024</v>
      </c>
    </row>
    <row r="1011" spans="1:8" hidden="1" x14ac:dyDescent="0.25">
      <c r="A1011">
        <v>4031017</v>
      </c>
      <c r="B1011" s="1">
        <v>45292</v>
      </c>
      <c r="C1011" t="s">
        <v>226</v>
      </c>
      <c r="D1011">
        <v>280</v>
      </c>
      <c r="E1011" s="6">
        <v>193.2</v>
      </c>
      <c r="F1011" s="20">
        <f t="shared" si="107"/>
        <v>0.69</v>
      </c>
      <c r="G1011" t="str">
        <f t="shared" si="108"/>
        <v>janeiro</v>
      </c>
      <c r="H1011">
        <f t="shared" si="109"/>
        <v>2024</v>
      </c>
    </row>
    <row r="1012" spans="1:8" hidden="1" x14ac:dyDescent="0.25">
      <c r="A1012">
        <v>4031019</v>
      </c>
      <c r="B1012" s="1">
        <v>45292</v>
      </c>
      <c r="C1012" t="s">
        <v>226</v>
      </c>
      <c r="D1012">
        <v>1435</v>
      </c>
      <c r="E1012" s="6">
        <v>918.4</v>
      </c>
      <c r="F1012" s="20">
        <f t="shared" si="107"/>
        <v>0.64</v>
      </c>
      <c r="G1012" t="str">
        <f t="shared" si="108"/>
        <v>janeiro</v>
      </c>
      <c r="H1012">
        <f t="shared" si="109"/>
        <v>2024</v>
      </c>
    </row>
    <row r="1013" spans="1:8" hidden="1" x14ac:dyDescent="0.25">
      <c r="A1013">
        <v>4031102</v>
      </c>
      <c r="B1013" s="1">
        <v>45292</v>
      </c>
      <c r="C1013" t="s">
        <v>228</v>
      </c>
      <c r="D1013">
        <v>12008.9</v>
      </c>
      <c r="E1013" s="6">
        <v>34945.78</v>
      </c>
      <c r="F1013" s="20">
        <f t="shared" si="107"/>
        <v>2.9099900906827436</v>
      </c>
      <c r="G1013" t="str">
        <f t="shared" si="108"/>
        <v>janeiro</v>
      </c>
      <c r="H1013">
        <f t="shared" si="109"/>
        <v>2024</v>
      </c>
    </row>
    <row r="1014" spans="1:8" hidden="1" x14ac:dyDescent="0.25">
      <c r="A1014">
        <v>4031103</v>
      </c>
      <c r="B1014" s="1">
        <v>45292</v>
      </c>
      <c r="C1014" t="s">
        <v>855</v>
      </c>
      <c r="D1014">
        <v>372.35</v>
      </c>
      <c r="E1014" s="6">
        <v>1149.81</v>
      </c>
      <c r="F1014" s="20">
        <f t="shared" si="107"/>
        <v>3.087981737612461</v>
      </c>
      <c r="G1014" t="str">
        <f t="shared" si="108"/>
        <v>janeiro</v>
      </c>
      <c r="H1014">
        <f t="shared" si="109"/>
        <v>2024</v>
      </c>
    </row>
    <row r="1015" spans="1:8" hidden="1" x14ac:dyDescent="0.25">
      <c r="A1015">
        <v>4031200</v>
      </c>
      <c r="B1015" s="1">
        <v>45292</v>
      </c>
      <c r="C1015" t="s">
        <v>230</v>
      </c>
      <c r="D1015">
        <v>1200.3</v>
      </c>
      <c r="E1015" s="6">
        <v>3584.66</v>
      </c>
      <c r="F1015" s="20">
        <f t="shared" si="107"/>
        <v>2.9864700491543781</v>
      </c>
      <c r="G1015" t="str">
        <f t="shared" si="108"/>
        <v>janeiro</v>
      </c>
      <c r="H1015">
        <f t="shared" si="109"/>
        <v>2024</v>
      </c>
    </row>
    <row r="1016" spans="1:8" hidden="1" x14ac:dyDescent="0.25">
      <c r="A1016">
        <v>4031304</v>
      </c>
      <c r="B1016" s="1">
        <v>45292</v>
      </c>
      <c r="C1016" t="s">
        <v>232</v>
      </c>
      <c r="D1016">
        <v>1653.89</v>
      </c>
      <c r="E1016" s="6">
        <v>4744.82</v>
      </c>
      <c r="F1016" s="20">
        <f t="shared" si="107"/>
        <v>2.8688848714243385</v>
      </c>
      <c r="G1016" t="str">
        <f t="shared" si="108"/>
        <v>janeiro</v>
      </c>
      <c r="H1016">
        <f t="shared" si="109"/>
        <v>2024</v>
      </c>
    </row>
    <row r="1017" spans="1:8" hidden="1" x14ac:dyDescent="0.25">
      <c r="A1017">
        <v>4031411</v>
      </c>
      <c r="B1017" s="1">
        <v>45292</v>
      </c>
      <c r="C1017" t="s">
        <v>234</v>
      </c>
      <c r="D1017">
        <v>66.86</v>
      </c>
      <c r="E1017" s="6">
        <v>208.52</v>
      </c>
      <c r="F1017" s="20">
        <f t="shared" si="107"/>
        <v>3.1187556087346695</v>
      </c>
      <c r="G1017" t="str">
        <f t="shared" si="108"/>
        <v>janeiro</v>
      </c>
      <c r="H1017">
        <f t="shared" si="109"/>
        <v>2024</v>
      </c>
    </row>
    <row r="1018" spans="1:8" hidden="1" x14ac:dyDescent="0.25">
      <c r="A1018">
        <v>4031500</v>
      </c>
      <c r="B1018" s="1">
        <v>45292</v>
      </c>
      <c r="C1018" t="s">
        <v>236</v>
      </c>
      <c r="D1018">
        <v>7023.51</v>
      </c>
      <c r="E1018" s="6">
        <v>19604.25</v>
      </c>
      <c r="F1018" s="20">
        <f t="shared" si="107"/>
        <v>2.7912325888337883</v>
      </c>
      <c r="G1018" t="str">
        <f t="shared" ref="G1018:G1047" si="110">TEXT(B1018,"mmmm")</f>
        <v>janeiro</v>
      </c>
      <c r="H1018">
        <f t="shared" ref="H1018:H1047" si="111">YEAR(B1018)</f>
        <v>2024</v>
      </c>
    </row>
    <row r="1019" spans="1:8" hidden="1" x14ac:dyDescent="0.25">
      <c r="A1019">
        <v>4031604</v>
      </c>
      <c r="B1019" s="1">
        <v>45292</v>
      </c>
      <c r="C1019" t="s">
        <v>238</v>
      </c>
      <c r="D1019">
        <v>7495.15</v>
      </c>
      <c r="E1019" s="6">
        <v>20339.439999999999</v>
      </c>
      <c r="F1019" s="20">
        <f t="shared" si="107"/>
        <v>2.7136801798496362</v>
      </c>
      <c r="G1019" t="str">
        <f t="shared" si="110"/>
        <v>janeiro</v>
      </c>
      <c r="H1019">
        <f t="shared" si="111"/>
        <v>2024</v>
      </c>
    </row>
    <row r="1020" spans="1:8" hidden="1" x14ac:dyDescent="0.25">
      <c r="A1020">
        <v>4031605</v>
      </c>
      <c r="B1020" s="1">
        <v>45292</v>
      </c>
      <c r="C1020" t="s">
        <v>240</v>
      </c>
      <c r="D1020">
        <v>17.22</v>
      </c>
      <c r="E1020" s="6">
        <v>56.14</v>
      </c>
      <c r="F1020" s="20">
        <f t="shared" si="107"/>
        <v>3.2601626016260163</v>
      </c>
      <c r="G1020" t="str">
        <f t="shared" si="110"/>
        <v>janeiro</v>
      </c>
      <c r="H1020">
        <f t="shared" si="111"/>
        <v>2024</v>
      </c>
    </row>
    <row r="1021" spans="1:8" hidden="1" x14ac:dyDescent="0.25">
      <c r="A1021">
        <v>4031700</v>
      </c>
      <c r="B1021" s="1">
        <v>45292</v>
      </c>
      <c r="C1021" t="s">
        <v>242</v>
      </c>
      <c r="D1021">
        <v>953.5</v>
      </c>
      <c r="E1021" s="6">
        <v>2749.38</v>
      </c>
      <c r="F1021" s="20">
        <f t="shared" si="107"/>
        <v>2.8834609334032515</v>
      </c>
      <c r="G1021" t="str">
        <f t="shared" si="110"/>
        <v>janeiro</v>
      </c>
      <c r="H1021">
        <f t="shared" si="111"/>
        <v>2024</v>
      </c>
    </row>
    <row r="1022" spans="1:8" hidden="1" x14ac:dyDescent="0.25">
      <c r="A1022">
        <v>4031812</v>
      </c>
      <c r="B1022" s="1">
        <v>45292</v>
      </c>
      <c r="C1022" t="s">
        <v>244</v>
      </c>
      <c r="D1022">
        <v>430.75</v>
      </c>
      <c r="E1022" s="6">
        <v>1295.49</v>
      </c>
      <c r="F1022" s="20">
        <f t="shared" si="107"/>
        <v>3.0075217643644807</v>
      </c>
      <c r="G1022" t="str">
        <f t="shared" si="110"/>
        <v>janeiro</v>
      </c>
      <c r="H1022">
        <f t="shared" si="111"/>
        <v>2024</v>
      </c>
    </row>
    <row r="1023" spans="1:8" hidden="1" x14ac:dyDescent="0.25">
      <c r="A1023">
        <v>4031813</v>
      </c>
      <c r="B1023" s="1">
        <v>45292</v>
      </c>
      <c r="C1023" t="s">
        <v>856</v>
      </c>
      <c r="D1023">
        <v>455</v>
      </c>
      <c r="E1023" s="6">
        <v>300.64999999999998</v>
      </c>
      <c r="F1023" s="20">
        <f t="shared" si="107"/>
        <v>0.66076923076923066</v>
      </c>
      <c r="G1023" t="str">
        <f t="shared" si="110"/>
        <v>janeiro</v>
      </c>
      <c r="H1023">
        <f t="shared" si="111"/>
        <v>2024</v>
      </c>
    </row>
    <row r="1024" spans="1:8" hidden="1" x14ac:dyDescent="0.25">
      <c r="A1024">
        <v>4031904</v>
      </c>
      <c r="B1024" s="1">
        <v>45292</v>
      </c>
      <c r="C1024" t="s">
        <v>246</v>
      </c>
      <c r="D1024">
        <v>1148.75</v>
      </c>
      <c r="E1024" s="6">
        <v>3379.39</v>
      </c>
      <c r="F1024" s="20">
        <f t="shared" ref="F1024:F1047" si="112">E1024/D1024</f>
        <v>2.94179760609358</v>
      </c>
      <c r="G1024" t="str">
        <f t="shared" si="110"/>
        <v>janeiro</v>
      </c>
      <c r="H1024">
        <f t="shared" si="111"/>
        <v>2024</v>
      </c>
    </row>
    <row r="1025" spans="1:8" hidden="1" x14ac:dyDescent="0.25">
      <c r="A1025">
        <v>4032002</v>
      </c>
      <c r="B1025" s="1">
        <v>45292</v>
      </c>
      <c r="C1025" t="s">
        <v>793</v>
      </c>
      <c r="D1025">
        <v>-2.1</v>
      </c>
      <c r="E1025" s="6">
        <v>-12.6</v>
      </c>
      <c r="F1025" s="20">
        <f t="shared" si="112"/>
        <v>6</v>
      </c>
      <c r="G1025" t="str">
        <f t="shared" si="110"/>
        <v>janeiro</v>
      </c>
      <c r="H1025">
        <f t="shared" si="111"/>
        <v>2024</v>
      </c>
    </row>
    <row r="1026" spans="1:8" hidden="1" x14ac:dyDescent="0.25">
      <c r="A1026">
        <v>4032205</v>
      </c>
      <c r="B1026" s="1">
        <v>45292</v>
      </c>
      <c r="C1026" t="s">
        <v>553</v>
      </c>
      <c r="D1026">
        <v>121.74</v>
      </c>
      <c r="E1026" s="6">
        <v>638.83000000000004</v>
      </c>
      <c r="F1026" s="20">
        <f t="shared" si="112"/>
        <v>5.247494660752424</v>
      </c>
      <c r="G1026" t="str">
        <f t="shared" si="110"/>
        <v>janeiro</v>
      </c>
      <c r="H1026">
        <f t="shared" si="111"/>
        <v>2024</v>
      </c>
    </row>
    <row r="1027" spans="1:8" hidden="1" x14ac:dyDescent="0.25">
      <c r="A1027">
        <v>4032206</v>
      </c>
      <c r="B1027" s="1">
        <v>45292</v>
      </c>
      <c r="C1027" t="s">
        <v>555</v>
      </c>
      <c r="D1027">
        <v>27.46</v>
      </c>
      <c r="E1027" s="6">
        <v>148.47</v>
      </c>
      <c r="F1027" s="20">
        <f t="shared" si="112"/>
        <v>5.4067734887108516</v>
      </c>
      <c r="G1027" t="str">
        <f t="shared" si="110"/>
        <v>janeiro</v>
      </c>
      <c r="H1027">
        <f t="shared" si="111"/>
        <v>2024</v>
      </c>
    </row>
    <row r="1028" spans="1:8" hidden="1" x14ac:dyDescent="0.25">
      <c r="A1028">
        <v>4032312</v>
      </c>
      <c r="B1028" s="1">
        <v>45292</v>
      </c>
      <c r="C1028" t="s">
        <v>252</v>
      </c>
      <c r="D1028">
        <v>473.03</v>
      </c>
      <c r="E1028" s="6">
        <v>2013.31</v>
      </c>
      <c r="F1028" s="20">
        <f t="shared" si="112"/>
        <v>4.2561993953871848</v>
      </c>
      <c r="G1028" t="str">
        <f t="shared" si="110"/>
        <v>janeiro</v>
      </c>
      <c r="H1028">
        <f t="shared" si="111"/>
        <v>2024</v>
      </c>
    </row>
    <row r="1029" spans="1:8" hidden="1" x14ac:dyDescent="0.25">
      <c r="A1029">
        <v>4032404</v>
      </c>
      <c r="B1029" s="1">
        <v>45292</v>
      </c>
      <c r="C1029" t="s">
        <v>254</v>
      </c>
      <c r="D1029">
        <v>132.72</v>
      </c>
      <c r="E1029" s="6">
        <v>569.91999999999996</v>
      </c>
      <c r="F1029" s="20">
        <f t="shared" si="112"/>
        <v>4.2941531042796859</v>
      </c>
      <c r="G1029" t="str">
        <f t="shared" si="110"/>
        <v>janeiro</v>
      </c>
      <c r="H1029">
        <f t="shared" si="111"/>
        <v>2024</v>
      </c>
    </row>
    <row r="1030" spans="1:8" hidden="1" x14ac:dyDescent="0.25">
      <c r="A1030">
        <v>4032500</v>
      </c>
      <c r="B1030" s="1">
        <v>45292</v>
      </c>
      <c r="C1030" t="s">
        <v>256</v>
      </c>
      <c r="D1030">
        <v>374.92</v>
      </c>
      <c r="E1030" s="6">
        <v>1018.56</v>
      </c>
      <c r="F1030" s="20">
        <f t="shared" si="112"/>
        <v>2.7167395711085027</v>
      </c>
      <c r="G1030" t="str">
        <f t="shared" si="110"/>
        <v>janeiro</v>
      </c>
      <c r="H1030">
        <f t="shared" si="111"/>
        <v>2024</v>
      </c>
    </row>
    <row r="1031" spans="1:8" hidden="1" x14ac:dyDescent="0.25">
      <c r="A1031">
        <v>4032611</v>
      </c>
      <c r="B1031" s="1">
        <v>45292</v>
      </c>
      <c r="C1031" t="s">
        <v>258</v>
      </c>
      <c r="D1031">
        <v>68.2</v>
      </c>
      <c r="E1031" s="6">
        <v>211.87</v>
      </c>
      <c r="F1031" s="20">
        <f t="shared" si="112"/>
        <v>3.1065982404692081</v>
      </c>
      <c r="G1031" t="str">
        <f t="shared" si="110"/>
        <v>janeiro</v>
      </c>
      <c r="H1031">
        <f t="shared" si="111"/>
        <v>2024</v>
      </c>
    </row>
    <row r="1032" spans="1:8" hidden="1" x14ac:dyDescent="0.25">
      <c r="A1032">
        <v>4032612</v>
      </c>
      <c r="B1032" s="1">
        <v>45292</v>
      </c>
      <c r="C1032" t="s">
        <v>859</v>
      </c>
      <c r="D1032">
        <v>102</v>
      </c>
      <c r="E1032" s="6">
        <v>55.08</v>
      </c>
      <c r="F1032" s="20">
        <f t="shared" si="112"/>
        <v>0.54</v>
      </c>
      <c r="G1032" t="str">
        <f t="shared" si="110"/>
        <v>janeiro</v>
      </c>
      <c r="H1032">
        <f t="shared" si="111"/>
        <v>2024</v>
      </c>
    </row>
    <row r="1033" spans="1:8" hidden="1" x14ac:dyDescent="0.25">
      <c r="A1033">
        <v>4032704</v>
      </c>
      <c r="B1033" s="1">
        <v>45292</v>
      </c>
      <c r="C1033" t="s">
        <v>860</v>
      </c>
      <c r="D1033">
        <v>360.69</v>
      </c>
      <c r="E1033" s="6">
        <v>1068.05</v>
      </c>
      <c r="F1033" s="20">
        <f t="shared" si="112"/>
        <v>2.961130056281017</v>
      </c>
      <c r="G1033" t="str">
        <f t="shared" si="110"/>
        <v>janeiro</v>
      </c>
      <c r="H1033">
        <f t="shared" si="111"/>
        <v>2024</v>
      </c>
    </row>
    <row r="1034" spans="1:8" hidden="1" x14ac:dyDescent="0.25">
      <c r="A1034">
        <v>4032800</v>
      </c>
      <c r="B1034" s="1">
        <v>45292</v>
      </c>
      <c r="C1034" t="s">
        <v>262</v>
      </c>
      <c r="D1034">
        <v>331.85</v>
      </c>
      <c r="E1034" s="6">
        <v>1736.06</v>
      </c>
      <c r="F1034" s="20">
        <f t="shared" si="112"/>
        <v>5.2314599969865894</v>
      </c>
      <c r="G1034" t="str">
        <f t="shared" si="110"/>
        <v>janeiro</v>
      </c>
      <c r="H1034">
        <f t="shared" si="111"/>
        <v>2024</v>
      </c>
    </row>
    <row r="1035" spans="1:8" hidden="1" x14ac:dyDescent="0.25">
      <c r="A1035">
        <v>4032902</v>
      </c>
      <c r="B1035" s="1">
        <v>45292</v>
      </c>
      <c r="C1035" t="s">
        <v>264</v>
      </c>
      <c r="D1035">
        <v>899.5</v>
      </c>
      <c r="E1035" s="6">
        <v>4659.45</v>
      </c>
      <c r="F1035" s="20">
        <f t="shared" si="112"/>
        <v>5.1800444691495269</v>
      </c>
      <c r="G1035" t="str">
        <f t="shared" si="110"/>
        <v>janeiro</v>
      </c>
      <c r="H1035">
        <f t="shared" si="111"/>
        <v>2024</v>
      </c>
    </row>
    <row r="1036" spans="1:8" hidden="1" x14ac:dyDescent="0.25">
      <c r="A1036">
        <v>4033011</v>
      </c>
      <c r="B1036" s="1">
        <v>45292</v>
      </c>
      <c r="C1036" t="s">
        <v>266</v>
      </c>
      <c r="D1036">
        <v>148.58000000000001</v>
      </c>
      <c r="E1036" s="6">
        <v>729.62</v>
      </c>
      <c r="F1036" s="20">
        <f t="shared" si="112"/>
        <v>4.9106205411226274</v>
      </c>
      <c r="G1036" t="str">
        <f t="shared" si="110"/>
        <v>janeiro</v>
      </c>
      <c r="H1036">
        <f t="shared" si="111"/>
        <v>2024</v>
      </c>
    </row>
    <row r="1037" spans="1:8" hidden="1" x14ac:dyDescent="0.25">
      <c r="A1037">
        <v>4033111</v>
      </c>
      <c r="B1037" s="1">
        <v>45292</v>
      </c>
      <c r="C1037" t="s">
        <v>268</v>
      </c>
      <c r="D1037">
        <v>465.64</v>
      </c>
      <c r="E1037" s="6">
        <v>1995.36</v>
      </c>
      <c r="F1037" s="20">
        <f t="shared" si="112"/>
        <v>4.2851988660767972</v>
      </c>
      <c r="G1037" t="str">
        <f t="shared" si="110"/>
        <v>janeiro</v>
      </c>
      <c r="H1037">
        <f t="shared" si="111"/>
        <v>2024</v>
      </c>
    </row>
    <row r="1038" spans="1:8" hidden="1" x14ac:dyDescent="0.25">
      <c r="A1038">
        <v>4033211</v>
      </c>
      <c r="B1038" s="1">
        <v>45292</v>
      </c>
      <c r="C1038" t="s">
        <v>270</v>
      </c>
      <c r="D1038">
        <v>119.22</v>
      </c>
      <c r="E1038" s="6">
        <v>502.71</v>
      </c>
      <c r="F1038" s="20">
        <f t="shared" si="112"/>
        <v>4.2166582788122797</v>
      </c>
      <c r="G1038" t="str">
        <f t="shared" si="110"/>
        <v>janeiro</v>
      </c>
      <c r="H1038">
        <f t="shared" si="111"/>
        <v>2024</v>
      </c>
    </row>
    <row r="1039" spans="1:8" hidden="1" x14ac:dyDescent="0.25">
      <c r="A1039">
        <v>4033311</v>
      </c>
      <c r="B1039" s="1">
        <v>45292</v>
      </c>
      <c r="C1039" t="s">
        <v>272</v>
      </c>
      <c r="D1039">
        <v>9.17</v>
      </c>
      <c r="E1039" s="6">
        <v>56.8</v>
      </c>
      <c r="F1039" s="20">
        <f t="shared" si="112"/>
        <v>6.1941112322791714</v>
      </c>
      <c r="G1039" t="str">
        <f t="shared" si="110"/>
        <v>janeiro</v>
      </c>
      <c r="H1039">
        <f t="shared" si="111"/>
        <v>2024</v>
      </c>
    </row>
    <row r="1040" spans="1:8" hidden="1" x14ac:dyDescent="0.25">
      <c r="A1040">
        <v>4033400</v>
      </c>
      <c r="B1040" s="1">
        <v>45292</v>
      </c>
      <c r="C1040" t="s">
        <v>274</v>
      </c>
      <c r="D1040">
        <v>1824.71</v>
      </c>
      <c r="E1040" s="6">
        <v>5228.8</v>
      </c>
      <c r="F1040" s="20">
        <f t="shared" si="112"/>
        <v>2.8655512382789596</v>
      </c>
      <c r="G1040" t="str">
        <f t="shared" si="110"/>
        <v>janeiro</v>
      </c>
      <c r="H1040">
        <f t="shared" si="111"/>
        <v>2024</v>
      </c>
    </row>
    <row r="1041" spans="1:8" hidden="1" x14ac:dyDescent="0.25">
      <c r="A1041">
        <v>4033511</v>
      </c>
      <c r="B1041" s="1">
        <v>45292</v>
      </c>
      <c r="C1041" t="s">
        <v>861</v>
      </c>
      <c r="D1041">
        <v>4243.07</v>
      </c>
      <c r="E1041" s="6">
        <v>12969.2</v>
      </c>
      <c r="F1041" s="20">
        <f t="shared" si="112"/>
        <v>3.056560462118231</v>
      </c>
      <c r="G1041" t="str">
        <f t="shared" si="110"/>
        <v>janeiro</v>
      </c>
      <c r="H1041">
        <f t="shared" si="111"/>
        <v>2024</v>
      </c>
    </row>
    <row r="1042" spans="1:8" hidden="1" x14ac:dyDescent="0.25">
      <c r="A1042">
        <v>4033900</v>
      </c>
      <c r="B1042" s="1">
        <v>45292</v>
      </c>
      <c r="C1042" t="s">
        <v>278</v>
      </c>
      <c r="D1042">
        <v>11.6</v>
      </c>
      <c r="E1042" s="6">
        <v>61.43</v>
      </c>
      <c r="F1042" s="20">
        <f t="shared" si="112"/>
        <v>5.2956896551724135</v>
      </c>
      <c r="G1042" t="str">
        <f t="shared" si="110"/>
        <v>janeiro</v>
      </c>
      <c r="H1042">
        <f t="shared" si="111"/>
        <v>2024</v>
      </c>
    </row>
    <row r="1043" spans="1:8" hidden="1" x14ac:dyDescent="0.25">
      <c r="A1043">
        <v>4034011</v>
      </c>
      <c r="B1043" s="1">
        <v>45292</v>
      </c>
      <c r="C1043" t="s">
        <v>280</v>
      </c>
      <c r="D1043">
        <v>676.64</v>
      </c>
      <c r="E1043" s="6">
        <v>3547.28</v>
      </c>
      <c r="F1043" s="20">
        <f t="shared" si="112"/>
        <v>5.2424923149680778</v>
      </c>
      <c r="G1043" t="str">
        <f t="shared" si="110"/>
        <v>janeiro</v>
      </c>
      <c r="H1043">
        <f t="shared" si="111"/>
        <v>2024</v>
      </c>
    </row>
    <row r="1044" spans="1:8" hidden="1" x14ac:dyDescent="0.25">
      <c r="A1044">
        <v>4034012</v>
      </c>
      <c r="B1044" s="1">
        <v>45292</v>
      </c>
      <c r="C1044" t="s">
        <v>863</v>
      </c>
      <c r="D1044">
        <v>2588.25</v>
      </c>
      <c r="E1044" s="6">
        <v>3249.63</v>
      </c>
      <c r="F1044" s="20">
        <f t="shared" si="112"/>
        <v>1.2555317299333526</v>
      </c>
      <c r="G1044" t="str">
        <f t="shared" si="110"/>
        <v>janeiro</v>
      </c>
      <c r="H1044">
        <f t="shared" si="111"/>
        <v>2024</v>
      </c>
    </row>
    <row r="1045" spans="1:8" hidden="1" x14ac:dyDescent="0.25">
      <c r="A1045">
        <v>4034211</v>
      </c>
      <c r="B1045" s="1">
        <v>45292</v>
      </c>
      <c r="C1045" t="s">
        <v>282</v>
      </c>
      <c r="D1045">
        <v>208.17</v>
      </c>
      <c r="E1045" s="6">
        <v>894.83</v>
      </c>
      <c r="F1045" s="20">
        <f t="shared" si="112"/>
        <v>4.298554066388049</v>
      </c>
      <c r="G1045" t="str">
        <f t="shared" si="110"/>
        <v>janeiro</v>
      </c>
      <c r="H1045">
        <f t="shared" si="111"/>
        <v>2024</v>
      </c>
    </row>
    <row r="1046" spans="1:8" hidden="1" x14ac:dyDescent="0.25">
      <c r="A1046">
        <v>4034400</v>
      </c>
      <c r="B1046" s="1">
        <v>45292</v>
      </c>
      <c r="C1046" t="s">
        <v>284</v>
      </c>
      <c r="D1046">
        <v>257.64</v>
      </c>
      <c r="E1046" s="6">
        <v>676.54</v>
      </c>
      <c r="F1046" s="20">
        <f t="shared" si="112"/>
        <v>2.6259121254463591</v>
      </c>
      <c r="G1046" t="str">
        <f t="shared" si="110"/>
        <v>janeiro</v>
      </c>
      <c r="H1046">
        <f t="shared" si="111"/>
        <v>2024</v>
      </c>
    </row>
    <row r="1047" spans="1:8" hidden="1" x14ac:dyDescent="0.25">
      <c r="A1047">
        <v>4034502</v>
      </c>
      <c r="B1047" s="1">
        <v>45292</v>
      </c>
      <c r="C1047" t="s">
        <v>286</v>
      </c>
      <c r="D1047">
        <v>283.19</v>
      </c>
      <c r="E1047" s="6">
        <v>814.33</v>
      </c>
      <c r="F1047" s="20">
        <f t="shared" si="112"/>
        <v>2.875560577704015</v>
      </c>
      <c r="G1047" t="str">
        <f t="shared" si="110"/>
        <v>janeiro</v>
      </c>
      <c r="H1047">
        <f t="shared" si="111"/>
        <v>2024</v>
      </c>
    </row>
    <row r="1048" spans="1:8" hidden="1" x14ac:dyDescent="0.25">
      <c r="A1048">
        <v>3020103</v>
      </c>
      <c r="B1048" s="25">
        <v>45323</v>
      </c>
      <c r="C1048" t="s">
        <v>131</v>
      </c>
      <c r="D1048" s="6">
        <v>4636.3</v>
      </c>
      <c r="E1048" s="9">
        <v>15439.01</v>
      </c>
      <c r="F1048" s="20">
        <f t="shared" ref="F1048:F1058" si="113">E1048/D1048</f>
        <v>3.3300282552897782</v>
      </c>
      <c r="G1048" t="str">
        <f t="shared" ref="G1048:G1052" si="114">TEXT(B1048,"mmmm")</f>
        <v>fevereiro</v>
      </c>
      <c r="H1048">
        <f t="shared" ref="H1048:H1052" si="115">YEAR(B1048)</f>
        <v>2024</v>
      </c>
    </row>
    <row r="1049" spans="1:8" hidden="1" x14ac:dyDescent="0.25">
      <c r="A1049">
        <v>3020212</v>
      </c>
      <c r="B1049" s="25">
        <v>45323</v>
      </c>
      <c r="C1049" t="s">
        <v>133</v>
      </c>
      <c r="D1049" s="6">
        <v>1356.83</v>
      </c>
      <c r="E1049" s="9">
        <v>5083.71</v>
      </c>
      <c r="F1049" s="20">
        <f t="shared" si="113"/>
        <v>3.746755304643913</v>
      </c>
      <c r="G1049" t="str">
        <f t="shared" si="114"/>
        <v>fevereiro</v>
      </c>
      <c r="H1049">
        <f t="shared" si="115"/>
        <v>2024</v>
      </c>
    </row>
    <row r="1050" spans="1:8" hidden="1" x14ac:dyDescent="0.25">
      <c r="A1050">
        <v>3020214</v>
      </c>
      <c r="B1050" s="25">
        <v>45323</v>
      </c>
      <c r="C1050" t="s">
        <v>910</v>
      </c>
      <c r="D1050" s="6">
        <v>570.66999999999996</v>
      </c>
      <c r="E1050" s="9">
        <v>2041.23</v>
      </c>
      <c r="F1050" s="20">
        <f t="shared" si="113"/>
        <v>3.5769008358596039</v>
      </c>
      <c r="G1050" t="str">
        <f t="shared" si="114"/>
        <v>fevereiro</v>
      </c>
      <c r="H1050">
        <f t="shared" si="115"/>
        <v>2024</v>
      </c>
    </row>
    <row r="1051" spans="1:8" hidden="1" x14ac:dyDescent="0.25">
      <c r="A1051">
        <v>3020315</v>
      </c>
      <c r="B1051" s="25">
        <v>45323</v>
      </c>
      <c r="C1051" t="s">
        <v>911</v>
      </c>
      <c r="D1051" s="6">
        <v>2246.2199999999998</v>
      </c>
      <c r="E1051" s="9">
        <v>8003.25</v>
      </c>
      <c r="F1051" s="20">
        <f t="shared" si="113"/>
        <v>3.5629858161711678</v>
      </c>
      <c r="G1051" t="str">
        <f t="shared" si="114"/>
        <v>fevereiro</v>
      </c>
      <c r="H1051">
        <f t="shared" si="115"/>
        <v>2024</v>
      </c>
    </row>
    <row r="1052" spans="1:8" hidden="1" x14ac:dyDescent="0.25">
      <c r="A1052">
        <v>3020316</v>
      </c>
      <c r="B1052" s="25">
        <v>45323</v>
      </c>
      <c r="C1052" t="s">
        <v>139</v>
      </c>
      <c r="D1052" s="6">
        <v>178.07</v>
      </c>
      <c r="E1052" s="9">
        <v>568.23</v>
      </c>
      <c r="F1052" s="20">
        <f t="shared" si="113"/>
        <v>3.191048464087157</v>
      </c>
      <c r="G1052" t="str">
        <f t="shared" si="114"/>
        <v>fevereiro</v>
      </c>
      <c r="H1052">
        <f t="shared" si="115"/>
        <v>2024</v>
      </c>
    </row>
    <row r="1053" spans="1:8" hidden="1" x14ac:dyDescent="0.25">
      <c r="A1053">
        <v>3020317</v>
      </c>
      <c r="B1053" s="25">
        <v>45323</v>
      </c>
      <c r="C1053" t="s">
        <v>912</v>
      </c>
      <c r="D1053" s="6">
        <v>177.86</v>
      </c>
      <c r="E1053" s="9">
        <v>622.51</v>
      </c>
      <c r="F1053" s="20">
        <f t="shared" si="113"/>
        <v>3.4999999999999996</v>
      </c>
      <c r="G1053" t="str">
        <f t="shared" ref="G1053:G1113" si="116">TEXT(B1053,"mmmm")</f>
        <v>fevereiro</v>
      </c>
      <c r="H1053">
        <f t="shared" ref="H1053:H1113" si="117">YEAR(B1053)</f>
        <v>2024</v>
      </c>
    </row>
    <row r="1054" spans="1:8" hidden="1" x14ac:dyDescent="0.25">
      <c r="A1054">
        <v>3020318</v>
      </c>
      <c r="B1054" s="25">
        <v>45323</v>
      </c>
      <c r="C1054" t="s">
        <v>913</v>
      </c>
      <c r="D1054" s="6">
        <v>156.86000000000001</v>
      </c>
      <c r="E1054" s="9">
        <v>549.01</v>
      </c>
      <c r="F1054" s="20">
        <f t="shared" si="113"/>
        <v>3.4999999999999996</v>
      </c>
      <c r="G1054" t="str">
        <f t="shared" si="116"/>
        <v>fevereiro</v>
      </c>
      <c r="H1054">
        <f t="shared" si="117"/>
        <v>2024</v>
      </c>
    </row>
    <row r="1055" spans="1:8" hidden="1" x14ac:dyDescent="0.25">
      <c r="A1055">
        <v>3020319</v>
      </c>
      <c r="B1055" s="25">
        <v>45323</v>
      </c>
      <c r="C1055" t="s">
        <v>914</v>
      </c>
      <c r="D1055" s="6">
        <v>91.41</v>
      </c>
      <c r="E1055" s="9">
        <v>319.94</v>
      </c>
      <c r="F1055" s="20">
        <f t="shared" si="113"/>
        <v>3.5000546986106555</v>
      </c>
      <c r="G1055" t="str">
        <f t="shared" si="116"/>
        <v>fevereiro</v>
      </c>
      <c r="H1055">
        <f t="shared" si="117"/>
        <v>2024</v>
      </c>
    </row>
    <row r="1056" spans="1:8" hidden="1" x14ac:dyDescent="0.25">
      <c r="A1056">
        <v>3020402</v>
      </c>
      <c r="B1056" s="25">
        <v>45323</v>
      </c>
      <c r="C1056" t="s">
        <v>141</v>
      </c>
      <c r="D1056" s="6">
        <v>2285.5100000000002</v>
      </c>
      <c r="E1056" s="9">
        <v>7909.67</v>
      </c>
      <c r="F1056" s="20">
        <f t="shared" si="113"/>
        <v>3.4607899331002705</v>
      </c>
      <c r="G1056" t="str">
        <f t="shared" si="116"/>
        <v>fevereiro</v>
      </c>
      <c r="H1056">
        <f t="shared" si="117"/>
        <v>2024</v>
      </c>
    </row>
    <row r="1057" spans="1:8" hidden="1" x14ac:dyDescent="0.25">
      <c r="A1057">
        <v>3020504</v>
      </c>
      <c r="B1057" s="25">
        <v>45323</v>
      </c>
      <c r="C1057" t="s">
        <v>915</v>
      </c>
      <c r="D1057" s="6">
        <v>330.39</v>
      </c>
      <c r="E1057" s="9">
        <v>1243.96</v>
      </c>
      <c r="F1057" s="20">
        <f t="shared" si="113"/>
        <v>3.7651260631375045</v>
      </c>
      <c r="G1057" t="str">
        <f t="shared" si="116"/>
        <v>fevereiro</v>
      </c>
      <c r="H1057">
        <f t="shared" si="117"/>
        <v>2024</v>
      </c>
    </row>
    <row r="1058" spans="1:8" hidden="1" x14ac:dyDescent="0.25">
      <c r="A1058">
        <v>3020622</v>
      </c>
      <c r="B1058" s="25">
        <v>45323</v>
      </c>
      <c r="C1058" t="s">
        <v>145</v>
      </c>
      <c r="D1058" s="6">
        <v>6754.86</v>
      </c>
      <c r="E1058" s="9">
        <v>24975.279999999999</v>
      </c>
      <c r="F1058" s="20">
        <f t="shared" si="113"/>
        <v>3.6973793683362794</v>
      </c>
      <c r="G1058" t="str">
        <f t="shared" si="116"/>
        <v>fevereiro</v>
      </c>
      <c r="H1058">
        <f t="shared" si="117"/>
        <v>2024</v>
      </c>
    </row>
    <row r="1059" spans="1:8" hidden="1" x14ac:dyDescent="0.25">
      <c r="A1059">
        <v>3020623</v>
      </c>
      <c r="B1059" s="25">
        <v>45323</v>
      </c>
      <c r="C1059" t="s">
        <v>916</v>
      </c>
      <c r="D1059" s="6">
        <v>777.44</v>
      </c>
      <c r="E1059" s="9">
        <v>2990.37</v>
      </c>
      <c r="F1059" s="20">
        <f t="shared" ref="F1059:F1119" si="118">E1059/D1059</f>
        <v>3.8464318789874454</v>
      </c>
      <c r="G1059" t="str">
        <f t="shared" si="116"/>
        <v>fevereiro</v>
      </c>
      <c r="H1059">
        <f t="shared" si="117"/>
        <v>2024</v>
      </c>
    </row>
    <row r="1060" spans="1:8" hidden="1" x14ac:dyDescent="0.25">
      <c r="A1060">
        <v>3020725</v>
      </c>
      <c r="B1060" s="25">
        <v>45323</v>
      </c>
      <c r="C1060" t="s">
        <v>917</v>
      </c>
      <c r="D1060" s="6">
        <v>280.70999999999998</v>
      </c>
      <c r="E1060" s="9">
        <v>1063.08</v>
      </c>
      <c r="F1060" s="20">
        <f t="shared" si="118"/>
        <v>3.7871112536069251</v>
      </c>
      <c r="G1060" t="str">
        <f t="shared" si="116"/>
        <v>fevereiro</v>
      </c>
      <c r="H1060">
        <f t="shared" si="117"/>
        <v>2024</v>
      </c>
    </row>
    <row r="1061" spans="1:8" hidden="1" x14ac:dyDescent="0.25">
      <c r="A1061">
        <v>3020823</v>
      </c>
      <c r="B1061" s="25">
        <v>45323</v>
      </c>
      <c r="C1061" t="s">
        <v>151</v>
      </c>
      <c r="D1061" s="6">
        <v>1866.1</v>
      </c>
      <c r="E1061" s="9">
        <v>7045.22</v>
      </c>
      <c r="F1061" s="20">
        <f t="shared" si="118"/>
        <v>3.7753710947966348</v>
      </c>
      <c r="G1061" t="str">
        <f t="shared" si="116"/>
        <v>fevereiro</v>
      </c>
      <c r="H1061">
        <f t="shared" si="117"/>
        <v>2024</v>
      </c>
    </row>
    <row r="1062" spans="1:8" hidden="1" x14ac:dyDescent="0.25">
      <c r="A1062">
        <v>3020824</v>
      </c>
      <c r="B1062" s="25">
        <v>45323</v>
      </c>
      <c r="C1062" t="s">
        <v>153</v>
      </c>
      <c r="D1062" s="6">
        <v>1764.76</v>
      </c>
      <c r="E1062" s="9">
        <v>6475.54</v>
      </c>
      <c r="F1062" s="20">
        <f t="shared" si="118"/>
        <v>3.6693601396223849</v>
      </c>
      <c r="G1062" t="str">
        <f t="shared" si="116"/>
        <v>fevereiro</v>
      </c>
      <c r="H1062">
        <f t="shared" si="117"/>
        <v>2024</v>
      </c>
    </row>
    <row r="1063" spans="1:8" hidden="1" x14ac:dyDescent="0.25">
      <c r="A1063">
        <v>3020825</v>
      </c>
      <c r="B1063" s="25">
        <v>45323</v>
      </c>
      <c r="C1063" t="s">
        <v>848</v>
      </c>
      <c r="D1063" s="6">
        <v>750.47</v>
      </c>
      <c r="E1063" s="9">
        <v>3076.91</v>
      </c>
      <c r="F1063" s="20">
        <f t="shared" si="118"/>
        <v>4.0999773475288812</v>
      </c>
      <c r="G1063" t="str">
        <f t="shared" si="116"/>
        <v>fevereiro</v>
      </c>
      <c r="H1063">
        <f t="shared" si="117"/>
        <v>2024</v>
      </c>
    </row>
    <row r="1064" spans="1:8" hidden="1" x14ac:dyDescent="0.25">
      <c r="A1064">
        <v>3020924</v>
      </c>
      <c r="B1064" s="25">
        <v>45323</v>
      </c>
      <c r="C1064" t="s">
        <v>155</v>
      </c>
      <c r="D1064" s="6">
        <v>1028.06</v>
      </c>
      <c r="E1064" s="9">
        <v>3864.14</v>
      </c>
      <c r="F1064" s="20">
        <f t="shared" si="118"/>
        <v>3.7586716728595606</v>
      </c>
      <c r="G1064" t="str">
        <f t="shared" si="116"/>
        <v>fevereiro</v>
      </c>
      <c r="H1064">
        <f t="shared" si="117"/>
        <v>2024</v>
      </c>
    </row>
    <row r="1065" spans="1:8" hidden="1" x14ac:dyDescent="0.25">
      <c r="A1065">
        <v>3020925</v>
      </c>
      <c r="B1065" s="25">
        <v>45323</v>
      </c>
      <c r="C1065" t="s">
        <v>157</v>
      </c>
      <c r="D1065" s="6">
        <v>1320.84</v>
      </c>
      <c r="E1065" s="9">
        <v>4940.12</v>
      </c>
      <c r="F1065" s="20">
        <f t="shared" si="118"/>
        <v>3.7401350655643379</v>
      </c>
      <c r="G1065" t="str">
        <f t="shared" si="116"/>
        <v>fevereiro</v>
      </c>
      <c r="H1065">
        <f t="shared" si="117"/>
        <v>2024</v>
      </c>
    </row>
    <row r="1066" spans="1:8" hidden="1" x14ac:dyDescent="0.25">
      <c r="A1066">
        <v>3021436</v>
      </c>
      <c r="B1066" s="25">
        <v>45323</v>
      </c>
      <c r="C1066" t="s">
        <v>546</v>
      </c>
      <c r="D1066" s="6">
        <v>326.8</v>
      </c>
      <c r="E1066" s="9">
        <v>1058.3900000000001</v>
      </c>
      <c r="F1066" s="20">
        <f t="shared" si="118"/>
        <v>3.2386474908200737</v>
      </c>
      <c r="G1066" t="str">
        <f t="shared" si="116"/>
        <v>fevereiro</v>
      </c>
      <c r="H1066">
        <f t="shared" si="117"/>
        <v>2024</v>
      </c>
    </row>
    <row r="1067" spans="1:8" hidden="1" x14ac:dyDescent="0.25">
      <c r="A1067">
        <v>3021538</v>
      </c>
      <c r="B1067" s="25">
        <v>45323</v>
      </c>
      <c r="C1067" t="s">
        <v>918</v>
      </c>
      <c r="D1067" s="6">
        <v>182.55</v>
      </c>
      <c r="E1067" s="9">
        <v>535.19000000000005</v>
      </c>
      <c r="F1067" s="20">
        <f t="shared" si="118"/>
        <v>2.9317447274719255</v>
      </c>
      <c r="G1067" t="str">
        <f t="shared" si="116"/>
        <v>fevereiro</v>
      </c>
      <c r="H1067">
        <f t="shared" si="117"/>
        <v>2024</v>
      </c>
    </row>
    <row r="1068" spans="1:8" hidden="1" x14ac:dyDescent="0.25">
      <c r="A1068">
        <v>3021639</v>
      </c>
      <c r="B1068" s="25">
        <v>45323</v>
      </c>
      <c r="C1068" t="s">
        <v>919</v>
      </c>
      <c r="D1068" s="6">
        <v>16.600000000000001</v>
      </c>
      <c r="E1068" s="9">
        <v>51.46</v>
      </c>
      <c r="F1068" s="20">
        <f t="shared" si="118"/>
        <v>3.0999999999999996</v>
      </c>
      <c r="G1068" t="str">
        <f t="shared" si="116"/>
        <v>fevereiro</v>
      </c>
      <c r="H1068">
        <f t="shared" si="117"/>
        <v>2024</v>
      </c>
    </row>
    <row r="1069" spans="1:8" hidden="1" x14ac:dyDescent="0.25">
      <c r="A1069">
        <v>3021740</v>
      </c>
      <c r="B1069" s="25">
        <v>45323</v>
      </c>
      <c r="C1069" t="s">
        <v>920</v>
      </c>
      <c r="D1069" s="6">
        <v>74.62</v>
      </c>
      <c r="E1069" s="9">
        <v>223.59</v>
      </c>
      <c r="F1069" s="20">
        <f t="shared" si="118"/>
        <v>2.9963816671133743</v>
      </c>
      <c r="G1069" t="str">
        <f t="shared" si="116"/>
        <v>fevereiro</v>
      </c>
      <c r="H1069">
        <f t="shared" si="117"/>
        <v>2024</v>
      </c>
    </row>
    <row r="1070" spans="1:8" hidden="1" x14ac:dyDescent="0.25">
      <c r="A1070">
        <v>3021760</v>
      </c>
      <c r="B1070" s="25">
        <v>45323</v>
      </c>
      <c r="C1070" t="s">
        <v>167</v>
      </c>
      <c r="D1070" s="6">
        <v>9576.6299999999992</v>
      </c>
      <c r="E1070" s="9">
        <v>18794.61</v>
      </c>
      <c r="F1070" s="20">
        <f t="shared" si="118"/>
        <v>1.9625494563327603</v>
      </c>
      <c r="G1070" t="str">
        <f t="shared" si="116"/>
        <v>fevereiro</v>
      </c>
      <c r="H1070">
        <f t="shared" si="117"/>
        <v>2024</v>
      </c>
    </row>
    <row r="1071" spans="1:8" hidden="1" x14ac:dyDescent="0.25">
      <c r="A1071">
        <v>3021811</v>
      </c>
      <c r="B1071" s="25">
        <v>45323</v>
      </c>
      <c r="C1071" t="s">
        <v>169</v>
      </c>
      <c r="D1071" s="6">
        <v>389.2</v>
      </c>
      <c r="E1071" s="9">
        <v>861.04</v>
      </c>
      <c r="F1071" s="20">
        <f t="shared" si="118"/>
        <v>2.2123329907502569</v>
      </c>
      <c r="G1071" t="str">
        <f t="shared" si="116"/>
        <v>fevereiro</v>
      </c>
      <c r="H1071">
        <f t="shared" si="117"/>
        <v>2024</v>
      </c>
    </row>
    <row r="1072" spans="1:8" hidden="1" x14ac:dyDescent="0.25">
      <c r="A1072">
        <v>3021812</v>
      </c>
      <c r="B1072" s="25">
        <v>45323</v>
      </c>
      <c r="C1072" t="s">
        <v>921</v>
      </c>
      <c r="D1072" s="6">
        <v>2757.59</v>
      </c>
      <c r="E1072" s="9">
        <v>5250.41</v>
      </c>
      <c r="F1072" s="20">
        <f t="shared" si="118"/>
        <v>1.9039850013961466</v>
      </c>
      <c r="G1072" t="str">
        <f t="shared" si="116"/>
        <v>fevereiro</v>
      </c>
      <c r="H1072">
        <f t="shared" si="117"/>
        <v>2024</v>
      </c>
    </row>
    <row r="1073" spans="1:8" hidden="1" x14ac:dyDescent="0.25">
      <c r="A1073">
        <v>3022100</v>
      </c>
      <c r="B1073" s="25">
        <v>45323</v>
      </c>
      <c r="C1073" t="s">
        <v>922</v>
      </c>
      <c r="D1073" s="6">
        <v>48.93</v>
      </c>
      <c r="E1073" s="9">
        <v>191.85</v>
      </c>
      <c r="F1073" s="20">
        <f t="shared" si="118"/>
        <v>3.9209074187614958</v>
      </c>
      <c r="G1073" t="str">
        <f t="shared" si="116"/>
        <v>fevereiro</v>
      </c>
      <c r="H1073">
        <f t="shared" si="117"/>
        <v>2024</v>
      </c>
    </row>
    <row r="1074" spans="1:8" hidden="1" x14ac:dyDescent="0.25">
      <c r="A1074">
        <v>3022208</v>
      </c>
      <c r="B1074" s="25">
        <v>45323</v>
      </c>
      <c r="C1074" t="s">
        <v>307</v>
      </c>
      <c r="D1074" s="6">
        <v>52.45</v>
      </c>
      <c r="E1074" s="9">
        <v>202.48</v>
      </c>
      <c r="F1074" s="20">
        <f t="shared" si="118"/>
        <v>3.8604385128693992</v>
      </c>
      <c r="G1074" t="str">
        <f t="shared" si="116"/>
        <v>fevereiro</v>
      </c>
      <c r="H1074">
        <f t="shared" si="117"/>
        <v>2024</v>
      </c>
    </row>
    <row r="1075" spans="1:8" hidden="1" x14ac:dyDescent="0.25">
      <c r="A1075">
        <v>3022311</v>
      </c>
      <c r="B1075" s="25">
        <v>45323</v>
      </c>
      <c r="C1075" t="s">
        <v>176</v>
      </c>
      <c r="D1075" s="6">
        <v>1812.38</v>
      </c>
      <c r="E1075" s="9">
        <v>4370.3999999999996</v>
      </c>
      <c r="F1075" s="20">
        <f t="shared" si="118"/>
        <v>2.4114148247056355</v>
      </c>
      <c r="G1075" t="str">
        <f t="shared" si="116"/>
        <v>fevereiro</v>
      </c>
      <c r="H1075">
        <f t="shared" si="117"/>
        <v>2024</v>
      </c>
    </row>
    <row r="1076" spans="1:8" hidden="1" x14ac:dyDescent="0.25">
      <c r="A1076">
        <v>3022411</v>
      </c>
      <c r="B1076" s="25">
        <v>45323</v>
      </c>
      <c r="C1076" t="s">
        <v>178</v>
      </c>
      <c r="D1076" s="6">
        <v>84.88</v>
      </c>
      <c r="E1076" s="9">
        <v>234.06</v>
      </c>
      <c r="F1076" s="20">
        <f t="shared" si="118"/>
        <v>2.7575400565504244</v>
      </c>
      <c r="G1076" t="str">
        <f t="shared" si="116"/>
        <v>fevereiro</v>
      </c>
      <c r="H1076">
        <f t="shared" si="117"/>
        <v>2024</v>
      </c>
    </row>
    <row r="1077" spans="1:8" hidden="1" x14ac:dyDescent="0.25">
      <c r="A1077">
        <v>3022511</v>
      </c>
      <c r="B1077" s="25">
        <v>45323</v>
      </c>
      <c r="C1077" t="s">
        <v>180</v>
      </c>
      <c r="D1077" s="6">
        <v>5.19</v>
      </c>
      <c r="E1077" s="9">
        <v>13.61</v>
      </c>
      <c r="F1077" s="20">
        <f t="shared" si="118"/>
        <v>2.6223506743737954</v>
      </c>
      <c r="G1077" t="str">
        <f t="shared" si="116"/>
        <v>fevereiro</v>
      </c>
      <c r="H1077">
        <f t="shared" si="117"/>
        <v>2024</v>
      </c>
    </row>
    <row r="1078" spans="1:8" hidden="1" x14ac:dyDescent="0.25">
      <c r="A1078">
        <v>3022601</v>
      </c>
      <c r="B1078" s="25">
        <v>45323</v>
      </c>
      <c r="C1078" t="s">
        <v>182</v>
      </c>
      <c r="D1078" s="6">
        <v>317.5</v>
      </c>
      <c r="E1078" s="9">
        <v>1221.6300000000001</v>
      </c>
      <c r="F1078" s="20">
        <f t="shared" si="118"/>
        <v>3.8476535433070871</v>
      </c>
      <c r="G1078" t="str">
        <f t="shared" si="116"/>
        <v>fevereiro</v>
      </c>
      <c r="H1078">
        <f t="shared" si="117"/>
        <v>2024</v>
      </c>
    </row>
    <row r="1079" spans="1:8" hidden="1" x14ac:dyDescent="0.25">
      <c r="A1079">
        <v>3022703</v>
      </c>
      <c r="B1079" s="25">
        <v>45323</v>
      </c>
      <c r="C1079" t="s">
        <v>309</v>
      </c>
      <c r="D1079" s="6">
        <v>606</v>
      </c>
      <c r="E1079" s="9">
        <v>1675.25</v>
      </c>
      <c r="F1079" s="20">
        <f t="shared" si="118"/>
        <v>2.7644389438943895</v>
      </c>
      <c r="G1079" t="str">
        <f t="shared" si="116"/>
        <v>fevereiro</v>
      </c>
      <c r="H1079">
        <f t="shared" si="117"/>
        <v>2024</v>
      </c>
    </row>
    <row r="1080" spans="1:8" hidden="1" x14ac:dyDescent="0.25">
      <c r="A1080">
        <v>3022805</v>
      </c>
      <c r="B1080" s="25">
        <v>45323</v>
      </c>
      <c r="C1080" t="s">
        <v>186</v>
      </c>
      <c r="D1080" s="6">
        <v>1890</v>
      </c>
      <c r="E1080" s="9">
        <v>3979.15</v>
      </c>
      <c r="F1080" s="20">
        <f t="shared" si="118"/>
        <v>2.1053703703703706</v>
      </c>
      <c r="G1080" t="str">
        <f t="shared" si="116"/>
        <v>fevereiro</v>
      </c>
      <c r="H1080">
        <f t="shared" si="117"/>
        <v>2024</v>
      </c>
    </row>
    <row r="1081" spans="1:8" hidden="1" x14ac:dyDescent="0.25">
      <c r="A1081">
        <v>3022906</v>
      </c>
      <c r="B1081" s="25">
        <v>45323</v>
      </c>
      <c r="C1081" t="s">
        <v>188</v>
      </c>
      <c r="D1081" s="6">
        <v>2720</v>
      </c>
      <c r="E1081" s="9">
        <v>5526.33</v>
      </c>
      <c r="F1081" s="20">
        <f t="shared" si="118"/>
        <v>2.0317389705882354</v>
      </c>
      <c r="G1081" t="str">
        <f t="shared" si="116"/>
        <v>fevereiro</v>
      </c>
      <c r="H1081">
        <f t="shared" si="117"/>
        <v>2024</v>
      </c>
    </row>
    <row r="1082" spans="1:8" hidden="1" x14ac:dyDescent="0.25">
      <c r="A1082">
        <v>3023007</v>
      </c>
      <c r="B1082" s="25">
        <v>45323</v>
      </c>
      <c r="C1082" t="s">
        <v>190</v>
      </c>
      <c r="D1082" s="6">
        <v>1280</v>
      </c>
      <c r="E1082" s="9">
        <v>2622.1</v>
      </c>
      <c r="F1082" s="20">
        <f t="shared" si="118"/>
        <v>2.0485156249999998</v>
      </c>
      <c r="G1082" t="str">
        <f t="shared" si="116"/>
        <v>fevereiro</v>
      </c>
      <c r="H1082">
        <f t="shared" si="117"/>
        <v>2024</v>
      </c>
    </row>
    <row r="1083" spans="1:8" hidden="1" x14ac:dyDescent="0.25">
      <c r="A1083">
        <v>4030100</v>
      </c>
      <c r="B1083" s="25">
        <v>45323</v>
      </c>
      <c r="C1083" t="s">
        <v>200</v>
      </c>
      <c r="D1083" s="6">
        <v>384.86</v>
      </c>
      <c r="E1083" s="9">
        <v>2395.41</v>
      </c>
      <c r="F1083" s="20">
        <f t="shared" si="118"/>
        <v>6.2241074676505734</v>
      </c>
      <c r="G1083" t="str">
        <f t="shared" si="116"/>
        <v>fevereiro</v>
      </c>
      <c r="H1083">
        <f t="shared" si="117"/>
        <v>2024</v>
      </c>
    </row>
    <row r="1084" spans="1:8" hidden="1" x14ac:dyDescent="0.25">
      <c r="A1084">
        <v>4030211</v>
      </c>
      <c r="B1084" s="25">
        <v>45323</v>
      </c>
      <c r="C1084" t="s">
        <v>202</v>
      </c>
      <c r="D1084" s="6">
        <v>636.88</v>
      </c>
      <c r="E1084" s="9">
        <v>3755.03</v>
      </c>
      <c r="F1084" s="20">
        <f t="shared" si="118"/>
        <v>5.8959772641627941</v>
      </c>
      <c r="G1084" t="str">
        <f t="shared" si="116"/>
        <v>fevereiro</v>
      </c>
      <c r="H1084">
        <f t="shared" si="117"/>
        <v>2024</v>
      </c>
    </row>
    <row r="1085" spans="1:8" hidden="1" x14ac:dyDescent="0.25">
      <c r="A1085">
        <v>4030311</v>
      </c>
      <c r="B1085" s="25">
        <v>45323</v>
      </c>
      <c r="C1085" t="s">
        <v>311</v>
      </c>
      <c r="D1085" s="6">
        <v>516.42999999999995</v>
      </c>
      <c r="E1085" s="9">
        <v>3375.67</v>
      </c>
      <c r="F1085" s="20">
        <f t="shared" si="118"/>
        <v>6.536548999864455</v>
      </c>
      <c r="G1085" t="str">
        <f t="shared" si="116"/>
        <v>fevereiro</v>
      </c>
      <c r="H1085">
        <f t="shared" si="117"/>
        <v>2024</v>
      </c>
    </row>
    <row r="1086" spans="1:8" hidden="1" x14ac:dyDescent="0.25">
      <c r="A1086">
        <v>4030401</v>
      </c>
      <c r="B1086" s="25">
        <v>45323</v>
      </c>
      <c r="C1086" t="s">
        <v>923</v>
      </c>
      <c r="D1086" s="6">
        <v>305.93</v>
      </c>
      <c r="E1086" s="9">
        <v>1511.84</v>
      </c>
      <c r="F1086" s="20">
        <f t="shared" si="118"/>
        <v>4.9417840682509064</v>
      </c>
      <c r="G1086" t="str">
        <f t="shared" si="116"/>
        <v>fevereiro</v>
      </c>
      <c r="H1086">
        <f t="shared" si="117"/>
        <v>2024</v>
      </c>
    </row>
    <row r="1087" spans="1:8" hidden="1" x14ac:dyDescent="0.25">
      <c r="A1087">
        <v>4030532</v>
      </c>
      <c r="B1087" s="25">
        <v>45323</v>
      </c>
      <c r="C1087" t="s">
        <v>924</v>
      </c>
      <c r="D1087" s="6">
        <v>302.33999999999997</v>
      </c>
      <c r="E1087" s="9">
        <v>1503.52</v>
      </c>
      <c r="F1087" s="20">
        <f t="shared" si="118"/>
        <v>4.9729443672686386</v>
      </c>
      <c r="G1087" t="str">
        <f t="shared" si="116"/>
        <v>fevereiro</v>
      </c>
      <c r="H1087">
        <f t="shared" si="117"/>
        <v>2024</v>
      </c>
    </row>
    <row r="1088" spans="1:8" hidden="1" x14ac:dyDescent="0.25">
      <c r="A1088">
        <v>4030600</v>
      </c>
      <c r="B1088" s="25">
        <v>45323</v>
      </c>
      <c r="C1088" t="s">
        <v>212</v>
      </c>
      <c r="D1088" s="6">
        <v>1187.83</v>
      </c>
      <c r="E1088" s="9">
        <v>3803.63</v>
      </c>
      <c r="F1088" s="20">
        <f t="shared" si="118"/>
        <v>3.2021669767559335</v>
      </c>
      <c r="G1088" t="str">
        <f t="shared" si="116"/>
        <v>fevereiro</v>
      </c>
      <c r="H1088">
        <f t="shared" si="117"/>
        <v>2024</v>
      </c>
    </row>
    <row r="1089" spans="1:8" hidden="1" x14ac:dyDescent="0.25">
      <c r="A1089">
        <v>4030711</v>
      </c>
      <c r="B1089" s="25">
        <v>45323</v>
      </c>
      <c r="C1089" t="s">
        <v>214</v>
      </c>
      <c r="D1089" s="6">
        <v>3651.24</v>
      </c>
      <c r="E1089" s="9">
        <v>11702.5</v>
      </c>
      <c r="F1089" s="20">
        <f t="shared" si="118"/>
        <v>3.2050755359822967</v>
      </c>
      <c r="G1089" t="str">
        <f t="shared" si="116"/>
        <v>fevereiro</v>
      </c>
      <c r="H1089">
        <f t="shared" si="117"/>
        <v>2024</v>
      </c>
    </row>
    <row r="1090" spans="1:8" hidden="1" x14ac:dyDescent="0.25">
      <c r="A1090">
        <v>4030811</v>
      </c>
      <c r="B1090" s="25">
        <v>45323</v>
      </c>
      <c r="C1090" t="s">
        <v>216</v>
      </c>
      <c r="D1090" s="6">
        <v>1326.12</v>
      </c>
      <c r="E1090" s="9">
        <v>4206.6899999999996</v>
      </c>
      <c r="F1090" s="20">
        <f t="shared" si="118"/>
        <v>3.1721789883268481</v>
      </c>
      <c r="G1090" t="str">
        <f t="shared" si="116"/>
        <v>fevereiro</v>
      </c>
      <c r="H1090">
        <f t="shared" si="117"/>
        <v>2024</v>
      </c>
    </row>
    <row r="1091" spans="1:8" hidden="1" x14ac:dyDescent="0.25">
      <c r="A1091">
        <v>4030813</v>
      </c>
      <c r="B1091" s="25">
        <v>45323</v>
      </c>
      <c r="C1091" t="s">
        <v>218</v>
      </c>
      <c r="D1091" s="6">
        <v>424.67</v>
      </c>
      <c r="E1091" s="9">
        <v>1180.5899999999999</v>
      </c>
      <c r="F1091" s="20">
        <f t="shared" si="118"/>
        <v>2.7800174252949348</v>
      </c>
      <c r="G1091" t="str">
        <f t="shared" si="116"/>
        <v>fevereiro</v>
      </c>
      <c r="H1091">
        <f t="shared" si="117"/>
        <v>2024</v>
      </c>
    </row>
    <row r="1092" spans="1:8" hidden="1" x14ac:dyDescent="0.25">
      <c r="A1092">
        <v>4030900</v>
      </c>
      <c r="B1092" s="25">
        <v>45323</v>
      </c>
      <c r="C1092" t="s">
        <v>220</v>
      </c>
      <c r="D1092" s="6">
        <v>5616.32</v>
      </c>
      <c r="E1092" s="9">
        <v>16883.16</v>
      </c>
      <c r="F1092" s="20">
        <f t="shared" si="118"/>
        <v>3.0060893966155775</v>
      </c>
      <c r="G1092" t="str">
        <f t="shared" si="116"/>
        <v>fevereiro</v>
      </c>
      <c r="H1092">
        <f t="shared" si="117"/>
        <v>2024</v>
      </c>
    </row>
    <row r="1093" spans="1:8" hidden="1" x14ac:dyDescent="0.25">
      <c r="A1093">
        <v>4030910</v>
      </c>
      <c r="B1093" s="25">
        <v>45323</v>
      </c>
      <c r="C1093" t="s">
        <v>222</v>
      </c>
      <c r="D1093" s="6">
        <v>86.93</v>
      </c>
      <c r="E1093" s="9">
        <v>277.17</v>
      </c>
      <c r="F1093" s="20">
        <f t="shared" si="118"/>
        <v>3.1884274703784654</v>
      </c>
      <c r="G1093" t="str">
        <f t="shared" si="116"/>
        <v>fevereiro</v>
      </c>
      <c r="H1093">
        <f t="shared" si="117"/>
        <v>2024</v>
      </c>
    </row>
    <row r="1094" spans="1:8" hidden="1" x14ac:dyDescent="0.25">
      <c r="A1094">
        <v>4031012</v>
      </c>
      <c r="B1094" s="25">
        <v>45323</v>
      </c>
      <c r="C1094" t="s">
        <v>925</v>
      </c>
      <c r="D1094" s="6">
        <v>1291.57</v>
      </c>
      <c r="E1094" s="9">
        <v>4032.58</v>
      </c>
      <c r="F1094" s="20">
        <f t="shared" si="118"/>
        <v>3.122231083100413</v>
      </c>
      <c r="G1094" t="str">
        <f t="shared" si="116"/>
        <v>fevereiro</v>
      </c>
      <c r="H1094">
        <f t="shared" si="117"/>
        <v>2024</v>
      </c>
    </row>
    <row r="1095" spans="1:8" hidden="1" x14ac:dyDescent="0.25">
      <c r="A1095">
        <v>4031017</v>
      </c>
      <c r="B1095" s="25">
        <v>45323</v>
      </c>
      <c r="C1095" t="s">
        <v>926</v>
      </c>
      <c r="D1095" s="6">
        <v>344</v>
      </c>
      <c r="E1095" s="9">
        <v>237.72</v>
      </c>
      <c r="F1095" s="20">
        <f t="shared" si="118"/>
        <v>0.69104651162790698</v>
      </c>
      <c r="G1095" t="str">
        <f t="shared" si="116"/>
        <v>fevereiro</v>
      </c>
      <c r="H1095">
        <f t="shared" si="117"/>
        <v>2024</v>
      </c>
    </row>
    <row r="1096" spans="1:8" hidden="1" x14ac:dyDescent="0.25">
      <c r="A1096">
        <v>4031019</v>
      </c>
      <c r="B1096" s="25">
        <v>45323</v>
      </c>
      <c r="C1096" t="s">
        <v>226</v>
      </c>
      <c r="D1096" s="6">
        <v>1889</v>
      </c>
      <c r="E1096" s="9">
        <v>1208.96</v>
      </c>
      <c r="F1096" s="20">
        <f t="shared" si="118"/>
        <v>0.64</v>
      </c>
      <c r="G1096" t="str">
        <f t="shared" si="116"/>
        <v>fevereiro</v>
      </c>
      <c r="H1096">
        <f t="shared" si="117"/>
        <v>2024</v>
      </c>
    </row>
    <row r="1097" spans="1:8" hidden="1" x14ac:dyDescent="0.25">
      <c r="A1097">
        <v>4031102</v>
      </c>
      <c r="B1097" s="25">
        <v>45323</v>
      </c>
      <c r="C1097" t="s">
        <v>228</v>
      </c>
      <c r="D1097" s="6">
        <v>10703.7</v>
      </c>
      <c r="E1097" s="9">
        <v>31570.959999999999</v>
      </c>
      <c r="F1097" s="20">
        <f t="shared" si="118"/>
        <v>2.9495370759643857</v>
      </c>
      <c r="G1097" t="str">
        <f t="shared" si="116"/>
        <v>fevereiro</v>
      </c>
      <c r="H1097">
        <f t="shared" si="117"/>
        <v>2024</v>
      </c>
    </row>
    <row r="1098" spans="1:8" hidden="1" x14ac:dyDescent="0.25">
      <c r="A1098">
        <v>4031200</v>
      </c>
      <c r="B1098" s="25">
        <v>45323</v>
      </c>
      <c r="C1098" t="s">
        <v>927</v>
      </c>
      <c r="D1098" s="6">
        <v>1153.4000000000001</v>
      </c>
      <c r="E1098" s="9">
        <v>3474.74</v>
      </c>
      <c r="F1098" s="20">
        <f t="shared" si="118"/>
        <v>3.0126062077336564</v>
      </c>
      <c r="G1098" t="str">
        <f t="shared" si="116"/>
        <v>fevereiro</v>
      </c>
      <c r="H1098">
        <f t="shared" si="117"/>
        <v>2024</v>
      </c>
    </row>
    <row r="1099" spans="1:8" hidden="1" x14ac:dyDescent="0.25">
      <c r="A1099">
        <v>4031304</v>
      </c>
      <c r="B1099" s="25">
        <v>45323</v>
      </c>
      <c r="C1099" t="s">
        <v>928</v>
      </c>
      <c r="D1099" s="6">
        <v>1143.05</v>
      </c>
      <c r="E1099" s="9">
        <v>3373.52</v>
      </c>
      <c r="F1099" s="20">
        <f t="shared" si="118"/>
        <v>2.9513319627312891</v>
      </c>
      <c r="G1099" t="str">
        <f t="shared" si="116"/>
        <v>fevereiro</v>
      </c>
      <c r="H1099">
        <f t="shared" si="117"/>
        <v>2024</v>
      </c>
    </row>
    <row r="1100" spans="1:8" hidden="1" x14ac:dyDescent="0.25">
      <c r="A1100">
        <v>4031411</v>
      </c>
      <c r="B1100" s="25">
        <v>45323</v>
      </c>
      <c r="C1100" t="s">
        <v>234</v>
      </c>
      <c r="D1100" s="6">
        <v>55.41</v>
      </c>
      <c r="E1100" s="9">
        <v>169.66</v>
      </c>
      <c r="F1100" s="20">
        <f t="shared" si="118"/>
        <v>3.06190218372135</v>
      </c>
      <c r="G1100" t="str">
        <f t="shared" si="116"/>
        <v>fevereiro</v>
      </c>
      <c r="H1100">
        <f t="shared" si="117"/>
        <v>2024</v>
      </c>
    </row>
    <row r="1101" spans="1:8" hidden="1" x14ac:dyDescent="0.25">
      <c r="A1101">
        <v>4031500</v>
      </c>
      <c r="B1101" s="25">
        <v>45323</v>
      </c>
      <c r="C1101" t="s">
        <v>236</v>
      </c>
      <c r="D1101" s="6">
        <v>5660.28</v>
      </c>
      <c r="E1101" s="9">
        <v>16125.54</v>
      </c>
      <c r="F1101" s="20">
        <f t="shared" si="118"/>
        <v>2.8488944009836974</v>
      </c>
      <c r="G1101" t="str">
        <f t="shared" si="116"/>
        <v>fevereiro</v>
      </c>
      <c r="H1101">
        <f t="shared" si="117"/>
        <v>2024</v>
      </c>
    </row>
    <row r="1102" spans="1:8" hidden="1" x14ac:dyDescent="0.25">
      <c r="A1102">
        <v>4031604</v>
      </c>
      <c r="B1102" s="25">
        <v>45323</v>
      </c>
      <c r="C1102" t="s">
        <v>238</v>
      </c>
      <c r="D1102" s="6">
        <v>5581.18</v>
      </c>
      <c r="E1102" s="9">
        <v>15253.3</v>
      </c>
      <c r="F1102" s="20">
        <f t="shared" si="118"/>
        <v>2.7329883644677286</v>
      </c>
      <c r="G1102" t="str">
        <f t="shared" si="116"/>
        <v>fevereiro</v>
      </c>
      <c r="H1102">
        <f t="shared" si="117"/>
        <v>2024</v>
      </c>
    </row>
    <row r="1103" spans="1:8" hidden="1" x14ac:dyDescent="0.25">
      <c r="A1103">
        <v>4031605</v>
      </c>
      <c r="B1103" s="25">
        <v>45323</v>
      </c>
      <c r="C1103" t="s">
        <v>240</v>
      </c>
      <c r="D1103" s="6">
        <v>56.17</v>
      </c>
      <c r="E1103" s="9">
        <v>180.27</v>
      </c>
      <c r="F1103" s="20">
        <f t="shared" si="118"/>
        <v>3.2093644294107175</v>
      </c>
      <c r="G1103" t="str">
        <f t="shared" si="116"/>
        <v>fevereiro</v>
      </c>
      <c r="H1103">
        <f t="shared" si="117"/>
        <v>2024</v>
      </c>
    </row>
    <row r="1104" spans="1:8" hidden="1" x14ac:dyDescent="0.25">
      <c r="A1104">
        <v>4031700</v>
      </c>
      <c r="B1104" s="25">
        <v>45323</v>
      </c>
      <c r="C1104" t="s">
        <v>929</v>
      </c>
      <c r="D1104" s="6">
        <v>616.97</v>
      </c>
      <c r="E1104" s="9">
        <v>1842.29</v>
      </c>
      <c r="F1104" s="20">
        <f t="shared" si="118"/>
        <v>2.9860284940920949</v>
      </c>
      <c r="G1104" t="str">
        <f t="shared" si="116"/>
        <v>fevereiro</v>
      </c>
      <c r="H1104">
        <f t="shared" si="117"/>
        <v>2024</v>
      </c>
    </row>
    <row r="1105" spans="1:8" hidden="1" x14ac:dyDescent="0.25">
      <c r="A1105">
        <v>4031812</v>
      </c>
      <c r="B1105" s="25">
        <v>45323</v>
      </c>
      <c r="C1105" t="s">
        <v>930</v>
      </c>
      <c r="D1105" s="6">
        <v>458.12</v>
      </c>
      <c r="E1105" s="9">
        <v>1437.79</v>
      </c>
      <c r="F1105" s="20">
        <f t="shared" si="118"/>
        <v>3.1384571727931547</v>
      </c>
      <c r="G1105" t="str">
        <f t="shared" si="116"/>
        <v>fevereiro</v>
      </c>
      <c r="H1105">
        <f t="shared" si="117"/>
        <v>2024</v>
      </c>
    </row>
    <row r="1106" spans="1:8" hidden="1" x14ac:dyDescent="0.25">
      <c r="A1106">
        <v>4031813</v>
      </c>
      <c r="B1106" s="25">
        <v>45323</v>
      </c>
      <c r="C1106" t="s">
        <v>931</v>
      </c>
      <c r="D1106" s="6">
        <v>559</v>
      </c>
      <c r="E1106" s="9">
        <v>366.17</v>
      </c>
      <c r="F1106" s="20">
        <f t="shared" si="118"/>
        <v>0.65504472271914138</v>
      </c>
      <c r="G1106" t="str">
        <f t="shared" si="116"/>
        <v>fevereiro</v>
      </c>
      <c r="H1106">
        <f t="shared" si="117"/>
        <v>2024</v>
      </c>
    </row>
    <row r="1107" spans="1:8" hidden="1" x14ac:dyDescent="0.25">
      <c r="A1107">
        <v>4031904</v>
      </c>
      <c r="B1107" s="25">
        <v>45323</v>
      </c>
      <c r="C1107" t="s">
        <v>932</v>
      </c>
      <c r="D1107" s="6">
        <v>863.32</v>
      </c>
      <c r="E1107" s="9">
        <v>2549.25</v>
      </c>
      <c r="F1107" s="20">
        <f t="shared" si="118"/>
        <v>2.9528448315804106</v>
      </c>
      <c r="G1107" t="str">
        <f t="shared" si="116"/>
        <v>fevereiro</v>
      </c>
      <c r="H1107">
        <f t="shared" si="117"/>
        <v>2024</v>
      </c>
    </row>
    <row r="1108" spans="1:8" hidden="1" x14ac:dyDescent="0.25">
      <c r="A1108">
        <v>4032111</v>
      </c>
      <c r="B1108" s="25">
        <v>45323</v>
      </c>
      <c r="C1108" t="s">
        <v>314</v>
      </c>
      <c r="D1108" s="6">
        <v>2.74</v>
      </c>
      <c r="E1108" s="9">
        <v>14.66</v>
      </c>
      <c r="F1108" s="20">
        <f t="shared" si="118"/>
        <v>5.3503649635036492</v>
      </c>
      <c r="G1108" t="str">
        <f t="shared" si="116"/>
        <v>fevereiro</v>
      </c>
      <c r="H1108">
        <f t="shared" si="117"/>
        <v>2024</v>
      </c>
    </row>
    <row r="1109" spans="1:8" hidden="1" x14ac:dyDescent="0.25">
      <c r="A1109">
        <v>4032205</v>
      </c>
      <c r="B1109" s="25">
        <v>45323</v>
      </c>
      <c r="C1109" t="s">
        <v>553</v>
      </c>
      <c r="D1109" s="6">
        <v>188.41</v>
      </c>
      <c r="E1109" s="9">
        <v>980.02</v>
      </c>
      <c r="F1109" s="20">
        <f t="shared" si="118"/>
        <v>5.2015285812854941</v>
      </c>
      <c r="G1109" t="str">
        <f t="shared" si="116"/>
        <v>fevereiro</v>
      </c>
      <c r="H1109">
        <f t="shared" si="117"/>
        <v>2024</v>
      </c>
    </row>
    <row r="1110" spans="1:8" hidden="1" x14ac:dyDescent="0.25">
      <c r="A1110">
        <v>4032206</v>
      </c>
      <c r="B1110" s="25">
        <v>45323</v>
      </c>
      <c r="C1110" t="s">
        <v>555</v>
      </c>
      <c r="D1110" s="6">
        <v>72.209999999999994</v>
      </c>
      <c r="E1110" s="9">
        <v>359.96</v>
      </c>
      <c r="F1110" s="20">
        <f t="shared" si="118"/>
        <v>4.9849051377925493</v>
      </c>
      <c r="G1110" t="str">
        <f t="shared" si="116"/>
        <v>fevereiro</v>
      </c>
      <c r="H1110">
        <f t="shared" si="117"/>
        <v>2024</v>
      </c>
    </row>
    <row r="1111" spans="1:8" hidden="1" x14ac:dyDescent="0.25">
      <c r="A1111">
        <v>4032312</v>
      </c>
      <c r="B1111" s="25">
        <v>45323</v>
      </c>
      <c r="C1111" t="s">
        <v>252</v>
      </c>
      <c r="D1111" s="6">
        <v>477.57</v>
      </c>
      <c r="E1111" s="9">
        <v>1695.89</v>
      </c>
      <c r="F1111" s="20">
        <f t="shared" si="118"/>
        <v>3.5510815168456982</v>
      </c>
      <c r="G1111" t="str">
        <f t="shared" si="116"/>
        <v>fevereiro</v>
      </c>
      <c r="H1111">
        <f t="shared" si="117"/>
        <v>2024</v>
      </c>
    </row>
    <row r="1112" spans="1:8" hidden="1" x14ac:dyDescent="0.25">
      <c r="A1112">
        <v>4032404</v>
      </c>
      <c r="B1112" s="25">
        <v>45323</v>
      </c>
      <c r="C1112" t="s">
        <v>254</v>
      </c>
      <c r="D1112" s="6">
        <v>129.86000000000001</v>
      </c>
      <c r="E1112" s="9">
        <v>555.25</v>
      </c>
      <c r="F1112" s="20">
        <f t="shared" si="118"/>
        <v>4.2757585091637145</v>
      </c>
      <c r="G1112" t="str">
        <f t="shared" si="116"/>
        <v>fevereiro</v>
      </c>
      <c r="H1112">
        <f t="shared" si="117"/>
        <v>2024</v>
      </c>
    </row>
    <row r="1113" spans="1:8" hidden="1" x14ac:dyDescent="0.25">
      <c r="A1113">
        <v>4032500</v>
      </c>
      <c r="B1113" s="25">
        <v>45323</v>
      </c>
      <c r="C1113" t="s">
        <v>256</v>
      </c>
      <c r="D1113" s="6">
        <v>363.8</v>
      </c>
      <c r="E1113" s="9">
        <v>1048.71</v>
      </c>
      <c r="F1113" s="20">
        <f t="shared" si="118"/>
        <v>2.8826553051126993</v>
      </c>
      <c r="G1113" t="str">
        <f t="shared" si="116"/>
        <v>fevereiro</v>
      </c>
      <c r="H1113">
        <f t="shared" si="117"/>
        <v>2024</v>
      </c>
    </row>
    <row r="1114" spans="1:8" hidden="1" x14ac:dyDescent="0.25">
      <c r="A1114">
        <v>4032611</v>
      </c>
      <c r="B1114" s="25">
        <v>45323</v>
      </c>
      <c r="C1114" t="s">
        <v>258</v>
      </c>
      <c r="D1114" s="6">
        <v>81.36</v>
      </c>
      <c r="E1114" s="9">
        <v>253.26</v>
      </c>
      <c r="F1114" s="20">
        <f t="shared" si="118"/>
        <v>3.1128318584070795</v>
      </c>
      <c r="G1114" t="str">
        <f t="shared" ref="G1114:G1130" si="119">TEXT(B1114,"mmmm")</f>
        <v>fevereiro</v>
      </c>
      <c r="H1114">
        <f t="shared" ref="H1114:H1130" si="120">YEAR(B1114)</f>
        <v>2024</v>
      </c>
    </row>
    <row r="1115" spans="1:8" hidden="1" x14ac:dyDescent="0.25">
      <c r="A1115">
        <v>4032612</v>
      </c>
      <c r="B1115" s="25">
        <v>45323</v>
      </c>
      <c r="C1115" t="s">
        <v>933</v>
      </c>
      <c r="D1115" s="6">
        <v>127.54</v>
      </c>
      <c r="E1115" s="9">
        <v>68.87</v>
      </c>
      <c r="F1115" s="20">
        <f t="shared" si="118"/>
        <v>0.53998745491610478</v>
      </c>
      <c r="G1115" t="str">
        <f t="shared" si="119"/>
        <v>fevereiro</v>
      </c>
      <c r="H1115">
        <f t="shared" si="120"/>
        <v>2024</v>
      </c>
    </row>
    <row r="1116" spans="1:8" hidden="1" x14ac:dyDescent="0.25">
      <c r="A1116">
        <v>4032704</v>
      </c>
      <c r="B1116" s="25">
        <v>45323</v>
      </c>
      <c r="C1116" t="s">
        <v>260</v>
      </c>
      <c r="D1116" s="6">
        <v>490.21</v>
      </c>
      <c r="E1116" s="9">
        <v>1449.71</v>
      </c>
      <c r="F1116" s="20">
        <f t="shared" si="118"/>
        <v>2.9573244119866997</v>
      </c>
      <c r="G1116" t="str">
        <f t="shared" si="119"/>
        <v>fevereiro</v>
      </c>
      <c r="H1116">
        <f t="shared" si="120"/>
        <v>2024</v>
      </c>
    </row>
    <row r="1117" spans="1:8" hidden="1" x14ac:dyDescent="0.25">
      <c r="A1117">
        <v>4032800</v>
      </c>
      <c r="B1117" s="25">
        <v>45323</v>
      </c>
      <c r="C1117" t="s">
        <v>262</v>
      </c>
      <c r="D1117" s="6">
        <v>377.82</v>
      </c>
      <c r="E1117" s="9">
        <v>2019.46</v>
      </c>
      <c r="F1117" s="20">
        <f t="shared" si="118"/>
        <v>5.3450320258324071</v>
      </c>
      <c r="G1117" t="str">
        <f t="shared" si="119"/>
        <v>fevereiro</v>
      </c>
      <c r="H1117">
        <f t="shared" si="120"/>
        <v>2024</v>
      </c>
    </row>
    <row r="1118" spans="1:8" hidden="1" x14ac:dyDescent="0.25">
      <c r="A1118">
        <v>4032902</v>
      </c>
      <c r="B1118" s="25">
        <v>45323</v>
      </c>
      <c r="C1118" t="s">
        <v>264</v>
      </c>
      <c r="D1118" s="6">
        <v>687.8</v>
      </c>
      <c r="E1118" s="9">
        <v>3639.36</v>
      </c>
      <c r="F1118" s="20">
        <f t="shared" si="118"/>
        <v>5.29130561209654</v>
      </c>
      <c r="G1118" t="str">
        <f t="shared" si="119"/>
        <v>fevereiro</v>
      </c>
      <c r="H1118">
        <f t="shared" si="120"/>
        <v>2024</v>
      </c>
    </row>
    <row r="1119" spans="1:8" hidden="1" x14ac:dyDescent="0.25">
      <c r="A1119">
        <v>4033011</v>
      </c>
      <c r="B1119" s="25">
        <v>45323</v>
      </c>
      <c r="C1119" t="s">
        <v>266</v>
      </c>
      <c r="D1119" s="6">
        <v>314.92</v>
      </c>
      <c r="E1119" s="9">
        <v>1602.26</v>
      </c>
      <c r="F1119" s="20">
        <f t="shared" si="118"/>
        <v>5.0878318303061096</v>
      </c>
      <c r="G1119" t="str">
        <f t="shared" si="119"/>
        <v>fevereiro</v>
      </c>
      <c r="H1119">
        <f t="shared" si="120"/>
        <v>2024</v>
      </c>
    </row>
    <row r="1120" spans="1:8" hidden="1" x14ac:dyDescent="0.25">
      <c r="A1120">
        <v>4033111</v>
      </c>
      <c r="B1120" s="25">
        <v>45323</v>
      </c>
      <c r="C1120" t="s">
        <v>268</v>
      </c>
      <c r="D1120" s="6">
        <v>710.46</v>
      </c>
      <c r="E1120" s="9">
        <v>3076.54</v>
      </c>
      <c r="F1120" s="20">
        <f t="shared" ref="F1120:F1130" si="121">E1120/D1120</f>
        <v>4.3303493511246236</v>
      </c>
      <c r="G1120" t="str">
        <f t="shared" si="119"/>
        <v>fevereiro</v>
      </c>
      <c r="H1120">
        <f t="shared" si="120"/>
        <v>2024</v>
      </c>
    </row>
    <row r="1121" spans="1:8" hidden="1" x14ac:dyDescent="0.25">
      <c r="A1121">
        <v>4033211</v>
      </c>
      <c r="B1121" s="25">
        <v>45323</v>
      </c>
      <c r="C1121" t="s">
        <v>270</v>
      </c>
      <c r="D1121" s="6">
        <v>96.87</v>
      </c>
      <c r="E1121" s="9">
        <v>415.31</v>
      </c>
      <c r="F1121" s="20">
        <f t="shared" si="121"/>
        <v>4.2872922473417985</v>
      </c>
      <c r="G1121" t="str">
        <f t="shared" si="119"/>
        <v>fevereiro</v>
      </c>
      <c r="H1121">
        <f t="shared" si="120"/>
        <v>2024</v>
      </c>
    </row>
    <row r="1122" spans="1:8" hidden="1" x14ac:dyDescent="0.25">
      <c r="A1122">
        <v>4033311</v>
      </c>
      <c r="B1122" s="25">
        <v>45323</v>
      </c>
      <c r="C1122" t="s">
        <v>272</v>
      </c>
      <c r="D1122" s="6">
        <v>17.02</v>
      </c>
      <c r="E1122" s="9">
        <v>105.08</v>
      </c>
      <c r="F1122" s="20">
        <f t="shared" si="121"/>
        <v>6.1739130434782608</v>
      </c>
      <c r="G1122" t="str">
        <f t="shared" si="119"/>
        <v>fevereiro</v>
      </c>
      <c r="H1122">
        <f t="shared" si="120"/>
        <v>2024</v>
      </c>
    </row>
    <row r="1123" spans="1:8" hidden="1" x14ac:dyDescent="0.25">
      <c r="A1123">
        <v>4033400</v>
      </c>
      <c r="B1123" s="25">
        <v>45323</v>
      </c>
      <c r="C1123" t="s">
        <v>274</v>
      </c>
      <c r="D1123" s="6">
        <v>1072.4000000000001</v>
      </c>
      <c r="E1123" s="9">
        <v>3326.6</v>
      </c>
      <c r="F1123" s="20">
        <f t="shared" si="121"/>
        <v>3.1020141738157401</v>
      </c>
      <c r="G1123" t="str">
        <f t="shared" si="119"/>
        <v>fevereiro</v>
      </c>
      <c r="H1123">
        <f t="shared" si="120"/>
        <v>2024</v>
      </c>
    </row>
    <row r="1124" spans="1:8" hidden="1" x14ac:dyDescent="0.25">
      <c r="A1124">
        <v>4033511</v>
      </c>
      <c r="B1124" s="25">
        <v>45323</v>
      </c>
      <c r="C1124" t="s">
        <v>276</v>
      </c>
      <c r="D1124" s="6">
        <v>4269.75</v>
      </c>
      <c r="E1124" s="9">
        <v>13375.65</v>
      </c>
      <c r="F1124" s="20">
        <f t="shared" si="121"/>
        <v>3.1326541366590548</v>
      </c>
      <c r="G1124" t="str">
        <f t="shared" si="119"/>
        <v>fevereiro</v>
      </c>
      <c r="H1124">
        <f t="shared" si="120"/>
        <v>2024</v>
      </c>
    </row>
    <row r="1125" spans="1:8" hidden="1" x14ac:dyDescent="0.25">
      <c r="A1125">
        <v>4033900</v>
      </c>
      <c r="B1125" s="25">
        <v>45323</v>
      </c>
      <c r="C1125" t="s">
        <v>278</v>
      </c>
      <c r="D1125" s="6">
        <v>44.16</v>
      </c>
      <c r="E1125" s="9">
        <v>224.3</v>
      </c>
      <c r="F1125" s="20">
        <f t="shared" si="121"/>
        <v>5.0792572463768124</v>
      </c>
      <c r="G1125" t="str">
        <f t="shared" si="119"/>
        <v>fevereiro</v>
      </c>
      <c r="H1125">
        <f t="shared" si="120"/>
        <v>2024</v>
      </c>
    </row>
    <row r="1126" spans="1:8" hidden="1" x14ac:dyDescent="0.25">
      <c r="A1126">
        <v>4034011</v>
      </c>
      <c r="B1126" s="25">
        <v>45323</v>
      </c>
      <c r="C1126" t="s">
        <v>280</v>
      </c>
      <c r="D1126" s="6">
        <v>774.11</v>
      </c>
      <c r="E1126" s="9">
        <v>4048.97</v>
      </c>
      <c r="F1126" s="20">
        <f t="shared" si="121"/>
        <v>5.2304840397359547</v>
      </c>
      <c r="G1126" t="str">
        <f t="shared" si="119"/>
        <v>fevereiro</v>
      </c>
      <c r="H1126">
        <f t="shared" si="120"/>
        <v>2024</v>
      </c>
    </row>
    <row r="1127" spans="1:8" hidden="1" x14ac:dyDescent="0.25">
      <c r="A1127">
        <v>4034012</v>
      </c>
      <c r="B1127" s="25">
        <v>45323</v>
      </c>
      <c r="C1127" t="s">
        <v>934</v>
      </c>
      <c r="D1127" s="6">
        <v>1408.5</v>
      </c>
      <c r="E1127" s="9">
        <v>1806.59</v>
      </c>
      <c r="F1127" s="20">
        <f t="shared" si="121"/>
        <v>1.2826340078097267</v>
      </c>
      <c r="G1127" t="str">
        <f t="shared" si="119"/>
        <v>fevereiro</v>
      </c>
      <c r="H1127">
        <f t="shared" si="120"/>
        <v>2024</v>
      </c>
    </row>
    <row r="1128" spans="1:8" hidden="1" x14ac:dyDescent="0.25">
      <c r="A1128">
        <v>4034211</v>
      </c>
      <c r="B1128" s="25">
        <v>45323</v>
      </c>
      <c r="C1128" t="s">
        <v>282</v>
      </c>
      <c r="D1128" s="6">
        <v>200.69</v>
      </c>
      <c r="E1128" s="9">
        <v>865.81</v>
      </c>
      <c r="F1128" s="20">
        <f t="shared" si="121"/>
        <v>4.3141661268623244</v>
      </c>
      <c r="G1128" t="str">
        <f t="shared" si="119"/>
        <v>fevereiro</v>
      </c>
      <c r="H1128">
        <f t="shared" si="120"/>
        <v>2024</v>
      </c>
    </row>
    <row r="1129" spans="1:8" hidden="1" x14ac:dyDescent="0.25">
      <c r="A1129">
        <v>4034400</v>
      </c>
      <c r="B1129" s="25">
        <v>45323</v>
      </c>
      <c r="C1129" t="s">
        <v>284</v>
      </c>
      <c r="D1129" s="6">
        <v>257.88</v>
      </c>
      <c r="E1129" s="9">
        <v>690.66</v>
      </c>
      <c r="F1129" s="20">
        <f t="shared" si="121"/>
        <v>2.6782224290367611</v>
      </c>
      <c r="G1129" t="str">
        <f t="shared" si="119"/>
        <v>fevereiro</v>
      </c>
      <c r="H1129">
        <f t="shared" si="120"/>
        <v>2024</v>
      </c>
    </row>
    <row r="1130" spans="1:8" hidden="1" x14ac:dyDescent="0.25">
      <c r="A1130">
        <v>4034502</v>
      </c>
      <c r="B1130" s="25">
        <v>45323</v>
      </c>
      <c r="C1130" t="s">
        <v>286</v>
      </c>
      <c r="D1130" s="6">
        <v>359.25</v>
      </c>
      <c r="E1130" s="9">
        <v>1014.78</v>
      </c>
      <c r="F1130" s="20">
        <f t="shared" si="121"/>
        <v>2.8247181628392481</v>
      </c>
      <c r="G1130" t="str">
        <f t="shared" si="119"/>
        <v>fevereiro</v>
      </c>
      <c r="H1130">
        <f t="shared" si="120"/>
        <v>2024</v>
      </c>
    </row>
    <row r="1131" spans="1:8" hidden="1" x14ac:dyDescent="0.25">
      <c r="A1131">
        <v>3020103</v>
      </c>
      <c r="B1131" s="25">
        <v>45352</v>
      </c>
      <c r="C1131" t="s">
        <v>131</v>
      </c>
      <c r="D1131" s="6">
        <v>5327</v>
      </c>
      <c r="E1131" s="9">
        <v>17789.349999999999</v>
      </c>
      <c r="F1131" s="20">
        <f t="shared" ref="F1131:F1148" si="122">E1131/D1131</f>
        <v>3.3394687441336584</v>
      </c>
      <c r="G1131" t="str">
        <f t="shared" ref="G1131:G1142" si="123">TEXT(B1131,"mmmm")</f>
        <v>março</v>
      </c>
      <c r="H1131">
        <f t="shared" ref="H1131:H1142" si="124">YEAR(B1131)</f>
        <v>2024</v>
      </c>
    </row>
    <row r="1132" spans="1:8" hidden="1" x14ac:dyDescent="0.25">
      <c r="A1132">
        <v>3020212</v>
      </c>
      <c r="B1132" s="25">
        <v>45352</v>
      </c>
      <c r="C1132" t="s">
        <v>133</v>
      </c>
      <c r="D1132" s="6">
        <v>1690.64</v>
      </c>
      <c r="E1132" s="9">
        <v>6378.8</v>
      </c>
      <c r="F1132" s="20">
        <f t="shared" si="122"/>
        <v>3.7730090379974448</v>
      </c>
      <c r="G1132" t="str">
        <f t="shared" si="123"/>
        <v>março</v>
      </c>
      <c r="H1132">
        <f t="shared" si="124"/>
        <v>2024</v>
      </c>
    </row>
    <row r="1133" spans="1:8" hidden="1" x14ac:dyDescent="0.25">
      <c r="A1133">
        <v>3020214</v>
      </c>
      <c r="B1133" s="25">
        <v>45352</v>
      </c>
      <c r="C1133" t="s">
        <v>135</v>
      </c>
      <c r="D1133" s="6">
        <v>547</v>
      </c>
      <c r="E1133" s="9">
        <v>1984.23</v>
      </c>
      <c r="F1133" s="20">
        <f t="shared" si="122"/>
        <v>3.6274771480804389</v>
      </c>
      <c r="G1133" t="str">
        <f t="shared" si="123"/>
        <v>março</v>
      </c>
      <c r="H1133">
        <f t="shared" si="124"/>
        <v>2024</v>
      </c>
    </row>
    <row r="1134" spans="1:8" hidden="1" x14ac:dyDescent="0.25">
      <c r="A1134">
        <v>3020315</v>
      </c>
      <c r="B1134" s="25">
        <v>45352</v>
      </c>
      <c r="C1134" t="s">
        <v>137</v>
      </c>
      <c r="D1134" s="6">
        <v>2508.84</v>
      </c>
      <c r="E1134" s="9">
        <v>9080.4599999999991</v>
      </c>
      <c r="F1134" s="20">
        <f t="shared" si="122"/>
        <v>3.6193858516286403</v>
      </c>
      <c r="G1134" t="str">
        <f t="shared" si="123"/>
        <v>março</v>
      </c>
      <c r="H1134">
        <f t="shared" si="124"/>
        <v>2024</v>
      </c>
    </row>
    <row r="1135" spans="1:8" hidden="1" x14ac:dyDescent="0.25">
      <c r="A1135">
        <v>3020316</v>
      </c>
      <c r="B1135" s="25">
        <v>45352</v>
      </c>
      <c r="C1135" t="s">
        <v>139</v>
      </c>
      <c r="D1135" s="6">
        <v>203.4</v>
      </c>
      <c r="E1135" s="9">
        <v>661.06</v>
      </c>
      <c r="F1135" s="20">
        <f t="shared" si="122"/>
        <v>3.2500491642084559</v>
      </c>
      <c r="G1135" t="str">
        <f t="shared" si="123"/>
        <v>março</v>
      </c>
      <c r="H1135">
        <f t="shared" si="124"/>
        <v>2024</v>
      </c>
    </row>
    <row r="1136" spans="1:8" hidden="1" x14ac:dyDescent="0.25">
      <c r="A1136">
        <v>3020317</v>
      </c>
      <c r="B1136" s="25">
        <v>45352</v>
      </c>
      <c r="C1136" t="s">
        <v>845</v>
      </c>
      <c r="D1136" s="6">
        <v>69</v>
      </c>
      <c r="E1136" s="9">
        <v>241.5</v>
      </c>
      <c r="F1136" s="20">
        <f t="shared" si="122"/>
        <v>3.5</v>
      </c>
      <c r="G1136" t="str">
        <f t="shared" si="123"/>
        <v>março</v>
      </c>
      <c r="H1136">
        <f t="shared" si="124"/>
        <v>2024</v>
      </c>
    </row>
    <row r="1137" spans="1:8" hidden="1" x14ac:dyDescent="0.25">
      <c r="A1137">
        <v>3020318</v>
      </c>
      <c r="B1137" s="25">
        <v>45352</v>
      </c>
      <c r="C1137" t="s">
        <v>847</v>
      </c>
      <c r="D1137" s="6">
        <v>34.5</v>
      </c>
      <c r="E1137" s="9">
        <v>120.75</v>
      </c>
      <c r="F1137" s="20">
        <f t="shared" si="122"/>
        <v>3.5</v>
      </c>
      <c r="G1137" t="str">
        <f t="shared" si="123"/>
        <v>março</v>
      </c>
      <c r="H1137">
        <f t="shared" si="124"/>
        <v>2024</v>
      </c>
    </row>
    <row r="1138" spans="1:8" hidden="1" x14ac:dyDescent="0.25">
      <c r="A1138">
        <v>3020402</v>
      </c>
      <c r="B1138" s="25">
        <v>45352</v>
      </c>
      <c r="C1138" t="s">
        <v>141</v>
      </c>
      <c r="D1138" s="6">
        <v>1983.76</v>
      </c>
      <c r="E1138" s="9">
        <v>7196.6</v>
      </c>
      <c r="F1138" s="20">
        <f t="shared" si="122"/>
        <v>3.627757390006856</v>
      </c>
      <c r="G1138" t="str">
        <f t="shared" si="123"/>
        <v>março</v>
      </c>
      <c r="H1138">
        <f t="shared" si="124"/>
        <v>2024</v>
      </c>
    </row>
    <row r="1139" spans="1:8" hidden="1" x14ac:dyDescent="0.25">
      <c r="A1139">
        <v>3020504</v>
      </c>
      <c r="B1139" s="25">
        <v>45352</v>
      </c>
      <c r="C1139" t="s">
        <v>143</v>
      </c>
      <c r="D1139" s="6">
        <v>435.86</v>
      </c>
      <c r="E1139" s="9">
        <v>1688.22</v>
      </c>
      <c r="F1139" s="20">
        <f t="shared" si="122"/>
        <v>3.8733079429174504</v>
      </c>
      <c r="G1139" t="str">
        <f t="shared" si="123"/>
        <v>março</v>
      </c>
      <c r="H1139">
        <f t="shared" si="124"/>
        <v>2024</v>
      </c>
    </row>
    <row r="1140" spans="1:8" hidden="1" x14ac:dyDescent="0.25">
      <c r="A1140">
        <v>3020622</v>
      </c>
      <c r="B1140" s="25">
        <v>45352</v>
      </c>
      <c r="C1140" t="s">
        <v>145</v>
      </c>
      <c r="D1140" s="6">
        <v>7633.5</v>
      </c>
      <c r="E1140" s="9">
        <v>28036.86</v>
      </c>
      <c r="F1140" s="20">
        <f t="shared" si="122"/>
        <v>3.6728708980153271</v>
      </c>
      <c r="G1140" t="str">
        <f t="shared" si="123"/>
        <v>março</v>
      </c>
      <c r="H1140">
        <f t="shared" si="124"/>
        <v>2024</v>
      </c>
    </row>
    <row r="1141" spans="1:8" hidden="1" x14ac:dyDescent="0.25">
      <c r="A1141">
        <v>3020623</v>
      </c>
      <c r="B1141" s="25">
        <v>45352</v>
      </c>
      <c r="C1141" t="s">
        <v>147</v>
      </c>
      <c r="D1141" s="6">
        <v>621.29999999999995</v>
      </c>
      <c r="E1141" s="9">
        <v>2400.5100000000002</v>
      </c>
      <c r="F1141" s="20">
        <f t="shared" si="122"/>
        <v>3.863689039111541</v>
      </c>
      <c r="G1141" t="str">
        <f t="shared" si="123"/>
        <v>março</v>
      </c>
      <c r="H1141">
        <f t="shared" si="124"/>
        <v>2024</v>
      </c>
    </row>
    <row r="1142" spans="1:8" hidden="1" x14ac:dyDescent="0.25">
      <c r="A1142">
        <v>3020725</v>
      </c>
      <c r="B1142" s="25">
        <v>45352</v>
      </c>
      <c r="C1142" t="s">
        <v>149</v>
      </c>
      <c r="D1142" s="6">
        <v>338.57</v>
      </c>
      <c r="E1142" s="9">
        <v>1282.01</v>
      </c>
      <c r="F1142" s="20">
        <f t="shared" si="122"/>
        <v>3.7865434031367222</v>
      </c>
      <c r="G1142" t="str">
        <f t="shared" si="123"/>
        <v>março</v>
      </c>
      <c r="H1142">
        <f t="shared" si="124"/>
        <v>2024</v>
      </c>
    </row>
    <row r="1143" spans="1:8" hidden="1" x14ac:dyDescent="0.25">
      <c r="A1143">
        <v>3020823</v>
      </c>
      <c r="B1143" s="25">
        <v>45352</v>
      </c>
      <c r="C1143" t="s">
        <v>151</v>
      </c>
      <c r="D1143" s="6">
        <v>2185.09</v>
      </c>
      <c r="E1143" s="9">
        <v>8253.27</v>
      </c>
      <c r="F1143" s="20">
        <f t="shared" si="122"/>
        <v>3.7770846967401801</v>
      </c>
      <c r="G1143" t="str">
        <f t="shared" ref="G1143:G1203" si="125">TEXT(B1143,"mmmm")</f>
        <v>março</v>
      </c>
      <c r="H1143">
        <f t="shared" ref="H1143:H1203" si="126">YEAR(B1143)</f>
        <v>2024</v>
      </c>
    </row>
    <row r="1144" spans="1:8" hidden="1" x14ac:dyDescent="0.25">
      <c r="A1144">
        <v>3020824</v>
      </c>
      <c r="B1144" s="25">
        <v>45352</v>
      </c>
      <c r="C1144" t="s">
        <v>153</v>
      </c>
      <c r="D1144" s="6">
        <v>1552.09</v>
      </c>
      <c r="E1144" s="9">
        <v>5792.89</v>
      </c>
      <c r="F1144" s="20">
        <f t="shared" si="122"/>
        <v>3.7323157806570499</v>
      </c>
      <c r="G1144" t="str">
        <f t="shared" si="125"/>
        <v>março</v>
      </c>
      <c r="H1144">
        <f t="shared" si="126"/>
        <v>2024</v>
      </c>
    </row>
    <row r="1145" spans="1:8" hidden="1" x14ac:dyDescent="0.25">
      <c r="A1145">
        <v>3020825</v>
      </c>
      <c r="B1145" s="25">
        <v>45352</v>
      </c>
      <c r="C1145" t="s">
        <v>455</v>
      </c>
      <c r="D1145" s="6">
        <v>737.93</v>
      </c>
      <c r="E1145" s="9">
        <v>3025.54</v>
      </c>
      <c r="F1145" s="20">
        <f t="shared" si="122"/>
        <v>4.1000365888363399</v>
      </c>
      <c r="G1145" t="str">
        <f t="shared" si="125"/>
        <v>março</v>
      </c>
      <c r="H1145">
        <f t="shared" si="126"/>
        <v>2024</v>
      </c>
    </row>
    <row r="1146" spans="1:8" hidden="1" x14ac:dyDescent="0.25">
      <c r="A1146">
        <v>3020924</v>
      </c>
      <c r="B1146" s="25">
        <v>45352</v>
      </c>
      <c r="C1146" t="s">
        <v>155</v>
      </c>
      <c r="D1146" s="6">
        <v>1097.71</v>
      </c>
      <c r="E1146" s="9">
        <v>4186.79</v>
      </c>
      <c r="F1146" s="20">
        <f t="shared" si="122"/>
        <v>3.8141130170992339</v>
      </c>
      <c r="G1146" t="str">
        <f t="shared" si="125"/>
        <v>março</v>
      </c>
      <c r="H1146">
        <f t="shared" si="126"/>
        <v>2024</v>
      </c>
    </row>
    <row r="1147" spans="1:8" hidden="1" x14ac:dyDescent="0.25">
      <c r="A1147">
        <v>3020925</v>
      </c>
      <c r="B1147" s="25">
        <v>45352</v>
      </c>
      <c r="C1147" t="s">
        <v>157</v>
      </c>
      <c r="D1147" s="6">
        <v>1263.24</v>
      </c>
      <c r="E1147" s="9">
        <v>4694.12</v>
      </c>
      <c r="F1147" s="20">
        <f t="shared" si="122"/>
        <v>3.7159367974414996</v>
      </c>
      <c r="G1147" t="str">
        <f t="shared" si="125"/>
        <v>março</v>
      </c>
      <c r="H1147">
        <f t="shared" si="126"/>
        <v>2024</v>
      </c>
    </row>
    <row r="1148" spans="1:8" hidden="1" x14ac:dyDescent="0.25">
      <c r="A1148">
        <v>3021436</v>
      </c>
      <c r="B1148" s="25">
        <v>45352</v>
      </c>
      <c r="C1148" t="s">
        <v>546</v>
      </c>
      <c r="D1148" s="6">
        <v>362.79</v>
      </c>
      <c r="E1148" s="9">
        <v>1180.2</v>
      </c>
      <c r="F1148" s="20">
        <f t="shared" si="122"/>
        <v>3.2531216406185397</v>
      </c>
      <c r="G1148" t="str">
        <f t="shared" si="125"/>
        <v>março</v>
      </c>
      <c r="H1148">
        <f t="shared" si="126"/>
        <v>2024</v>
      </c>
    </row>
    <row r="1149" spans="1:8" hidden="1" x14ac:dyDescent="0.25">
      <c r="A1149">
        <v>3021538</v>
      </c>
      <c r="B1149" s="25">
        <v>45352</v>
      </c>
      <c r="C1149" t="s">
        <v>548</v>
      </c>
      <c r="D1149" s="6">
        <v>409.25</v>
      </c>
      <c r="E1149" s="9">
        <v>1202.08</v>
      </c>
      <c r="F1149" s="20">
        <f t="shared" ref="F1149:F1209" si="127">E1149/D1149</f>
        <v>2.9372755039706777</v>
      </c>
      <c r="G1149" t="str">
        <f t="shared" si="125"/>
        <v>março</v>
      </c>
      <c r="H1149">
        <f t="shared" si="126"/>
        <v>2024</v>
      </c>
    </row>
    <row r="1150" spans="1:8" hidden="1" x14ac:dyDescent="0.25">
      <c r="A1150">
        <v>3021639</v>
      </c>
      <c r="B1150" s="25">
        <v>45352</v>
      </c>
      <c r="C1150" t="s">
        <v>457</v>
      </c>
      <c r="D1150" s="6">
        <v>19.72</v>
      </c>
      <c r="E1150" s="9">
        <v>61.13</v>
      </c>
      <c r="F1150" s="20">
        <f t="shared" si="127"/>
        <v>3.0998985801217041</v>
      </c>
      <c r="G1150" t="str">
        <f t="shared" si="125"/>
        <v>março</v>
      </c>
      <c r="H1150">
        <f t="shared" si="126"/>
        <v>2024</v>
      </c>
    </row>
    <row r="1151" spans="1:8" hidden="1" x14ac:dyDescent="0.25">
      <c r="A1151">
        <v>3021739</v>
      </c>
      <c r="B1151" s="25">
        <v>45352</v>
      </c>
      <c r="C1151" t="s">
        <v>165</v>
      </c>
      <c r="D1151" s="6">
        <v>-11.5</v>
      </c>
      <c r="E1151" s="9">
        <v>-32.200000000000003</v>
      </c>
      <c r="F1151" s="20">
        <f t="shared" si="127"/>
        <v>2.8000000000000003</v>
      </c>
      <c r="G1151" t="str">
        <f t="shared" si="125"/>
        <v>março</v>
      </c>
      <c r="H1151">
        <f t="shared" si="126"/>
        <v>2024</v>
      </c>
    </row>
    <row r="1152" spans="1:8" hidden="1" x14ac:dyDescent="0.25">
      <c r="A1152">
        <v>3021740</v>
      </c>
      <c r="B1152" s="25">
        <v>45352</v>
      </c>
      <c r="C1152" t="s">
        <v>459</v>
      </c>
      <c r="D1152" s="6">
        <v>106.46</v>
      </c>
      <c r="E1152" s="9">
        <v>311.76</v>
      </c>
      <c r="F1152" s="20">
        <f t="shared" si="127"/>
        <v>2.9284238211534848</v>
      </c>
      <c r="G1152" t="str">
        <f t="shared" si="125"/>
        <v>março</v>
      </c>
      <c r="H1152">
        <f t="shared" si="126"/>
        <v>2024</v>
      </c>
    </row>
    <row r="1153" spans="1:8" hidden="1" x14ac:dyDescent="0.25">
      <c r="A1153">
        <v>3021760</v>
      </c>
      <c r="B1153" s="25">
        <v>45352</v>
      </c>
      <c r="C1153" t="s">
        <v>167</v>
      </c>
      <c r="D1153" s="6">
        <v>5827.88</v>
      </c>
      <c r="E1153" s="9">
        <v>11218.86</v>
      </c>
      <c r="F1153" s="20">
        <f t="shared" si="127"/>
        <v>1.9250327734956794</v>
      </c>
      <c r="G1153" t="str">
        <f t="shared" si="125"/>
        <v>março</v>
      </c>
      <c r="H1153">
        <f t="shared" si="126"/>
        <v>2024</v>
      </c>
    </row>
    <row r="1154" spans="1:8" hidden="1" x14ac:dyDescent="0.25">
      <c r="A1154">
        <v>3021811</v>
      </c>
      <c r="B1154" s="25">
        <v>45352</v>
      </c>
      <c r="C1154" t="s">
        <v>169</v>
      </c>
      <c r="D1154" s="6">
        <v>1241</v>
      </c>
      <c r="E1154" s="9">
        <v>2561.96</v>
      </c>
      <c r="F1154" s="20">
        <f t="shared" si="127"/>
        <v>2.0644319097502013</v>
      </c>
      <c r="G1154" t="str">
        <f t="shared" si="125"/>
        <v>março</v>
      </c>
      <c r="H1154">
        <f t="shared" si="126"/>
        <v>2024</v>
      </c>
    </row>
    <row r="1155" spans="1:8" hidden="1" x14ac:dyDescent="0.25">
      <c r="A1155">
        <v>3021812</v>
      </c>
      <c r="B1155" s="25">
        <v>45352</v>
      </c>
      <c r="C1155" t="s">
        <v>171</v>
      </c>
      <c r="D1155" s="6">
        <v>5639.52</v>
      </c>
      <c r="E1155" s="9">
        <v>10571.1</v>
      </c>
      <c r="F1155" s="20">
        <f t="shared" si="127"/>
        <v>1.8744680398331772</v>
      </c>
      <c r="G1155" t="str">
        <f t="shared" si="125"/>
        <v>março</v>
      </c>
      <c r="H1155">
        <f t="shared" si="126"/>
        <v>2024</v>
      </c>
    </row>
    <row r="1156" spans="1:8" hidden="1" x14ac:dyDescent="0.25">
      <c r="A1156">
        <v>3022100</v>
      </c>
      <c r="B1156" s="25">
        <v>45352</v>
      </c>
      <c r="C1156" t="s">
        <v>173</v>
      </c>
      <c r="D1156" s="6">
        <v>85.36</v>
      </c>
      <c r="E1156" s="9">
        <v>338.07</v>
      </c>
      <c r="F1156" s="20">
        <f t="shared" si="127"/>
        <v>3.9605201499531395</v>
      </c>
      <c r="G1156" t="str">
        <f t="shared" si="125"/>
        <v>março</v>
      </c>
      <c r="H1156">
        <f t="shared" si="126"/>
        <v>2024</v>
      </c>
    </row>
    <row r="1157" spans="1:8" hidden="1" x14ac:dyDescent="0.25">
      <c r="A1157">
        <v>3022208</v>
      </c>
      <c r="B1157" s="25">
        <v>45352</v>
      </c>
      <c r="C1157" t="s">
        <v>307</v>
      </c>
      <c r="D1157" s="6">
        <v>113.4</v>
      </c>
      <c r="E1157" s="9">
        <v>445.21</v>
      </c>
      <c r="F1157" s="20">
        <f t="shared" si="127"/>
        <v>3.9260141093474421</v>
      </c>
      <c r="G1157" t="str">
        <f t="shared" si="125"/>
        <v>março</v>
      </c>
      <c r="H1157">
        <f t="shared" si="126"/>
        <v>2024</v>
      </c>
    </row>
    <row r="1158" spans="1:8" hidden="1" x14ac:dyDescent="0.25">
      <c r="A1158">
        <v>3022311</v>
      </c>
      <c r="B1158" s="25">
        <v>45352</v>
      </c>
      <c r="C1158" t="s">
        <v>176</v>
      </c>
      <c r="D1158" s="6">
        <v>2290.6</v>
      </c>
      <c r="E1158" s="9">
        <v>5686.7</v>
      </c>
      <c r="F1158" s="20">
        <f t="shared" si="127"/>
        <v>2.4826246398323581</v>
      </c>
      <c r="G1158" t="str">
        <f t="shared" si="125"/>
        <v>março</v>
      </c>
      <c r="H1158">
        <f t="shared" si="126"/>
        <v>2024</v>
      </c>
    </row>
    <row r="1159" spans="1:8" hidden="1" x14ac:dyDescent="0.25">
      <c r="A1159">
        <v>3022411</v>
      </c>
      <c r="B1159" s="25">
        <v>45352</v>
      </c>
      <c r="C1159" t="s">
        <v>178</v>
      </c>
      <c r="D1159" s="6">
        <v>145.05000000000001</v>
      </c>
      <c r="E1159" s="9">
        <v>393.78</v>
      </c>
      <c r="F1159" s="20">
        <f t="shared" si="127"/>
        <v>2.7147880041365045</v>
      </c>
      <c r="G1159" t="str">
        <f t="shared" si="125"/>
        <v>março</v>
      </c>
      <c r="H1159">
        <f t="shared" si="126"/>
        <v>2024</v>
      </c>
    </row>
    <row r="1160" spans="1:8" hidden="1" x14ac:dyDescent="0.25">
      <c r="A1160">
        <v>3022511</v>
      </c>
      <c r="B1160" s="25">
        <v>45352</v>
      </c>
      <c r="C1160" t="s">
        <v>180</v>
      </c>
      <c r="D1160" s="6">
        <v>3.7</v>
      </c>
      <c r="E1160" s="9">
        <v>9.6199999999999992</v>
      </c>
      <c r="F1160" s="20">
        <f t="shared" si="127"/>
        <v>2.5999999999999996</v>
      </c>
      <c r="G1160" t="str">
        <f t="shared" si="125"/>
        <v>março</v>
      </c>
      <c r="H1160">
        <f t="shared" si="126"/>
        <v>2024</v>
      </c>
    </row>
    <row r="1161" spans="1:8" hidden="1" x14ac:dyDescent="0.25">
      <c r="A1161">
        <v>3022601</v>
      </c>
      <c r="B1161" s="25">
        <v>45352</v>
      </c>
      <c r="C1161" t="s">
        <v>182</v>
      </c>
      <c r="D1161" s="6">
        <v>323</v>
      </c>
      <c r="E1161" s="9">
        <v>1247.3599999999999</v>
      </c>
      <c r="F1161" s="20">
        <f t="shared" si="127"/>
        <v>3.8617956656346748</v>
      </c>
      <c r="G1161" t="str">
        <f t="shared" si="125"/>
        <v>março</v>
      </c>
      <c r="H1161">
        <f t="shared" si="126"/>
        <v>2024</v>
      </c>
    </row>
    <row r="1162" spans="1:8" hidden="1" x14ac:dyDescent="0.25">
      <c r="A1162">
        <v>3022703</v>
      </c>
      <c r="B1162" s="25">
        <v>45352</v>
      </c>
      <c r="C1162" t="s">
        <v>309</v>
      </c>
      <c r="D1162" s="6">
        <v>742</v>
      </c>
      <c r="E1162" s="9">
        <v>2039.6</v>
      </c>
      <c r="F1162" s="20">
        <f t="shared" si="127"/>
        <v>2.7487870619946091</v>
      </c>
      <c r="G1162" t="str">
        <f t="shared" si="125"/>
        <v>março</v>
      </c>
      <c r="H1162">
        <f t="shared" si="126"/>
        <v>2024</v>
      </c>
    </row>
    <row r="1163" spans="1:8" hidden="1" x14ac:dyDescent="0.25">
      <c r="A1163">
        <v>3022805</v>
      </c>
      <c r="B1163" s="25">
        <v>45352</v>
      </c>
      <c r="C1163" t="s">
        <v>186</v>
      </c>
      <c r="D1163" s="6">
        <v>2160</v>
      </c>
      <c r="E1163" s="9">
        <v>4521.8500000000004</v>
      </c>
      <c r="F1163" s="20">
        <f t="shared" si="127"/>
        <v>2.0934490740740741</v>
      </c>
      <c r="G1163" t="str">
        <f t="shared" si="125"/>
        <v>março</v>
      </c>
      <c r="H1163">
        <f t="shared" si="126"/>
        <v>2024</v>
      </c>
    </row>
    <row r="1164" spans="1:8" hidden="1" x14ac:dyDescent="0.25">
      <c r="A1164">
        <v>3022906</v>
      </c>
      <c r="B1164" s="25">
        <v>45352</v>
      </c>
      <c r="C1164" t="s">
        <v>188</v>
      </c>
      <c r="D1164" s="6">
        <v>2680</v>
      </c>
      <c r="E1164" s="9">
        <v>5453.76</v>
      </c>
      <c r="F1164" s="20">
        <f t="shared" si="127"/>
        <v>2.0349850746268658</v>
      </c>
      <c r="G1164" t="str">
        <f t="shared" si="125"/>
        <v>março</v>
      </c>
      <c r="H1164">
        <f t="shared" si="126"/>
        <v>2024</v>
      </c>
    </row>
    <row r="1165" spans="1:8" hidden="1" x14ac:dyDescent="0.25">
      <c r="A1165">
        <v>3023007</v>
      </c>
      <c r="B1165" s="25">
        <v>45352</v>
      </c>
      <c r="C1165" t="s">
        <v>190</v>
      </c>
      <c r="D1165" s="6">
        <v>1300</v>
      </c>
      <c r="E1165" s="9">
        <v>2635.6</v>
      </c>
      <c r="F1165" s="20">
        <f t="shared" si="127"/>
        <v>2.0273846153846153</v>
      </c>
      <c r="G1165" t="str">
        <f t="shared" si="125"/>
        <v>março</v>
      </c>
      <c r="H1165">
        <f t="shared" si="126"/>
        <v>2024</v>
      </c>
    </row>
    <row r="1166" spans="1:8" hidden="1" x14ac:dyDescent="0.25">
      <c r="A1166">
        <v>4030100</v>
      </c>
      <c r="B1166" s="25">
        <v>45352</v>
      </c>
      <c r="C1166" t="s">
        <v>200</v>
      </c>
      <c r="D1166" s="6">
        <v>308.3</v>
      </c>
      <c r="E1166" s="9">
        <v>1905.69</v>
      </c>
      <c r="F1166" s="20">
        <f t="shared" si="127"/>
        <v>6.1812844631852091</v>
      </c>
      <c r="G1166" t="str">
        <f t="shared" si="125"/>
        <v>março</v>
      </c>
      <c r="H1166">
        <f t="shared" si="126"/>
        <v>2024</v>
      </c>
    </row>
    <row r="1167" spans="1:8" hidden="1" x14ac:dyDescent="0.25">
      <c r="A1167">
        <v>4030211</v>
      </c>
      <c r="B1167" s="25">
        <v>45352</v>
      </c>
      <c r="C1167" t="s">
        <v>202</v>
      </c>
      <c r="D1167" s="6">
        <v>965.5</v>
      </c>
      <c r="E1167" s="9">
        <v>5586.25</v>
      </c>
      <c r="F1167" s="20">
        <f t="shared" si="127"/>
        <v>5.7858622475401349</v>
      </c>
      <c r="G1167" t="str">
        <f t="shared" si="125"/>
        <v>março</v>
      </c>
      <c r="H1167">
        <f t="shared" si="126"/>
        <v>2024</v>
      </c>
    </row>
    <row r="1168" spans="1:8" hidden="1" x14ac:dyDescent="0.25">
      <c r="A1168">
        <v>4030311</v>
      </c>
      <c r="B1168" s="25">
        <v>45352</v>
      </c>
      <c r="C1168" t="s">
        <v>311</v>
      </c>
      <c r="D1168" s="6">
        <v>559.62</v>
      </c>
      <c r="E1168" s="9">
        <v>3662.11</v>
      </c>
      <c r="F1168" s="20">
        <f t="shared" si="127"/>
        <v>6.5439226618062261</v>
      </c>
      <c r="G1168" t="str">
        <f t="shared" si="125"/>
        <v>março</v>
      </c>
      <c r="H1168">
        <f t="shared" si="126"/>
        <v>2024</v>
      </c>
    </row>
    <row r="1169" spans="1:8" hidden="1" x14ac:dyDescent="0.25">
      <c r="A1169">
        <v>4030401</v>
      </c>
      <c r="B1169" s="25">
        <v>45352</v>
      </c>
      <c r="C1169" t="s">
        <v>461</v>
      </c>
      <c r="D1169" s="6">
        <v>160.68</v>
      </c>
      <c r="E1169" s="9">
        <v>797.4</v>
      </c>
      <c r="F1169" s="20">
        <f t="shared" si="127"/>
        <v>4.9626587005227778</v>
      </c>
      <c r="G1169" t="str">
        <f t="shared" si="125"/>
        <v>março</v>
      </c>
      <c r="H1169">
        <f t="shared" si="126"/>
        <v>2024</v>
      </c>
    </row>
    <row r="1170" spans="1:8" hidden="1" x14ac:dyDescent="0.25">
      <c r="A1170">
        <v>4030511</v>
      </c>
      <c r="B1170" s="25">
        <v>45352</v>
      </c>
      <c r="C1170" t="s">
        <v>208</v>
      </c>
      <c r="D1170" s="6">
        <v>9.81</v>
      </c>
      <c r="E1170" s="9">
        <v>51.5</v>
      </c>
      <c r="F1170" s="20">
        <f t="shared" si="127"/>
        <v>5.2497451580020389</v>
      </c>
      <c r="G1170" t="str">
        <f t="shared" si="125"/>
        <v>março</v>
      </c>
      <c r="H1170">
        <f t="shared" si="126"/>
        <v>2024</v>
      </c>
    </row>
    <row r="1171" spans="1:8" hidden="1" x14ac:dyDescent="0.25">
      <c r="A1171">
        <v>4030532</v>
      </c>
      <c r="B1171" s="25">
        <v>45352</v>
      </c>
      <c r="C1171" t="s">
        <v>210</v>
      </c>
      <c r="D1171" s="6">
        <v>724.93</v>
      </c>
      <c r="E1171" s="9">
        <v>3611.61</v>
      </c>
      <c r="F1171" s="20">
        <f t="shared" si="127"/>
        <v>4.9820120563364743</v>
      </c>
      <c r="G1171" t="str">
        <f t="shared" si="125"/>
        <v>março</v>
      </c>
      <c r="H1171">
        <f t="shared" si="126"/>
        <v>2024</v>
      </c>
    </row>
    <row r="1172" spans="1:8" hidden="1" x14ac:dyDescent="0.25">
      <c r="A1172">
        <v>4030600</v>
      </c>
      <c r="B1172" s="25">
        <v>45352</v>
      </c>
      <c r="C1172" t="s">
        <v>212</v>
      </c>
      <c r="D1172" s="6">
        <v>400.9</v>
      </c>
      <c r="E1172" s="9">
        <v>1263.05</v>
      </c>
      <c r="F1172" s="20">
        <f t="shared" si="127"/>
        <v>3.150536293339985</v>
      </c>
      <c r="G1172" t="str">
        <f t="shared" si="125"/>
        <v>março</v>
      </c>
      <c r="H1172">
        <f t="shared" si="126"/>
        <v>2024</v>
      </c>
    </row>
    <row r="1173" spans="1:8" hidden="1" x14ac:dyDescent="0.25">
      <c r="A1173">
        <v>4030711</v>
      </c>
      <c r="B1173" s="25">
        <v>45352</v>
      </c>
      <c r="C1173" t="s">
        <v>214</v>
      </c>
      <c r="D1173" s="6">
        <v>1030.52</v>
      </c>
      <c r="E1173" s="9">
        <v>3463.58</v>
      </c>
      <c r="F1173" s="20">
        <f t="shared" si="127"/>
        <v>3.3610022124752552</v>
      </c>
      <c r="G1173" t="str">
        <f t="shared" si="125"/>
        <v>março</v>
      </c>
      <c r="H1173">
        <f t="shared" si="126"/>
        <v>2024</v>
      </c>
    </row>
    <row r="1174" spans="1:8" hidden="1" x14ac:dyDescent="0.25">
      <c r="A1174">
        <v>4030811</v>
      </c>
      <c r="B1174" s="25">
        <v>45352</v>
      </c>
      <c r="C1174" t="s">
        <v>216</v>
      </c>
      <c r="D1174" s="6">
        <v>1818.45</v>
      </c>
      <c r="E1174" s="9">
        <v>5886.27</v>
      </c>
      <c r="F1174" s="20">
        <f t="shared" si="127"/>
        <v>3.2369710467706017</v>
      </c>
      <c r="G1174" t="str">
        <f t="shared" si="125"/>
        <v>março</v>
      </c>
      <c r="H1174">
        <f t="shared" si="126"/>
        <v>2024</v>
      </c>
    </row>
    <row r="1175" spans="1:8" hidden="1" x14ac:dyDescent="0.25">
      <c r="A1175">
        <v>4030813</v>
      </c>
      <c r="B1175" s="25">
        <v>45352</v>
      </c>
      <c r="C1175" t="s">
        <v>218</v>
      </c>
      <c r="D1175" s="6">
        <v>835.5</v>
      </c>
      <c r="E1175" s="9">
        <v>2322.6799999999998</v>
      </c>
      <c r="F1175" s="20">
        <f t="shared" si="127"/>
        <v>2.7799880311190903</v>
      </c>
      <c r="G1175" t="str">
        <f t="shared" si="125"/>
        <v>março</v>
      </c>
      <c r="H1175">
        <f t="shared" si="126"/>
        <v>2024</v>
      </c>
    </row>
    <row r="1176" spans="1:8" hidden="1" x14ac:dyDescent="0.25">
      <c r="A1176">
        <v>4030900</v>
      </c>
      <c r="B1176" s="25">
        <v>45352</v>
      </c>
      <c r="C1176" t="s">
        <v>220</v>
      </c>
      <c r="D1176" s="6">
        <v>4427.1400000000003</v>
      </c>
      <c r="E1176" s="9">
        <v>13763.11</v>
      </c>
      <c r="F1176" s="20">
        <f t="shared" si="127"/>
        <v>3.1088038778985982</v>
      </c>
      <c r="G1176" t="str">
        <f t="shared" si="125"/>
        <v>março</v>
      </c>
      <c r="H1176">
        <f t="shared" si="126"/>
        <v>2024</v>
      </c>
    </row>
    <row r="1177" spans="1:8" hidden="1" x14ac:dyDescent="0.25">
      <c r="A1177">
        <v>4030910</v>
      </c>
      <c r="B1177" s="25">
        <v>45352</v>
      </c>
      <c r="C1177" t="s">
        <v>222</v>
      </c>
      <c r="D1177" s="6">
        <v>127.02</v>
      </c>
      <c r="E1177" s="9">
        <v>418.2</v>
      </c>
      <c r="F1177" s="20">
        <f t="shared" si="127"/>
        <v>3.2923948984411906</v>
      </c>
      <c r="G1177" t="str">
        <f t="shared" si="125"/>
        <v>março</v>
      </c>
      <c r="H1177">
        <f t="shared" si="126"/>
        <v>2024</v>
      </c>
    </row>
    <row r="1178" spans="1:8" hidden="1" x14ac:dyDescent="0.25">
      <c r="A1178">
        <v>4031012</v>
      </c>
      <c r="B1178" s="25">
        <v>45352</v>
      </c>
      <c r="C1178" t="s">
        <v>224</v>
      </c>
      <c r="D1178" s="6">
        <v>1373.78</v>
      </c>
      <c r="E1178" s="9">
        <v>4413.41</v>
      </c>
      <c r="F1178" s="20">
        <f t="shared" si="127"/>
        <v>3.2126031824600738</v>
      </c>
      <c r="G1178" t="str">
        <f t="shared" si="125"/>
        <v>março</v>
      </c>
      <c r="H1178">
        <f t="shared" si="126"/>
        <v>2024</v>
      </c>
    </row>
    <row r="1179" spans="1:8" hidden="1" x14ac:dyDescent="0.25">
      <c r="A1179">
        <v>4031017</v>
      </c>
      <c r="B1179" s="25">
        <v>45352</v>
      </c>
      <c r="C1179" t="s">
        <v>226</v>
      </c>
      <c r="D1179" s="6">
        <v>350</v>
      </c>
      <c r="E1179" s="9">
        <v>252</v>
      </c>
      <c r="F1179" s="20">
        <f t="shared" si="127"/>
        <v>0.72</v>
      </c>
      <c r="G1179" t="str">
        <f t="shared" si="125"/>
        <v>março</v>
      </c>
      <c r="H1179">
        <f t="shared" si="126"/>
        <v>2024</v>
      </c>
    </row>
    <row r="1180" spans="1:8" hidden="1" x14ac:dyDescent="0.25">
      <c r="A1180">
        <v>4031019</v>
      </c>
      <c r="B1180" s="25">
        <v>45352</v>
      </c>
      <c r="C1180" t="s">
        <v>226</v>
      </c>
      <c r="D1180" s="6">
        <v>1890</v>
      </c>
      <c r="E1180" s="9">
        <v>1266.3</v>
      </c>
      <c r="F1180" s="20">
        <f t="shared" si="127"/>
        <v>0.66999999999999993</v>
      </c>
      <c r="G1180" t="str">
        <f t="shared" si="125"/>
        <v>março</v>
      </c>
      <c r="H1180">
        <f t="shared" si="126"/>
        <v>2024</v>
      </c>
    </row>
    <row r="1181" spans="1:8" hidden="1" x14ac:dyDescent="0.25">
      <c r="A1181">
        <v>4031102</v>
      </c>
      <c r="B1181" s="25">
        <v>45352</v>
      </c>
      <c r="C1181" t="s">
        <v>228</v>
      </c>
      <c r="D1181" s="6">
        <v>10468.43</v>
      </c>
      <c r="E1181" s="9">
        <v>31043.7</v>
      </c>
      <c r="F1181" s="20">
        <f t="shared" si="127"/>
        <v>2.9654590038811932</v>
      </c>
      <c r="G1181" t="str">
        <f t="shared" si="125"/>
        <v>março</v>
      </c>
      <c r="H1181">
        <f t="shared" si="126"/>
        <v>2024</v>
      </c>
    </row>
    <row r="1182" spans="1:8" hidden="1" x14ac:dyDescent="0.25">
      <c r="A1182">
        <v>4031103</v>
      </c>
      <c r="B1182" s="25">
        <v>45352</v>
      </c>
      <c r="C1182" t="s">
        <v>980</v>
      </c>
      <c r="D1182" s="6">
        <v>394.75</v>
      </c>
      <c r="E1182" s="9">
        <v>1263.2</v>
      </c>
      <c r="F1182" s="20">
        <f t="shared" si="127"/>
        <v>3.2</v>
      </c>
      <c r="G1182" t="str">
        <f t="shared" si="125"/>
        <v>março</v>
      </c>
      <c r="H1182">
        <f t="shared" si="126"/>
        <v>2024</v>
      </c>
    </row>
    <row r="1183" spans="1:8" hidden="1" x14ac:dyDescent="0.25">
      <c r="A1183">
        <v>4031200</v>
      </c>
      <c r="B1183" s="25">
        <v>45352</v>
      </c>
      <c r="C1183" t="s">
        <v>230</v>
      </c>
      <c r="D1183" s="6">
        <v>870.4</v>
      </c>
      <c r="E1183" s="9">
        <v>2698.83</v>
      </c>
      <c r="F1183" s="20">
        <f t="shared" si="127"/>
        <v>3.1006778492647058</v>
      </c>
      <c r="G1183" t="str">
        <f t="shared" si="125"/>
        <v>março</v>
      </c>
      <c r="H1183">
        <f t="shared" si="126"/>
        <v>2024</v>
      </c>
    </row>
    <row r="1184" spans="1:8" hidden="1" x14ac:dyDescent="0.25">
      <c r="A1184">
        <v>4031304</v>
      </c>
      <c r="B1184" s="25">
        <v>45352</v>
      </c>
      <c r="C1184" t="s">
        <v>232</v>
      </c>
      <c r="D1184" s="6">
        <v>1286.2</v>
      </c>
      <c r="E1184" s="9">
        <v>3894.01</v>
      </c>
      <c r="F1184" s="20">
        <f t="shared" si="127"/>
        <v>3.0275307106204323</v>
      </c>
      <c r="G1184" t="str">
        <f t="shared" si="125"/>
        <v>março</v>
      </c>
      <c r="H1184">
        <f t="shared" si="126"/>
        <v>2024</v>
      </c>
    </row>
    <row r="1185" spans="1:8" hidden="1" x14ac:dyDescent="0.25">
      <c r="A1185">
        <v>4031411</v>
      </c>
      <c r="B1185" s="25">
        <v>45352</v>
      </c>
      <c r="C1185" t="s">
        <v>234</v>
      </c>
      <c r="D1185" s="6">
        <v>144.63</v>
      </c>
      <c r="E1185" s="9">
        <v>461.19</v>
      </c>
      <c r="F1185" s="20">
        <f t="shared" si="127"/>
        <v>3.1887575191868907</v>
      </c>
      <c r="G1185" t="str">
        <f t="shared" si="125"/>
        <v>março</v>
      </c>
      <c r="H1185">
        <f t="shared" si="126"/>
        <v>2024</v>
      </c>
    </row>
    <row r="1186" spans="1:8" hidden="1" x14ac:dyDescent="0.25">
      <c r="A1186">
        <v>4031500</v>
      </c>
      <c r="B1186" s="25">
        <v>45352</v>
      </c>
      <c r="C1186" t="s">
        <v>236</v>
      </c>
      <c r="D1186" s="6">
        <v>4599.9399999999996</v>
      </c>
      <c r="E1186" s="9">
        <v>13452.76</v>
      </c>
      <c r="F1186" s="20">
        <f t="shared" si="127"/>
        <v>2.924551189798128</v>
      </c>
      <c r="G1186" t="str">
        <f t="shared" si="125"/>
        <v>março</v>
      </c>
      <c r="H1186">
        <f t="shared" si="126"/>
        <v>2024</v>
      </c>
    </row>
    <row r="1187" spans="1:8" hidden="1" x14ac:dyDescent="0.25">
      <c r="A1187">
        <v>4031604</v>
      </c>
      <c r="B1187" s="25">
        <v>45352</v>
      </c>
      <c r="C1187" t="s">
        <v>238</v>
      </c>
      <c r="D1187" s="6">
        <v>5672.17</v>
      </c>
      <c r="E1187" s="9">
        <v>15845.35</v>
      </c>
      <c r="F1187" s="20">
        <f t="shared" si="127"/>
        <v>2.7935252293214061</v>
      </c>
      <c r="G1187" t="str">
        <f t="shared" si="125"/>
        <v>março</v>
      </c>
      <c r="H1187">
        <f t="shared" si="126"/>
        <v>2024</v>
      </c>
    </row>
    <row r="1188" spans="1:8" hidden="1" x14ac:dyDescent="0.25">
      <c r="A1188">
        <v>4031605</v>
      </c>
      <c r="B1188" s="25">
        <v>45352</v>
      </c>
      <c r="C1188" t="s">
        <v>240</v>
      </c>
      <c r="D1188" s="6">
        <v>48.03</v>
      </c>
      <c r="E1188" s="9">
        <v>162.16</v>
      </c>
      <c r="F1188" s="20">
        <f t="shared" si="127"/>
        <v>3.3762231938371849</v>
      </c>
      <c r="G1188" t="str">
        <f t="shared" si="125"/>
        <v>março</v>
      </c>
      <c r="H1188">
        <f t="shared" si="126"/>
        <v>2024</v>
      </c>
    </row>
    <row r="1189" spans="1:8" hidden="1" x14ac:dyDescent="0.25">
      <c r="A1189">
        <v>4031700</v>
      </c>
      <c r="B1189" s="25">
        <v>45352</v>
      </c>
      <c r="C1189" t="s">
        <v>242</v>
      </c>
      <c r="D1189" s="6">
        <v>395.8</v>
      </c>
      <c r="E1189" s="9">
        <v>1245.05</v>
      </c>
      <c r="F1189" s="20">
        <f t="shared" si="127"/>
        <v>3.1456543708943907</v>
      </c>
      <c r="G1189" t="str">
        <f t="shared" si="125"/>
        <v>março</v>
      </c>
      <c r="H1189">
        <f t="shared" si="126"/>
        <v>2024</v>
      </c>
    </row>
    <row r="1190" spans="1:8" hidden="1" x14ac:dyDescent="0.25">
      <c r="A1190">
        <v>4031812</v>
      </c>
      <c r="B1190" s="25">
        <v>45352</v>
      </c>
      <c r="C1190" t="s">
        <v>244</v>
      </c>
      <c r="D1190" s="6">
        <v>448.85</v>
      </c>
      <c r="E1190" s="9">
        <v>1400.28</v>
      </c>
      <c r="F1190" s="20">
        <f t="shared" si="127"/>
        <v>3.1197059151164086</v>
      </c>
      <c r="G1190" t="str">
        <f t="shared" si="125"/>
        <v>março</v>
      </c>
      <c r="H1190">
        <f t="shared" si="126"/>
        <v>2024</v>
      </c>
    </row>
    <row r="1191" spans="1:8" hidden="1" x14ac:dyDescent="0.25">
      <c r="A1191">
        <v>4031813</v>
      </c>
      <c r="B1191" s="25">
        <v>45352</v>
      </c>
      <c r="C1191" t="s">
        <v>464</v>
      </c>
      <c r="D1191" s="6">
        <v>560</v>
      </c>
      <c r="E1191" s="9">
        <v>383.6</v>
      </c>
      <c r="F1191" s="20">
        <f t="shared" si="127"/>
        <v>0.68500000000000005</v>
      </c>
      <c r="G1191" t="str">
        <f t="shared" si="125"/>
        <v>março</v>
      </c>
      <c r="H1191">
        <f t="shared" si="126"/>
        <v>2024</v>
      </c>
    </row>
    <row r="1192" spans="1:8" hidden="1" x14ac:dyDescent="0.25">
      <c r="A1192">
        <v>4031904</v>
      </c>
      <c r="B1192" s="25">
        <v>45352</v>
      </c>
      <c r="C1192" t="s">
        <v>246</v>
      </c>
      <c r="D1192" s="6">
        <v>906.01</v>
      </c>
      <c r="E1192" s="9">
        <v>2742.08</v>
      </c>
      <c r="F1192" s="20">
        <f t="shared" si="127"/>
        <v>3.0265449608723967</v>
      </c>
      <c r="G1192" t="str">
        <f t="shared" si="125"/>
        <v>março</v>
      </c>
      <c r="H1192">
        <f t="shared" si="126"/>
        <v>2024</v>
      </c>
    </row>
    <row r="1193" spans="1:8" hidden="1" x14ac:dyDescent="0.25">
      <c r="A1193">
        <v>4032002</v>
      </c>
      <c r="B1193" s="25">
        <v>45352</v>
      </c>
      <c r="C1193" t="s">
        <v>793</v>
      </c>
      <c r="D1193" s="6">
        <v>2.6</v>
      </c>
      <c r="E1193" s="9">
        <v>16.38</v>
      </c>
      <c r="F1193" s="20">
        <f t="shared" si="127"/>
        <v>6.3</v>
      </c>
      <c r="G1193" t="str">
        <f t="shared" si="125"/>
        <v>março</v>
      </c>
      <c r="H1193">
        <f t="shared" si="126"/>
        <v>2024</v>
      </c>
    </row>
    <row r="1194" spans="1:8" hidden="1" x14ac:dyDescent="0.25">
      <c r="A1194">
        <v>4032111</v>
      </c>
      <c r="B1194" s="25">
        <v>45352</v>
      </c>
      <c r="C1194" t="s">
        <v>314</v>
      </c>
      <c r="D1194" s="6">
        <v>4.17</v>
      </c>
      <c r="E1194" s="9">
        <v>23.35</v>
      </c>
      <c r="F1194" s="20">
        <f t="shared" si="127"/>
        <v>5.5995203836930463</v>
      </c>
      <c r="G1194" t="str">
        <f t="shared" si="125"/>
        <v>março</v>
      </c>
      <c r="H1194">
        <f t="shared" si="126"/>
        <v>2024</v>
      </c>
    </row>
    <row r="1195" spans="1:8" hidden="1" x14ac:dyDescent="0.25">
      <c r="A1195">
        <v>4032204</v>
      </c>
      <c r="B1195" s="25">
        <v>45352</v>
      </c>
      <c r="C1195" t="s">
        <v>315</v>
      </c>
      <c r="D1195" s="6">
        <v>1.4</v>
      </c>
      <c r="E1195" s="9">
        <v>7.84</v>
      </c>
      <c r="F1195" s="20">
        <f t="shared" si="127"/>
        <v>5.6000000000000005</v>
      </c>
      <c r="G1195" t="str">
        <f t="shared" si="125"/>
        <v>março</v>
      </c>
      <c r="H1195">
        <f t="shared" si="126"/>
        <v>2024</v>
      </c>
    </row>
    <row r="1196" spans="1:8" hidden="1" x14ac:dyDescent="0.25">
      <c r="A1196">
        <v>4032205</v>
      </c>
      <c r="B1196" s="25">
        <v>45352</v>
      </c>
      <c r="C1196" t="s">
        <v>553</v>
      </c>
      <c r="D1196" s="6">
        <v>115.94</v>
      </c>
      <c r="E1196" s="9">
        <v>617.6</v>
      </c>
      <c r="F1196" s="20">
        <f t="shared" si="127"/>
        <v>5.3268932206313613</v>
      </c>
      <c r="G1196" t="str">
        <f t="shared" si="125"/>
        <v>março</v>
      </c>
      <c r="H1196">
        <f t="shared" si="126"/>
        <v>2024</v>
      </c>
    </row>
    <row r="1197" spans="1:8" hidden="1" x14ac:dyDescent="0.25">
      <c r="A1197">
        <v>4032206</v>
      </c>
      <c r="B1197" s="25">
        <v>45352</v>
      </c>
      <c r="C1197" t="s">
        <v>555</v>
      </c>
      <c r="D1197" s="6">
        <v>23.63</v>
      </c>
      <c r="E1197" s="9">
        <v>125.81</v>
      </c>
      <c r="F1197" s="20">
        <f t="shared" si="127"/>
        <v>5.3241641980533227</v>
      </c>
      <c r="G1197" t="str">
        <f t="shared" si="125"/>
        <v>março</v>
      </c>
      <c r="H1197">
        <f t="shared" si="126"/>
        <v>2024</v>
      </c>
    </row>
    <row r="1198" spans="1:8" hidden="1" x14ac:dyDescent="0.25">
      <c r="A1198">
        <v>4032312</v>
      </c>
      <c r="B1198" s="25">
        <v>45352</v>
      </c>
      <c r="C1198" t="s">
        <v>252</v>
      </c>
      <c r="D1198" s="6">
        <v>398.94</v>
      </c>
      <c r="E1198" s="9">
        <v>1712.34</v>
      </c>
      <c r="F1198" s="20">
        <f t="shared" si="127"/>
        <v>4.2922243946458112</v>
      </c>
      <c r="G1198" t="str">
        <f t="shared" si="125"/>
        <v>março</v>
      </c>
      <c r="H1198">
        <f t="shared" si="126"/>
        <v>2024</v>
      </c>
    </row>
    <row r="1199" spans="1:8" hidden="1" x14ac:dyDescent="0.25">
      <c r="A1199">
        <v>4032404</v>
      </c>
      <c r="B1199" s="25">
        <v>45352</v>
      </c>
      <c r="C1199" t="s">
        <v>254</v>
      </c>
      <c r="D1199" s="6">
        <v>71.22</v>
      </c>
      <c r="E1199" s="9">
        <v>331.12</v>
      </c>
      <c r="F1199" s="20">
        <f t="shared" si="127"/>
        <v>4.6492558270148834</v>
      </c>
      <c r="G1199" t="str">
        <f t="shared" si="125"/>
        <v>março</v>
      </c>
      <c r="H1199">
        <f t="shared" si="126"/>
        <v>2024</v>
      </c>
    </row>
    <row r="1200" spans="1:8" hidden="1" x14ac:dyDescent="0.25">
      <c r="A1200">
        <v>4032500</v>
      </c>
      <c r="B1200" s="25">
        <v>45352</v>
      </c>
      <c r="C1200" t="s">
        <v>256</v>
      </c>
      <c r="D1200" s="6">
        <v>171.81</v>
      </c>
      <c r="E1200" s="9">
        <v>493.27</v>
      </c>
      <c r="F1200" s="20">
        <f t="shared" si="127"/>
        <v>2.8710203131366043</v>
      </c>
      <c r="G1200" t="str">
        <f t="shared" si="125"/>
        <v>março</v>
      </c>
      <c r="H1200">
        <f t="shared" si="126"/>
        <v>2024</v>
      </c>
    </row>
    <row r="1201" spans="1:8" hidden="1" x14ac:dyDescent="0.25">
      <c r="A1201">
        <v>4032611</v>
      </c>
      <c r="B1201" s="25">
        <v>45352</v>
      </c>
      <c r="C1201" t="s">
        <v>258</v>
      </c>
      <c r="D1201" s="6">
        <v>42.3</v>
      </c>
      <c r="E1201" s="9">
        <v>139.53</v>
      </c>
      <c r="F1201" s="20">
        <f t="shared" si="127"/>
        <v>3.2985815602836883</v>
      </c>
      <c r="G1201" t="str">
        <f t="shared" si="125"/>
        <v>março</v>
      </c>
      <c r="H1201">
        <f t="shared" si="126"/>
        <v>2024</v>
      </c>
    </row>
    <row r="1202" spans="1:8" hidden="1" x14ac:dyDescent="0.25">
      <c r="A1202">
        <v>4032612</v>
      </c>
      <c r="B1202" s="25">
        <v>45352</v>
      </c>
      <c r="C1202" t="s">
        <v>933</v>
      </c>
      <c r="D1202" s="6">
        <v>237.66</v>
      </c>
      <c r="E1202" s="9">
        <v>128.34</v>
      </c>
      <c r="F1202" s="20">
        <f t="shared" si="127"/>
        <v>0.54001514768997727</v>
      </c>
      <c r="G1202" t="str">
        <f t="shared" si="125"/>
        <v>março</v>
      </c>
      <c r="H1202">
        <f t="shared" si="126"/>
        <v>2024</v>
      </c>
    </row>
    <row r="1203" spans="1:8" hidden="1" x14ac:dyDescent="0.25">
      <c r="A1203">
        <v>4032704</v>
      </c>
      <c r="B1203" s="25">
        <v>45352</v>
      </c>
      <c r="C1203" t="s">
        <v>260</v>
      </c>
      <c r="D1203" s="6">
        <v>1362.8</v>
      </c>
      <c r="E1203" s="9">
        <v>3959.29</v>
      </c>
      <c r="F1203" s="20">
        <f t="shared" si="127"/>
        <v>2.9052612268858233</v>
      </c>
      <c r="G1203" t="str">
        <f t="shared" si="125"/>
        <v>março</v>
      </c>
      <c r="H1203">
        <f t="shared" si="126"/>
        <v>2024</v>
      </c>
    </row>
    <row r="1204" spans="1:8" hidden="1" x14ac:dyDescent="0.25">
      <c r="A1204">
        <v>4032800</v>
      </c>
      <c r="B1204" s="25">
        <v>45352</v>
      </c>
      <c r="C1204" t="s">
        <v>262</v>
      </c>
      <c r="D1204" s="6">
        <v>95</v>
      </c>
      <c r="E1204" s="9">
        <v>492.46</v>
      </c>
      <c r="F1204" s="20">
        <f t="shared" si="127"/>
        <v>5.1837894736842101</v>
      </c>
      <c r="G1204" t="str">
        <f t="shared" ref="G1204:G1217" si="128">TEXT(B1204,"mmmm")</f>
        <v>março</v>
      </c>
      <c r="H1204">
        <f t="shared" ref="H1204:H1217" si="129">YEAR(B1204)</f>
        <v>2024</v>
      </c>
    </row>
    <row r="1205" spans="1:8" hidden="1" x14ac:dyDescent="0.25">
      <c r="A1205">
        <v>4032902</v>
      </c>
      <c r="B1205" s="25">
        <v>45352</v>
      </c>
      <c r="C1205" t="s">
        <v>264</v>
      </c>
      <c r="D1205" s="6">
        <v>223.52</v>
      </c>
      <c r="E1205" s="9">
        <v>1159.8399999999999</v>
      </c>
      <c r="F1205" s="20">
        <f t="shared" si="127"/>
        <v>5.1889763779527556</v>
      </c>
      <c r="G1205" t="str">
        <f t="shared" si="128"/>
        <v>março</v>
      </c>
      <c r="H1205">
        <f t="shared" si="129"/>
        <v>2024</v>
      </c>
    </row>
    <row r="1206" spans="1:8" hidden="1" x14ac:dyDescent="0.25">
      <c r="A1206">
        <v>4033011</v>
      </c>
      <c r="B1206" s="25">
        <v>45352</v>
      </c>
      <c r="C1206" t="s">
        <v>266</v>
      </c>
      <c r="D1206" s="6">
        <v>338.48</v>
      </c>
      <c r="E1206" s="9">
        <v>1717.51</v>
      </c>
      <c r="F1206" s="20">
        <f t="shared" si="127"/>
        <v>5.0741845899314582</v>
      </c>
      <c r="G1206" t="str">
        <f t="shared" si="128"/>
        <v>março</v>
      </c>
      <c r="H1206">
        <f t="shared" si="129"/>
        <v>2024</v>
      </c>
    </row>
    <row r="1207" spans="1:8" hidden="1" x14ac:dyDescent="0.25">
      <c r="A1207">
        <v>4033111</v>
      </c>
      <c r="B1207" s="25">
        <v>45352</v>
      </c>
      <c r="C1207" t="s">
        <v>268</v>
      </c>
      <c r="D1207" s="6">
        <v>235.14</v>
      </c>
      <c r="E1207" s="9">
        <v>1030.01</v>
      </c>
      <c r="F1207" s="20">
        <f t="shared" si="127"/>
        <v>4.3804116696436166</v>
      </c>
      <c r="G1207" t="str">
        <f t="shared" si="128"/>
        <v>março</v>
      </c>
      <c r="H1207">
        <f t="shared" si="129"/>
        <v>2024</v>
      </c>
    </row>
    <row r="1208" spans="1:8" hidden="1" x14ac:dyDescent="0.25">
      <c r="A1208">
        <v>4033211</v>
      </c>
      <c r="B1208" s="25">
        <v>45352</v>
      </c>
      <c r="C1208" t="s">
        <v>270</v>
      </c>
      <c r="D1208" s="6">
        <v>154.32</v>
      </c>
      <c r="E1208" s="9">
        <v>682.71</v>
      </c>
      <c r="F1208" s="20">
        <f t="shared" si="127"/>
        <v>4.4239891135303271</v>
      </c>
      <c r="G1208" t="str">
        <f t="shared" si="128"/>
        <v>março</v>
      </c>
      <c r="H1208">
        <f t="shared" si="129"/>
        <v>2024</v>
      </c>
    </row>
    <row r="1209" spans="1:8" hidden="1" x14ac:dyDescent="0.25">
      <c r="A1209">
        <v>4033311</v>
      </c>
      <c r="B1209" s="25">
        <v>45352</v>
      </c>
      <c r="C1209" t="s">
        <v>272</v>
      </c>
      <c r="D1209" s="6">
        <v>14.44</v>
      </c>
      <c r="E1209" s="9">
        <v>89.04</v>
      </c>
      <c r="F1209" s="20">
        <f t="shared" si="127"/>
        <v>6.1662049861495856</v>
      </c>
      <c r="G1209" t="str">
        <f t="shared" si="128"/>
        <v>março</v>
      </c>
      <c r="H1209">
        <f t="shared" si="129"/>
        <v>2024</v>
      </c>
    </row>
    <row r="1210" spans="1:8" hidden="1" x14ac:dyDescent="0.25">
      <c r="A1210">
        <v>4033400</v>
      </c>
      <c r="B1210" s="25">
        <v>45352</v>
      </c>
      <c r="C1210" t="s">
        <v>274</v>
      </c>
      <c r="D1210" s="6">
        <v>365.4</v>
      </c>
      <c r="E1210" s="9">
        <v>1108.53</v>
      </c>
      <c r="F1210" s="20">
        <f t="shared" ref="F1210:F1217" si="130">E1210/D1210</f>
        <v>3.0337438423645322</v>
      </c>
      <c r="G1210" t="str">
        <f t="shared" si="128"/>
        <v>março</v>
      </c>
      <c r="H1210">
        <f t="shared" si="129"/>
        <v>2024</v>
      </c>
    </row>
    <row r="1211" spans="1:8" hidden="1" x14ac:dyDescent="0.25">
      <c r="A1211">
        <v>4033511</v>
      </c>
      <c r="B1211" s="25">
        <v>45352</v>
      </c>
      <c r="C1211" t="s">
        <v>276</v>
      </c>
      <c r="D1211" s="6">
        <v>1092.1099999999999</v>
      </c>
      <c r="E1211" s="9">
        <v>3534.57</v>
      </c>
      <c r="F1211" s="20">
        <f t="shared" si="130"/>
        <v>3.2364596972832413</v>
      </c>
      <c r="G1211" t="str">
        <f t="shared" si="128"/>
        <v>março</v>
      </c>
      <c r="H1211">
        <f t="shared" si="129"/>
        <v>2024</v>
      </c>
    </row>
    <row r="1212" spans="1:8" hidden="1" x14ac:dyDescent="0.25">
      <c r="A1212">
        <v>4033900</v>
      </c>
      <c r="B1212" s="25">
        <v>45352</v>
      </c>
      <c r="C1212" t="s">
        <v>278</v>
      </c>
      <c r="D1212" s="6">
        <v>15.71</v>
      </c>
      <c r="E1212" s="9">
        <v>82.47</v>
      </c>
      <c r="F1212" s="20">
        <f t="shared" si="130"/>
        <v>5.2495225970719286</v>
      </c>
      <c r="G1212" t="str">
        <f t="shared" si="128"/>
        <v>março</v>
      </c>
      <c r="H1212">
        <f t="shared" si="129"/>
        <v>2024</v>
      </c>
    </row>
    <row r="1213" spans="1:8" hidden="1" x14ac:dyDescent="0.25">
      <c r="A1213">
        <v>4034011</v>
      </c>
      <c r="B1213" s="25">
        <v>45352</v>
      </c>
      <c r="C1213" t="s">
        <v>280</v>
      </c>
      <c r="D1213" s="6">
        <v>645.75</v>
      </c>
      <c r="E1213" s="9">
        <v>3446.72</v>
      </c>
      <c r="F1213" s="20">
        <f t="shared" si="130"/>
        <v>5.3375454897406112</v>
      </c>
      <c r="G1213" t="str">
        <f t="shared" si="128"/>
        <v>março</v>
      </c>
      <c r="H1213">
        <f t="shared" si="129"/>
        <v>2024</v>
      </c>
    </row>
    <row r="1214" spans="1:8" hidden="1" x14ac:dyDescent="0.25">
      <c r="A1214">
        <v>4034012</v>
      </c>
      <c r="B1214" s="25">
        <v>45352</v>
      </c>
      <c r="C1214" t="s">
        <v>863</v>
      </c>
      <c r="D1214" s="6">
        <v>1598</v>
      </c>
      <c r="E1214" s="9">
        <v>2031.48</v>
      </c>
      <c r="F1214" s="20">
        <f t="shared" si="130"/>
        <v>1.2712640801001251</v>
      </c>
      <c r="G1214" t="str">
        <f t="shared" si="128"/>
        <v>março</v>
      </c>
      <c r="H1214">
        <f t="shared" si="129"/>
        <v>2024</v>
      </c>
    </row>
    <row r="1215" spans="1:8" hidden="1" x14ac:dyDescent="0.25">
      <c r="A1215">
        <v>4034211</v>
      </c>
      <c r="B1215" s="25">
        <v>45352</v>
      </c>
      <c r="C1215" t="s">
        <v>282</v>
      </c>
      <c r="D1215" s="6">
        <v>348.79</v>
      </c>
      <c r="E1215" s="9">
        <v>1497.34</v>
      </c>
      <c r="F1215" s="20">
        <f t="shared" si="130"/>
        <v>4.2929556466641818</v>
      </c>
      <c r="G1215" t="str">
        <f t="shared" si="128"/>
        <v>março</v>
      </c>
      <c r="H1215">
        <f t="shared" si="129"/>
        <v>2024</v>
      </c>
    </row>
    <row r="1216" spans="1:8" hidden="1" x14ac:dyDescent="0.25">
      <c r="A1216">
        <v>4034400</v>
      </c>
      <c r="B1216" s="25">
        <v>45352</v>
      </c>
      <c r="C1216" t="s">
        <v>284</v>
      </c>
      <c r="D1216" s="6">
        <v>164.4</v>
      </c>
      <c r="E1216" s="9">
        <v>430.09</v>
      </c>
      <c r="F1216" s="20">
        <f t="shared" si="130"/>
        <v>2.6161192214111919</v>
      </c>
      <c r="G1216" t="str">
        <f t="shared" si="128"/>
        <v>março</v>
      </c>
      <c r="H1216">
        <f t="shared" si="129"/>
        <v>2024</v>
      </c>
    </row>
    <row r="1217" spans="1:8" hidden="1" x14ac:dyDescent="0.25">
      <c r="A1217">
        <v>4034502</v>
      </c>
      <c r="B1217" s="25">
        <v>45352</v>
      </c>
      <c r="C1217" t="s">
        <v>286</v>
      </c>
      <c r="D1217" s="6">
        <v>95.35</v>
      </c>
      <c r="E1217" s="9">
        <v>261.45999999999998</v>
      </c>
      <c r="F1217" s="20">
        <f t="shared" si="130"/>
        <v>2.7421080230728894</v>
      </c>
      <c r="G1217" t="str">
        <f t="shared" si="128"/>
        <v>março</v>
      </c>
      <c r="H1217">
        <f t="shared" si="129"/>
        <v>2024</v>
      </c>
    </row>
    <row r="1218" spans="1:8" hidden="1" x14ac:dyDescent="0.25">
      <c r="A1218">
        <v>3020103</v>
      </c>
      <c r="B1218" s="25">
        <v>45383</v>
      </c>
      <c r="C1218" t="s">
        <v>131</v>
      </c>
      <c r="D1218" s="6">
        <v>6026.7560000000003</v>
      </c>
      <c r="E1218" s="9">
        <v>20172.669999999998</v>
      </c>
      <c r="F1218" s="20">
        <f t="shared" ref="F1218:F1272" si="131">E1218/D1218</f>
        <v>3.3471854510121193</v>
      </c>
      <c r="G1218" t="str">
        <f t="shared" ref="G1218:G1266" si="132">TEXT(B1218,"mmmm")</f>
        <v>abril</v>
      </c>
      <c r="H1218">
        <f t="shared" ref="H1218:H1266" si="133">YEAR(B1218)</f>
        <v>2024</v>
      </c>
    </row>
    <row r="1219" spans="1:8" hidden="1" x14ac:dyDescent="0.25">
      <c r="A1219">
        <v>3020212</v>
      </c>
      <c r="B1219" s="25">
        <v>45383</v>
      </c>
      <c r="C1219" t="s">
        <v>133</v>
      </c>
      <c r="D1219" s="6">
        <v>1911.7049999999999</v>
      </c>
      <c r="E1219" s="9">
        <v>7318.63</v>
      </c>
      <c r="F1219" s="20">
        <f t="shared" si="131"/>
        <v>3.8283260231050296</v>
      </c>
      <c r="G1219" t="str">
        <f t="shared" si="132"/>
        <v>abril</v>
      </c>
      <c r="H1219">
        <f t="shared" si="133"/>
        <v>2024</v>
      </c>
    </row>
    <row r="1220" spans="1:8" hidden="1" x14ac:dyDescent="0.25">
      <c r="A1220">
        <v>3020214</v>
      </c>
      <c r="B1220" s="25">
        <v>45383</v>
      </c>
      <c r="C1220" t="s">
        <v>135</v>
      </c>
      <c r="D1220" s="6">
        <v>795.13300000000004</v>
      </c>
      <c r="E1220" s="9">
        <v>2878.04</v>
      </c>
      <c r="F1220" s="20">
        <f t="shared" si="131"/>
        <v>3.6195705624090557</v>
      </c>
      <c r="G1220" t="str">
        <f t="shared" si="132"/>
        <v>abril</v>
      </c>
      <c r="H1220">
        <f t="shared" si="133"/>
        <v>2024</v>
      </c>
    </row>
    <row r="1221" spans="1:8" hidden="1" x14ac:dyDescent="0.25">
      <c r="A1221">
        <v>3020315</v>
      </c>
      <c r="B1221" s="25">
        <v>45383</v>
      </c>
      <c r="C1221" t="s">
        <v>137</v>
      </c>
      <c r="D1221" s="6">
        <v>3193.7359999999999</v>
      </c>
      <c r="E1221" s="9">
        <v>11629</v>
      </c>
      <c r="F1221" s="20">
        <f t="shared" si="131"/>
        <v>3.6411901296788467</v>
      </c>
      <c r="G1221" t="str">
        <f t="shared" si="132"/>
        <v>abril</v>
      </c>
      <c r="H1221">
        <f t="shared" si="133"/>
        <v>2024</v>
      </c>
    </row>
    <row r="1222" spans="1:8" hidden="1" x14ac:dyDescent="0.25">
      <c r="A1222">
        <v>3020316</v>
      </c>
      <c r="B1222" s="25">
        <v>45383</v>
      </c>
      <c r="C1222" t="s">
        <v>139</v>
      </c>
      <c r="D1222" s="6">
        <v>171.934</v>
      </c>
      <c r="E1222" s="9">
        <v>558.79999999999995</v>
      </c>
      <c r="F1222" s="20">
        <f t="shared" si="131"/>
        <v>3.2500843346865658</v>
      </c>
      <c r="G1222" t="str">
        <f t="shared" si="132"/>
        <v>abril</v>
      </c>
      <c r="H1222">
        <f t="shared" si="133"/>
        <v>2024</v>
      </c>
    </row>
    <row r="1223" spans="1:8" hidden="1" x14ac:dyDescent="0.25">
      <c r="A1223">
        <v>3020317</v>
      </c>
      <c r="B1223" s="25">
        <v>45383</v>
      </c>
      <c r="C1223" t="s">
        <v>845</v>
      </c>
      <c r="D1223" s="6">
        <v>103.5</v>
      </c>
      <c r="E1223" s="9">
        <v>362.25</v>
      </c>
      <c r="F1223" s="20">
        <f t="shared" si="131"/>
        <v>3.5</v>
      </c>
      <c r="G1223" t="str">
        <f t="shared" si="132"/>
        <v>abril</v>
      </c>
      <c r="H1223">
        <f t="shared" si="133"/>
        <v>2024</v>
      </c>
    </row>
    <row r="1224" spans="1:8" hidden="1" x14ac:dyDescent="0.25">
      <c r="A1224">
        <v>3020318</v>
      </c>
      <c r="B1224" s="25">
        <v>45383</v>
      </c>
      <c r="C1224" t="s">
        <v>847</v>
      </c>
      <c r="D1224" s="6">
        <v>34.5</v>
      </c>
      <c r="E1224" s="9">
        <v>120.75</v>
      </c>
      <c r="F1224" s="20">
        <f t="shared" si="131"/>
        <v>3.5</v>
      </c>
      <c r="G1224" t="str">
        <f t="shared" si="132"/>
        <v>abril</v>
      </c>
      <c r="H1224">
        <f t="shared" si="133"/>
        <v>2024</v>
      </c>
    </row>
    <row r="1225" spans="1:8" hidden="1" x14ac:dyDescent="0.25">
      <c r="A1225">
        <v>3020319</v>
      </c>
      <c r="B1225" s="25">
        <v>45383</v>
      </c>
      <c r="C1225" t="s">
        <v>1012</v>
      </c>
      <c r="D1225" s="6">
        <v>113.24000000000001</v>
      </c>
      <c r="E1225" s="9">
        <v>396.34</v>
      </c>
      <c r="F1225" s="20">
        <f t="shared" si="131"/>
        <v>3.4999999999999996</v>
      </c>
      <c r="G1225" t="str">
        <f t="shared" si="132"/>
        <v>abril</v>
      </c>
      <c r="H1225">
        <f t="shared" si="133"/>
        <v>2024</v>
      </c>
    </row>
    <row r="1226" spans="1:8" hidden="1" x14ac:dyDescent="0.25">
      <c r="A1226">
        <v>3020402</v>
      </c>
      <c r="B1226" s="25">
        <v>45383</v>
      </c>
      <c r="C1226" t="s">
        <v>141</v>
      </c>
      <c r="D1226" s="6">
        <v>1767.336</v>
      </c>
      <c r="E1226" s="9">
        <v>6462.2</v>
      </c>
      <c r="F1226" s="20">
        <f t="shared" si="131"/>
        <v>3.6564637397755715</v>
      </c>
      <c r="G1226" t="str">
        <f t="shared" si="132"/>
        <v>abril</v>
      </c>
      <c r="H1226">
        <f t="shared" si="133"/>
        <v>2024</v>
      </c>
    </row>
    <row r="1227" spans="1:8" hidden="1" x14ac:dyDescent="0.25">
      <c r="A1227">
        <v>3020504</v>
      </c>
      <c r="B1227" s="25">
        <v>45383</v>
      </c>
      <c r="C1227" t="s">
        <v>143</v>
      </c>
      <c r="D1227" s="6">
        <v>635.18000000000006</v>
      </c>
      <c r="E1227" s="9">
        <v>2438.86</v>
      </c>
      <c r="F1227" s="20">
        <f t="shared" si="131"/>
        <v>3.8396360086904497</v>
      </c>
      <c r="G1227" t="str">
        <f t="shared" si="132"/>
        <v>abril</v>
      </c>
      <c r="H1227">
        <f t="shared" si="133"/>
        <v>2024</v>
      </c>
    </row>
    <row r="1228" spans="1:8" hidden="1" x14ac:dyDescent="0.25">
      <c r="A1228">
        <v>3020622</v>
      </c>
      <c r="B1228" s="25">
        <v>45383</v>
      </c>
      <c r="C1228" t="s">
        <v>145</v>
      </c>
      <c r="D1228" s="6">
        <v>7549.902</v>
      </c>
      <c r="E1228" s="9">
        <v>27728.45</v>
      </c>
      <c r="F1228" s="20">
        <f t="shared" si="131"/>
        <v>3.6726900561093379</v>
      </c>
      <c r="G1228" t="str">
        <f t="shared" si="132"/>
        <v>abril</v>
      </c>
      <c r="H1228">
        <f t="shared" si="133"/>
        <v>2024</v>
      </c>
    </row>
    <row r="1229" spans="1:8" hidden="1" x14ac:dyDescent="0.25">
      <c r="A1229">
        <v>3020623</v>
      </c>
      <c r="B1229" s="25">
        <v>45383</v>
      </c>
      <c r="C1229" t="s">
        <v>147</v>
      </c>
      <c r="D1229" s="6">
        <v>656.99</v>
      </c>
      <c r="E1229" s="9">
        <v>2540.9299999999998</v>
      </c>
      <c r="F1229" s="20">
        <f t="shared" si="131"/>
        <v>3.8675322303231399</v>
      </c>
      <c r="G1229" t="str">
        <f t="shared" si="132"/>
        <v>abril</v>
      </c>
      <c r="H1229">
        <f t="shared" si="133"/>
        <v>2024</v>
      </c>
    </row>
    <row r="1230" spans="1:8" hidden="1" x14ac:dyDescent="0.25">
      <c r="A1230">
        <v>3020725</v>
      </c>
      <c r="B1230" s="25">
        <v>45383</v>
      </c>
      <c r="C1230" t="s">
        <v>149</v>
      </c>
      <c r="D1230" s="6">
        <v>472.13</v>
      </c>
      <c r="E1230" s="9">
        <v>1779.57</v>
      </c>
      <c r="F1230" s="20">
        <f t="shared" si="131"/>
        <v>3.7692372863406263</v>
      </c>
      <c r="G1230" t="str">
        <f t="shared" si="132"/>
        <v>abril</v>
      </c>
      <c r="H1230">
        <f t="shared" si="133"/>
        <v>2024</v>
      </c>
    </row>
    <row r="1231" spans="1:8" hidden="1" x14ac:dyDescent="0.25">
      <c r="A1231">
        <v>3020823</v>
      </c>
      <c r="B1231" s="25">
        <v>45383</v>
      </c>
      <c r="C1231" t="s">
        <v>151</v>
      </c>
      <c r="D1231" s="6">
        <v>2190.915</v>
      </c>
      <c r="E1231" s="9">
        <v>8461.07</v>
      </c>
      <c r="F1231" s="20">
        <f t="shared" si="131"/>
        <v>3.8618887542419489</v>
      </c>
      <c r="G1231" t="str">
        <f t="shared" si="132"/>
        <v>abril</v>
      </c>
      <c r="H1231">
        <f t="shared" si="133"/>
        <v>2024</v>
      </c>
    </row>
    <row r="1232" spans="1:8" hidden="1" x14ac:dyDescent="0.25">
      <c r="A1232">
        <v>3020824</v>
      </c>
      <c r="B1232" s="25">
        <v>45383</v>
      </c>
      <c r="C1232" t="s">
        <v>153</v>
      </c>
      <c r="D1232" s="6">
        <v>1488.318</v>
      </c>
      <c r="E1232" s="9">
        <v>5539.89</v>
      </c>
      <c r="F1232" s="20">
        <f t="shared" si="131"/>
        <v>3.7222488742325233</v>
      </c>
      <c r="G1232" t="str">
        <f t="shared" si="132"/>
        <v>abril</v>
      </c>
      <c r="H1232">
        <f t="shared" si="133"/>
        <v>2024</v>
      </c>
    </row>
    <row r="1233" spans="1:8" hidden="1" x14ac:dyDescent="0.25">
      <c r="A1233">
        <v>3020825</v>
      </c>
      <c r="B1233" s="25">
        <v>45383</v>
      </c>
      <c r="C1233" t="s">
        <v>455</v>
      </c>
      <c r="D1233" s="6">
        <v>148.91400000000002</v>
      </c>
      <c r="E1233" s="9">
        <v>610.54999999999995</v>
      </c>
      <c r="F1233" s="20">
        <f t="shared" si="131"/>
        <v>4.1000174597418635</v>
      </c>
      <c r="G1233" t="str">
        <f t="shared" si="132"/>
        <v>abril</v>
      </c>
      <c r="H1233">
        <f t="shared" si="133"/>
        <v>2024</v>
      </c>
    </row>
    <row r="1234" spans="1:8" hidden="1" x14ac:dyDescent="0.25">
      <c r="A1234">
        <v>3020924</v>
      </c>
      <c r="B1234" s="25">
        <v>45383</v>
      </c>
      <c r="C1234" t="s">
        <v>155</v>
      </c>
      <c r="D1234" s="6">
        <v>1200.3</v>
      </c>
      <c r="E1234" s="9">
        <v>4537.99</v>
      </c>
      <c r="F1234" s="20">
        <f t="shared" si="131"/>
        <v>3.7807131550445723</v>
      </c>
      <c r="G1234" t="str">
        <f t="shared" si="132"/>
        <v>abril</v>
      </c>
      <c r="H1234">
        <f t="shared" si="133"/>
        <v>2024</v>
      </c>
    </row>
    <row r="1235" spans="1:8" hidden="1" x14ac:dyDescent="0.25">
      <c r="A1235">
        <v>3020925</v>
      </c>
      <c r="B1235" s="25">
        <v>45383</v>
      </c>
      <c r="C1235" t="s">
        <v>157</v>
      </c>
      <c r="D1235" s="6">
        <v>1210.1279999999999</v>
      </c>
      <c r="E1235" s="9">
        <v>4483.6499999999996</v>
      </c>
      <c r="F1235" s="20">
        <f t="shared" si="131"/>
        <v>3.7051039228908014</v>
      </c>
      <c r="G1235" t="str">
        <f t="shared" si="132"/>
        <v>abril</v>
      </c>
      <c r="H1235">
        <f t="shared" si="133"/>
        <v>2024</v>
      </c>
    </row>
    <row r="1236" spans="1:8" hidden="1" x14ac:dyDescent="0.25">
      <c r="A1236">
        <v>3021436</v>
      </c>
      <c r="B1236" s="25">
        <v>45383</v>
      </c>
      <c r="C1236" t="s">
        <v>546</v>
      </c>
      <c r="D1236" s="6">
        <v>486.09000000000003</v>
      </c>
      <c r="E1236" s="9">
        <v>1589.73</v>
      </c>
      <c r="F1236" s="20">
        <f t="shared" si="131"/>
        <v>3.2704437449854962</v>
      </c>
      <c r="G1236" t="str">
        <f t="shared" si="132"/>
        <v>abril</v>
      </c>
      <c r="H1236">
        <f t="shared" si="133"/>
        <v>2024</v>
      </c>
    </row>
    <row r="1237" spans="1:8" hidden="1" x14ac:dyDescent="0.25">
      <c r="A1237">
        <v>3021538</v>
      </c>
      <c r="B1237" s="25">
        <v>45383</v>
      </c>
      <c r="C1237" t="s">
        <v>548</v>
      </c>
      <c r="D1237" s="6">
        <v>256.37</v>
      </c>
      <c r="E1237" s="9">
        <v>745.69</v>
      </c>
      <c r="F1237" s="20">
        <f t="shared" si="131"/>
        <v>2.9086476576822564</v>
      </c>
      <c r="G1237" t="str">
        <f t="shared" si="132"/>
        <v>abril</v>
      </c>
      <c r="H1237">
        <f t="shared" si="133"/>
        <v>2024</v>
      </c>
    </row>
    <row r="1238" spans="1:8" hidden="1" x14ac:dyDescent="0.25">
      <c r="A1238">
        <v>3021639</v>
      </c>
      <c r="B1238" s="25">
        <v>45383</v>
      </c>
      <c r="C1238" t="s">
        <v>457</v>
      </c>
      <c r="D1238" s="6">
        <v>35.96</v>
      </c>
      <c r="E1238" s="9">
        <v>111.89</v>
      </c>
      <c r="F1238" s="20">
        <f t="shared" si="131"/>
        <v>3.111512791991101</v>
      </c>
      <c r="G1238" t="str">
        <f t="shared" si="132"/>
        <v>abril</v>
      </c>
      <c r="H1238">
        <f t="shared" si="133"/>
        <v>2024</v>
      </c>
    </row>
    <row r="1239" spans="1:8" hidden="1" x14ac:dyDescent="0.25">
      <c r="A1239">
        <v>3021740</v>
      </c>
      <c r="B1239" s="25">
        <v>45383</v>
      </c>
      <c r="C1239" t="s">
        <v>459</v>
      </c>
      <c r="D1239" s="6">
        <v>379.81799999999998</v>
      </c>
      <c r="E1239" s="9">
        <v>1074.47</v>
      </c>
      <c r="F1239" s="20">
        <f t="shared" si="131"/>
        <v>2.828907529395658</v>
      </c>
      <c r="G1239" t="str">
        <f t="shared" si="132"/>
        <v>abril</v>
      </c>
      <c r="H1239">
        <f t="shared" si="133"/>
        <v>2024</v>
      </c>
    </row>
    <row r="1240" spans="1:8" hidden="1" x14ac:dyDescent="0.25">
      <c r="A1240">
        <v>3021760</v>
      </c>
      <c r="B1240" s="25">
        <v>45383</v>
      </c>
      <c r="C1240" t="s">
        <v>167</v>
      </c>
      <c r="D1240" s="6">
        <v>5263.2390000000005</v>
      </c>
      <c r="E1240" s="9">
        <v>10146.14</v>
      </c>
      <c r="F1240" s="20">
        <f t="shared" si="131"/>
        <v>1.9277368935744696</v>
      </c>
      <c r="G1240" t="str">
        <f t="shared" si="132"/>
        <v>abril</v>
      </c>
      <c r="H1240">
        <f t="shared" si="133"/>
        <v>2024</v>
      </c>
    </row>
    <row r="1241" spans="1:8" hidden="1" x14ac:dyDescent="0.25">
      <c r="A1241">
        <v>3021811</v>
      </c>
      <c r="B1241" s="25">
        <v>45383</v>
      </c>
      <c r="C1241" t="s">
        <v>169</v>
      </c>
      <c r="D1241" s="6">
        <v>1912.64</v>
      </c>
      <c r="E1241" s="9">
        <v>3919.59</v>
      </c>
      <c r="F1241" s="20">
        <f t="shared" si="131"/>
        <v>2.04930880876694</v>
      </c>
      <c r="G1241" t="str">
        <f t="shared" si="132"/>
        <v>abril</v>
      </c>
      <c r="H1241">
        <f t="shared" si="133"/>
        <v>2024</v>
      </c>
    </row>
    <row r="1242" spans="1:8" hidden="1" x14ac:dyDescent="0.25">
      <c r="A1242">
        <v>3021812</v>
      </c>
      <c r="B1242" s="25">
        <v>45383</v>
      </c>
      <c r="C1242" t="s">
        <v>171</v>
      </c>
      <c r="D1242" s="6">
        <v>-305.74599999999998</v>
      </c>
      <c r="E1242" s="9">
        <v>-714.86</v>
      </c>
      <c r="F1242" s="20">
        <f t="shared" si="131"/>
        <v>2.338084553845349</v>
      </c>
      <c r="G1242" t="str">
        <f t="shared" si="132"/>
        <v>abril</v>
      </c>
      <c r="H1242">
        <f t="shared" si="133"/>
        <v>2024</v>
      </c>
    </row>
    <row r="1243" spans="1:8" hidden="1" x14ac:dyDescent="0.25">
      <c r="A1243">
        <v>3022100</v>
      </c>
      <c r="B1243" s="25">
        <v>45383</v>
      </c>
      <c r="C1243" t="s">
        <v>173</v>
      </c>
      <c r="D1243" s="6">
        <v>182.41</v>
      </c>
      <c r="E1243" s="9">
        <v>713.17</v>
      </c>
      <c r="F1243" s="20">
        <f t="shared" si="131"/>
        <v>3.9097088975385121</v>
      </c>
      <c r="G1243" t="str">
        <f t="shared" si="132"/>
        <v>abril</v>
      </c>
      <c r="H1243">
        <f t="shared" si="133"/>
        <v>2024</v>
      </c>
    </row>
    <row r="1244" spans="1:8" hidden="1" x14ac:dyDescent="0.25">
      <c r="A1244">
        <v>3022208</v>
      </c>
      <c r="B1244" s="25">
        <v>45383</v>
      </c>
      <c r="C1244" t="s">
        <v>307</v>
      </c>
      <c r="D1244" s="6">
        <v>227.37</v>
      </c>
      <c r="E1244" s="9">
        <v>876.91</v>
      </c>
      <c r="F1244" s="20">
        <f t="shared" si="131"/>
        <v>3.8567533095834978</v>
      </c>
      <c r="G1244" t="str">
        <f t="shared" si="132"/>
        <v>abril</v>
      </c>
      <c r="H1244">
        <f t="shared" si="133"/>
        <v>2024</v>
      </c>
    </row>
    <row r="1245" spans="1:8" hidden="1" x14ac:dyDescent="0.25">
      <c r="A1245">
        <v>3022311</v>
      </c>
      <c r="B1245" s="25">
        <v>45383</v>
      </c>
      <c r="C1245" t="s">
        <v>176</v>
      </c>
      <c r="D1245" s="6">
        <v>2152.8850000000002</v>
      </c>
      <c r="E1245" s="9">
        <v>5372.64</v>
      </c>
      <c r="F1245" s="20">
        <f t="shared" si="131"/>
        <v>2.4955536408122123</v>
      </c>
      <c r="G1245" t="str">
        <f t="shared" si="132"/>
        <v>abril</v>
      </c>
      <c r="H1245">
        <f t="shared" si="133"/>
        <v>2024</v>
      </c>
    </row>
    <row r="1246" spans="1:8" hidden="1" x14ac:dyDescent="0.25">
      <c r="A1246">
        <v>3022411</v>
      </c>
      <c r="B1246" s="25">
        <v>45383</v>
      </c>
      <c r="C1246" t="s">
        <v>178</v>
      </c>
      <c r="D1246" s="6">
        <v>86.466999999999999</v>
      </c>
      <c r="E1246" s="9">
        <v>247.76</v>
      </c>
      <c r="F1246" s="20">
        <f t="shared" si="131"/>
        <v>2.865370603814172</v>
      </c>
      <c r="G1246" t="str">
        <f t="shared" si="132"/>
        <v>abril</v>
      </c>
      <c r="H1246">
        <f t="shared" si="133"/>
        <v>2024</v>
      </c>
    </row>
    <row r="1247" spans="1:8" hidden="1" x14ac:dyDescent="0.25">
      <c r="A1247">
        <v>3022511</v>
      </c>
      <c r="B1247" s="25">
        <v>45383</v>
      </c>
      <c r="C1247" t="s">
        <v>180</v>
      </c>
      <c r="D1247" s="6">
        <v>3.71</v>
      </c>
      <c r="E1247" s="9">
        <v>10.35</v>
      </c>
      <c r="F1247" s="20">
        <f t="shared" si="131"/>
        <v>2.7897574123989219</v>
      </c>
      <c r="G1247" t="str">
        <f t="shared" si="132"/>
        <v>abril</v>
      </c>
      <c r="H1247">
        <f t="shared" si="133"/>
        <v>2024</v>
      </c>
    </row>
    <row r="1248" spans="1:8" hidden="1" x14ac:dyDescent="0.25">
      <c r="A1248">
        <v>3022601</v>
      </c>
      <c r="B1248" s="25">
        <v>45383</v>
      </c>
      <c r="C1248" t="s">
        <v>182</v>
      </c>
      <c r="D1248" s="6">
        <v>313</v>
      </c>
      <c r="E1248" s="9">
        <v>1202.31</v>
      </c>
      <c r="F1248" s="20">
        <f t="shared" si="131"/>
        <v>3.8412460063897762</v>
      </c>
      <c r="G1248" t="str">
        <f t="shared" si="132"/>
        <v>abril</v>
      </c>
      <c r="H1248">
        <f t="shared" si="133"/>
        <v>2024</v>
      </c>
    </row>
    <row r="1249" spans="1:8" hidden="1" x14ac:dyDescent="0.25">
      <c r="A1249">
        <v>3022703</v>
      </c>
      <c r="B1249" s="25">
        <v>45383</v>
      </c>
      <c r="C1249" t="s">
        <v>309</v>
      </c>
      <c r="D1249" s="6">
        <v>575</v>
      </c>
      <c r="E1249" s="9">
        <v>1603.5</v>
      </c>
      <c r="F1249" s="20">
        <f t="shared" si="131"/>
        <v>2.7886956521739132</v>
      </c>
      <c r="G1249" t="str">
        <f t="shared" si="132"/>
        <v>abril</v>
      </c>
      <c r="H1249">
        <f t="shared" si="133"/>
        <v>2024</v>
      </c>
    </row>
    <row r="1250" spans="1:8" hidden="1" x14ac:dyDescent="0.25">
      <c r="A1250">
        <v>3022805</v>
      </c>
      <c r="B1250" s="25">
        <v>45383</v>
      </c>
      <c r="C1250" t="s">
        <v>186</v>
      </c>
      <c r="D1250" s="6">
        <v>1415</v>
      </c>
      <c r="E1250" s="9">
        <v>2971.39</v>
      </c>
      <c r="F1250" s="20">
        <f t="shared" si="131"/>
        <v>2.0999222614840987</v>
      </c>
      <c r="G1250" t="str">
        <f t="shared" si="132"/>
        <v>abril</v>
      </c>
      <c r="H1250">
        <f t="shared" si="133"/>
        <v>2024</v>
      </c>
    </row>
    <row r="1251" spans="1:8" hidden="1" x14ac:dyDescent="0.25">
      <c r="A1251">
        <v>3022906</v>
      </c>
      <c r="B1251" s="25">
        <v>45383</v>
      </c>
      <c r="C1251" t="s">
        <v>188</v>
      </c>
      <c r="D1251" s="6">
        <v>3740</v>
      </c>
      <c r="E1251" s="9">
        <v>7639.13</v>
      </c>
      <c r="F1251" s="20">
        <f t="shared" si="131"/>
        <v>2.0425481283422462</v>
      </c>
      <c r="G1251" t="str">
        <f t="shared" si="132"/>
        <v>abril</v>
      </c>
      <c r="H1251">
        <f t="shared" si="133"/>
        <v>2024</v>
      </c>
    </row>
    <row r="1252" spans="1:8" hidden="1" x14ac:dyDescent="0.25">
      <c r="A1252">
        <v>3023007</v>
      </c>
      <c r="B1252" s="25">
        <v>45383</v>
      </c>
      <c r="C1252" t="s">
        <v>190</v>
      </c>
      <c r="D1252" s="6">
        <v>720</v>
      </c>
      <c r="E1252" s="9">
        <v>1458.7</v>
      </c>
      <c r="F1252" s="20">
        <f t="shared" si="131"/>
        <v>2.0259722222222223</v>
      </c>
      <c r="G1252" t="str">
        <f t="shared" si="132"/>
        <v>abril</v>
      </c>
      <c r="H1252">
        <f t="shared" si="133"/>
        <v>2024</v>
      </c>
    </row>
    <row r="1253" spans="1:8" hidden="1" x14ac:dyDescent="0.25">
      <c r="A1253">
        <v>4030100</v>
      </c>
      <c r="B1253" s="25">
        <v>45383</v>
      </c>
      <c r="C1253" t="s">
        <v>200</v>
      </c>
      <c r="D1253" s="6">
        <v>215.3</v>
      </c>
      <c r="E1253" s="9">
        <v>1326.03</v>
      </c>
      <c r="F1253" s="20">
        <f t="shared" si="131"/>
        <v>6.1589874593590332</v>
      </c>
      <c r="G1253" t="str">
        <f t="shared" si="132"/>
        <v>abril</v>
      </c>
      <c r="H1253">
        <f t="shared" si="133"/>
        <v>2024</v>
      </c>
    </row>
    <row r="1254" spans="1:8" hidden="1" x14ac:dyDescent="0.25">
      <c r="A1254">
        <v>4030211</v>
      </c>
      <c r="B1254" s="25">
        <v>45383</v>
      </c>
      <c r="C1254" t="s">
        <v>202</v>
      </c>
      <c r="D1254" s="6">
        <v>995.44799999999998</v>
      </c>
      <c r="E1254" s="9">
        <v>5714.37</v>
      </c>
      <c r="F1254" s="20">
        <f t="shared" si="131"/>
        <v>5.7405007594570483</v>
      </c>
      <c r="G1254" t="str">
        <f t="shared" si="132"/>
        <v>abril</v>
      </c>
      <c r="H1254">
        <f t="shared" si="133"/>
        <v>2024</v>
      </c>
    </row>
    <row r="1255" spans="1:8" hidden="1" x14ac:dyDescent="0.25">
      <c r="A1255">
        <v>4030311</v>
      </c>
      <c r="B1255" s="25">
        <v>45383</v>
      </c>
      <c r="C1255" t="s">
        <v>311</v>
      </c>
      <c r="D1255" s="6">
        <v>486.30400000000003</v>
      </c>
      <c r="E1255" s="9">
        <v>3150.02</v>
      </c>
      <c r="F1255" s="20">
        <f t="shared" si="131"/>
        <v>6.4774708824110014</v>
      </c>
      <c r="G1255" t="str">
        <f t="shared" si="132"/>
        <v>abril</v>
      </c>
      <c r="H1255">
        <f t="shared" si="133"/>
        <v>2024</v>
      </c>
    </row>
    <row r="1256" spans="1:8" hidden="1" x14ac:dyDescent="0.25">
      <c r="A1256">
        <v>4030401</v>
      </c>
      <c r="B1256" s="25">
        <v>45383</v>
      </c>
      <c r="C1256" t="s">
        <v>461</v>
      </c>
      <c r="D1256" s="6">
        <v>215.3</v>
      </c>
      <c r="E1256" s="9">
        <v>1085.82</v>
      </c>
      <c r="F1256" s="20">
        <f t="shared" si="131"/>
        <v>5.0432884347422196</v>
      </c>
      <c r="G1256" t="str">
        <f t="shared" si="132"/>
        <v>abril</v>
      </c>
      <c r="H1256">
        <f t="shared" si="133"/>
        <v>2024</v>
      </c>
    </row>
    <row r="1257" spans="1:8" hidden="1" x14ac:dyDescent="0.25">
      <c r="A1257">
        <v>4030532</v>
      </c>
      <c r="B1257" s="25">
        <v>45383</v>
      </c>
      <c r="C1257" t="s">
        <v>210</v>
      </c>
      <c r="D1257" s="6">
        <v>281.41000000000003</v>
      </c>
      <c r="E1257" s="9">
        <v>1358.33</v>
      </c>
      <c r="F1257" s="20">
        <f t="shared" si="131"/>
        <v>4.8268718240289958</v>
      </c>
      <c r="G1257" t="str">
        <f t="shared" si="132"/>
        <v>abril</v>
      </c>
      <c r="H1257">
        <f t="shared" si="133"/>
        <v>2024</v>
      </c>
    </row>
    <row r="1258" spans="1:8" hidden="1" x14ac:dyDescent="0.25">
      <c r="A1258">
        <v>4030600</v>
      </c>
      <c r="B1258" s="25">
        <v>45383</v>
      </c>
      <c r="C1258" t="s">
        <v>212</v>
      </c>
      <c r="D1258" s="6">
        <v>549.81000000000006</v>
      </c>
      <c r="E1258" s="9">
        <v>1726.75</v>
      </c>
      <c r="F1258" s="20">
        <f t="shared" si="131"/>
        <v>3.1406303995925864</v>
      </c>
      <c r="G1258" t="str">
        <f t="shared" si="132"/>
        <v>abril</v>
      </c>
      <c r="H1258">
        <f t="shared" si="133"/>
        <v>2024</v>
      </c>
    </row>
    <row r="1259" spans="1:8" hidden="1" x14ac:dyDescent="0.25">
      <c r="A1259">
        <v>4030711</v>
      </c>
      <c r="B1259" s="25">
        <v>45383</v>
      </c>
      <c r="C1259" t="s">
        <v>214</v>
      </c>
      <c r="D1259" s="6">
        <v>1328.6020000000001</v>
      </c>
      <c r="E1259" s="9">
        <v>4364.04</v>
      </c>
      <c r="F1259" s="20">
        <f t="shared" si="131"/>
        <v>3.284685707232113</v>
      </c>
      <c r="G1259" t="str">
        <f t="shared" si="132"/>
        <v>abril</v>
      </c>
      <c r="H1259">
        <f t="shared" si="133"/>
        <v>2024</v>
      </c>
    </row>
    <row r="1260" spans="1:8" hidden="1" x14ac:dyDescent="0.25">
      <c r="A1260">
        <v>4030811</v>
      </c>
      <c r="B1260" s="25">
        <v>45383</v>
      </c>
      <c r="C1260" t="s">
        <v>216</v>
      </c>
      <c r="D1260" s="6">
        <v>1643.0820000000001</v>
      </c>
      <c r="E1260" s="9">
        <v>5402.39</v>
      </c>
      <c r="F1260" s="20">
        <f t="shared" si="131"/>
        <v>3.2879612825166364</v>
      </c>
      <c r="G1260" t="str">
        <f t="shared" si="132"/>
        <v>abril</v>
      </c>
      <c r="H1260">
        <f t="shared" si="133"/>
        <v>2024</v>
      </c>
    </row>
    <row r="1261" spans="1:8" hidden="1" x14ac:dyDescent="0.25">
      <c r="A1261">
        <v>4030813</v>
      </c>
      <c r="B1261" s="25">
        <v>45383</v>
      </c>
      <c r="C1261" t="s">
        <v>218</v>
      </c>
      <c r="D1261" s="6">
        <v>431.09000000000003</v>
      </c>
      <c r="E1261" s="9">
        <v>1241.54</v>
      </c>
      <c r="F1261" s="20">
        <f t="shared" si="131"/>
        <v>2.8800018557609777</v>
      </c>
      <c r="G1261" t="str">
        <f t="shared" si="132"/>
        <v>abril</v>
      </c>
      <c r="H1261">
        <f t="shared" si="133"/>
        <v>2024</v>
      </c>
    </row>
    <row r="1262" spans="1:8" hidden="1" x14ac:dyDescent="0.25">
      <c r="A1262">
        <v>4030900</v>
      </c>
      <c r="B1262" s="25">
        <v>45383</v>
      </c>
      <c r="C1262" t="s">
        <v>220</v>
      </c>
      <c r="D1262" s="6">
        <v>4827.03</v>
      </c>
      <c r="E1262" s="9">
        <v>14990.21</v>
      </c>
      <c r="F1262" s="20">
        <f t="shared" si="131"/>
        <v>3.1054727233930595</v>
      </c>
      <c r="G1262" t="str">
        <f t="shared" si="132"/>
        <v>abril</v>
      </c>
      <c r="H1262">
        <f t="shared" si="133"/>
        <v>2024</v>
      </c>
    </row>
    <row r="1263" spans="1:8" hidden="1" x14ac:dyDescent="0.25">
      <c r="A1263">
        <v>4030910</v>
      </c>
      <c r="B1263" s="25">
        <v>45383</v>
      </c>
      <c r="C1263" t="s">
        <v>222</v>
      </c>
      <c r="D1263" s="6">
        <v>26.77</v>
      </c>
      <c r="E1263" s="9">
        <v>87.68</v>
      </c>
      <c r="F1263" s="20">
        <f t="shared" si="131"/>
        <v>3.2753081807994024</v>
      </c>
      <c r="G1263" t="str">
        <f t="shared" si="132"/>
        <v>abril</v>
      </c>
      <c r="H1263">
        <f t="shared" si="133"/>
        <v>2024</v>
      </c>
    </row>
    <row r="1264" spans="1:8" hidden="1" x14ac:dyDescent="0.25">
      <c r="A1264">
        <v>4031012</v>
      </c>
      <c r="B1264" s="25">
        <v>45383</v>
      </c>
      <c r="C1264" t="s">
        <v>224</v>
      </c>
      <c r="D1264" s="6">
        <v>851.24599999999998</v>
      </c>
      <c r="E1264" s="9">
        <v>2729.04</v>
      </c>
      <c r="F1264" s="20">
        <f t="shared" si="131"/>
        <v>3.2059357694485495</v>
      </c>
      <c r="G1264" t="str">
        <f t="shared" si="132"/>
        <v>abril</v>
      </c>
      <c r="H1264">
        <f t="shared" si="133"/>
        <v>2024</v>
      </c>
    </row>
    <row r="1265" spans="1:8" hidden="1" x14ac:dyDescent="0.25">
      <c r="A1265">
        <v>4031013</v>
      </c>
      <c r="B1265" s="25">
        <v>45383</v>
      </c>
      <c r="C1265" t="s">
        <v>1013</v>
      </c>
      <c r="D1265" s="6">
        <v>0.9</v>
      </c>
      <c r="E1265" s="9">
        <v>5.04</v>
      </c>
      <c r="F1265" s="20">
        <f t="shared" si="131"/>
        <v>5.6</v>
      </c>
      <c r="G1265" t="str">
        <f t="shared" si="132"/>
        <v>abril</v>
      </c>
      <c r="H1265">
        <f t="shared" si="133"/>
        <v>2024</v>
      </c>
    </row>
    <row r="1266" spans="1:8" hidden="1" x14ac:dyDescent="0.25">
      <c r="A1266">
        <v>4031017</v>
      </c>
      <c r="B1266" s="25">
        <v>45383</v>
      </c>
      <c r="C1266" t="s">
        <v>226</v>
      </c>
      <c r="D1266" s="6">
        <v>349.8</v>
      </c>
      <c r="E1266" s="9">
        <v>251.87</v>
      </c>
      <c r="F1266" s="20">
        <f t="shared" si="131"/>
        <v>0.72004002287021152</v>
      </c>
      <c r="G1266" t="str">
        <f t="shared" si="132"/>
        <v>abril</v>
      </c>
      <c r="H1266">
        <f t="shared" si="133"/>
        <v>2024</v>
      </c>
    </row>
    <row r="1267" spans="1:8" hidden="1" x14ac:dyDescent="0.25">
      <c r="A1267">
        <v>4031019</v>
      </c>
      <c r="B1267" s="25">
        <v>45383</v>
      </c>
      <c r="C1267" t="s">
        <v>226</v>
      </c>
      <c r="D1267" s="6">
        <v>1855</v>
      </c>
      <c r="E1267" s="9">
        <v>1242.8499999999999</v>
      </c>
      <c r="F1267" s="20">
        <f t="shared" si="131"/>
        <v>0.66999999999999993</v>
      </c>
      <c r="G1267" t="str">
        <f t="shared" ref="G1267:G1301" si="134">TEXT(B1267,"mmmm")</f>
        <v>abril</v>
      </c>
      <c r="H1267">
        <f t="shared" ref="H1267:H1301" si="135">YEAR(B1267)</f>
        <v>2024</v>
      </c>
    </row>
    <row r="1268" spans="1:8" hidden="1" x14ac:dyDescent="0.25">
      <c r="A1268">
        <v>4031102</v>
      </c>
      <c r="B1268" s="25">
        <v>45383</v>
      </c>
      <c r="C1268" t="s">
        <v>228</v>
      </c>
      <c r="D1268" s="6">
        <v>10165.419</v>
      </c>
      <c r="E1268" s="9">
        <v>30285.5</v>
      </c>
      <c r="F1268" s="20">
        <f t="shared" si="131"/>
        <v>2.9792672589295139</v>
      </c>
      <c r="G1268" t="str">
        <f t="shared" si="134"/>
        <v>abril</v>
      </c>
      <c r="H1268">
        <f t="shared" si="135"/>
        <v>2024</v>
      </c>
    </row>
    <row r="1269" spans="1:8" hidden="1" x14ac:dyDescent="0.25">
      <c r="A1269">
        <v>4031103</v>
      </c>
      <c r="B1269" s="25">
        <v>45383</v>
      </c>
      <c r="C1269" t="s">
        <v>980</v>
      </c>
      <c r="D1269" s="6">
        <v>434.94</v>
      </c>
      <c r="E1269" s="9">
        <v>1391.81</v>
      </c>
      <c r="F1269" s="20">
        <f t="shared" si="131"/>
        <v>3.2000045983354024</v>
      </c>
      <c r="G1269" t="str">
        <f t="shared" si="134"/>
        <v>abril</v>
      </c>
      <c r="H1269">
        <f t="shared" si="135"/>
        <v>2024</v>
      </c>
    </row>
    <row r="1270" spans="1:8" hidden="1" x14ac:dyDescent="0.25">
      <c r="A1270">
        <v>4031200</v>
      </c>
      <c r="B1270" s="25">
        <v>45383</v>
      </c>
      <c r="C1270" t="s">
        <v>230</v>
      </c>
      <c r="D1270" s="6">
        <v>821.92000000000007</v>
      </c>
      <c r="E1270" s="9">
        <v>2568.56</v>
      </c>
      <c r="F1270" s="20">
        <f t="shared" si="131"/>
        <v>3.1250729998053335</v>
      </c>
      <c r="G1270" t="str">
        <f t="shared" si="134"/>
        <v>abril</v>
      </c>
      <c r="H1270">
        <f t="shared" si="135"/>
        <v>2024</v>
      </c>
    </row>
    <row r="1271" spans="1:8" hidden="1" x14ac:dyDescent="0.25">
      <c r="A1271">
        <v>4031304</v>
      </c>
      <c r="B1271" s="25">
        <v>45383</v>
      </c>
      <c r="C1271" t="s">
        <v>232</v>
      </c>
      <c r="D1271" s="6">
        <v>1404.7950000000001</v>
      </c>
      <c r="E1271" s="9">
        <v>4251.7299999999996</v>
      </c>
      <c r="F1271" s="20">
        <f t="shared" si="131"/>
        <v>3.0265839499713478</v>
      </c>
      <c r="G1271" t="str">
        <f t="shared" si="134"/>
        <v>abril</v>
      </c>
      <c r="H1271">
        <f t="shared" si="135"/>
        <v>2024</v>
      </c>
    </row>
    <row r="1272" spans="1:8" hidden="1" x14ac:dyDescent="0.25">
      <c r="A1272">
        <v>4031411</v>
      </c>
      <c r="B1272" s="25">
        <v>45383</v>
      </c>
      <c r="C1272" t="s">
        <v>234</v>
      </c>
      <c r="D1272" s="6">
        <v>67.554000000000002</v>
      </c>
      <c r="E1272" s="9">
        <v>208.96</v>
      </c>
      <c r="F1272" s="20">
        <f t="shared" si="131"/>
        <v>3.0932291204073779</v>
      </c>
      <c r="G1272" t="str">
        <f t="shared" si="134"/>
        <v>abril</v>
      </c>
      <c r="H1272">
        <f t="shared" si="135"/>
        <v>2024</v>
      </c>
    </row>
    <row r="1273" spans="1:8" hidden="1" x14ac:dyDescent="0.25">
      <c r="A1273">
        <v>4031500</v>
      </c>
      <c r="B1273" s="25">
        <v>45383</v>
      </c>
      <c r="C1273" t="s">
        <v>236</v>
      </c>
      <c r="D1273" s="6">
        <v>5121.41</v>
      </c>
      <c r="E1273" s="9">
        <v>15029.9</v>
      </c>
      <c r="F1273" s="20">
        <f t="shared" ref="F1273:F1301" si="136">E1273/D1273</f>
        <v>2.9347191496091898</v>
      </c>
      <c r="G1273" t="str">
        <f t="shared" si="134"/>
        <v>abril</v>
      </c>
      <c r="H1273">
        <f t="shared" si="135"/>
        <v>2024</v>
      </c>
    </row>
    <row r="1274" spans="1:8" hidden="1" x14ac:dyDescent="0.25">
      <c r="A1274">
        <v>4031604</v>
      </c>
      <c r="B1274" s="25">
        <v>45383</v>
      </c>
      <c r="C1274" t="s">
        <v>238</v>
      </c>
      <c r="D1274" s="6">
        <v>5322.9710000000005</v>
      </c>
      <c r="E1274" s="9">
        <v>14986.04</v>
      </c>
      <c r="F1274" s="20">
        <f t="shared" si="136"/>
        <v>2.8153525540529905</v>
      </c>
      <c r="G1274" t="str">
        <f t="shared" si="134"/>
        <v>abril</v>
      </c>
      <c r="H1274">
        <f t="shared" si="135"/>
        <v>2024</v>
      </c>
    </row>
    <row r="1275" spans="1:8" hidden="1" x14ac:dyDescent="0.25">
      <c r="A1275">
        <v>4031605</v>
      </c>
      <c r="B1275" s="25">
        <v>45383</v>
      </c>
      <c r="C1275" t="s">
        <v>240</v>
      </c>
      <c r="D1275" s="6">
        <v>13.08</v>
      </c>
      <c r="E1275" s="9">
        <v>44.59</v>
      </c>
      <c r="F1275" s="20">
        <f t="shared" si="136"/>
        <v>3.4090214067278288</v>
      </c>
      <c r="G1275" t="str">
        <f t="shared" si="134"/>
        <v>abril</v>
      </c>
      <c r="H1275">
        <f t="shared" si="135"/>
        <v>2024</v>
      </c>
    </row>
    <row r="1276" spans="1:8" hidden="1" x14ac:dyDescent="0.25">
      <c r="A1276">
        <v>4031700</v>
      </c>
      <c r="B1276" s="25">
        <v>45383</v>
      </c>
      <c r="C1276" t="s">
        <v>242</v>
      </c>
      <c r="D1276" s="6">
        <v>564.71</v>
      </c>
      <c r="E1276" s="9">
        <v>1734.75</v>
      </c>
      <c r="F1276" s="20">
        <f t="shared" si="136"/>
        <v>3.0719307255051262</v>
      </c>
      <c r="G1276" t="str">
        <f t="shared" si="134"/>
        <v>abril</v>
      </c>
      <c r="H1276">
        <f t="shared" si="135"/>
        <v>2024</v>
      </c>
    </row>
    <row r="1277" spans="1:8" hidden="1" x14ac:dyDescent="0.25">
      <c r="A1277">
        <v>4031812</v>
      </c>
      <c r="B1277" s="25">
        <v>45383</v>
      </c>
      <c r="C1277" t="s">
        <v>244</v>
      </c>
      <c r="D1277" s="6">
        <v>480.44200000000001</v>
      </c>
      <c r="E1277" s="9">
        <v>1534.33</v>
      </c>
      <c r="F1277" s="20">
        <f t="shared" si="136"/>
        <v>3.1935800783445241</v>
      </c>
      <c r="G1277" t="str">
        <f t="shared" si="134"/>
        <v>abril</v>
      </c>
      <c r="H1277">
        <f t="shared" si="135"/>
        <v>2024</v>
      </c>
    </row>
    <row r="1278" spans="1:8" hidden="1" x14ac:dyDescent="0.25">
      <c r="A1278">
        <v>4031813</v>
      </c>
      <c r="B1278" s="25">
        <v>45383</v>
      </c>
      <c r="C1278" t="s">
        <v>464</v>
      </c>
      <c r="D1278" s="6">
        <v>350</v>
      </c>
      <c r="E1278" s="9">
        <v>245</v>
      </c>
      <c r="F1278" s="20">
        <f t="shared" si="136"/>
        <v>0.7</v>
      </c>
      <c r="G1278" t="str">
        <f t="shared" si="134"/>
        <v>abril</v>
      </c>
      <c r="H1278">
        <f t="shared" si="135"/>
        <v>2024</v>
      </c>
    </row>
    <row r="1279" spans="1:8" hidden="1" x14ac:dyDescent="0.25">
      <c r="A1279">
        <v>4031904</v>
      </c>
      <c r="B1279" s="25">
        <v>45383</v>
      </c>
      <c r="C1279" t="s">
        <v>246</v>
      </c>
      <c r="D1279" s="6">
        <v>1033.7</v>
      </c>
      <c r="E1279" s="9">
        <v>3133.57</v>
      </c>
      <c r="F1279" s="20">
        <f t="shared" si="136"/>
        <v>3.0314114346522203</v>
      </c>
      <c r="G1279" t="str">
        <f t="shared" si="134"/>
        <v>abril</v>
      </c>
      <c r="H1279">
        <f t="shared" si="135"/>
        <v>2024</v>
      </c>
    </row>
    <row r="1280" spans="1:8" hidden="1" x14ac:dyDescent="0.25">
      <c r="A1280">
        <v>4032000</v>
      </c>
      <c r="B1280" s="25">
        <v>45383</v>
      </c>
      <c r="C1280" t="s">
        <v>1014</v>
      </c>
      <c r="D1280" s="6">
        <v>0.2</v>
      </c>
      <c r="E1280" s="9">
        <v>1.1200000000000001</v>
      </c>
      <c r="F1280" s="20">
        <f t="shared" si="136"/>
        <v>5.6000000000000005</v>
      </c>
      <c r="G1280" t="str">
        <f t="shared" si="134"/>
        <v>abril</v>
      </c>
      <c r="H1280">
        <f t="shared" si="135"/>
        <v>2024</v>
      </c>
    </row>
    <row r="1281" spans="1:8" hidden="1" x14ac:dyDescent="0.25">
      <c r="A1281">
        <v>4032205</v>
      </c>
      <c r="B1281" s="25">
        <v>45383</v>
      </c>
      <c r="C1281" t="s">
        <v>553</v>
      </c>
      <c r="D1281" s="6">
        <v>129.52500000000001</v>
      </c>
      <c r="E1281" s="9">
        <v>684.48</v>
      </c>
      <c r="F1281" s="20">
        <f t="shared" si="136"/>
        <v>5.2845396641574984</v>
      </c>
      <c r="G1281" t="str">
        <f t="shared" si="134"/>
        <v>abril</v>
      </c>
      <c r="H1281">
        <f t="shared" si="135"/>
        <v>2024</v>
      </c>
    </row>
    <row r="1282" spans="1:8" hidden="1" x14ac:dyDescent="0.25">
      <c r="A1282">
        <v>4032206</v>
      </c>
      <c r="B1282" s="25">
        <v>45383</v>
      </c>
      <c r="C1282" t="s">
        <v>555</v>
      </c>
      <c r="D1282" s="6">
        <v>10.16</v>
      </c>
      <c r="E1282" s="9">
        <v>54.51</v>
      </c>
      <c r="F1282" s="20">
        <f t="shared" si="136"/>
        <v>5.3651574803149602</v>
      </c>
      <c r="G1282" t="str">
        <f t="shared" si="134"/>
        <v>abril</v>
      </c>
      <c r="H1282">
        <f t="shared" si="135"/>
        <v>2024</v>
      </c>
    </row>
    <row r="1283" spans="1:8" hidden="1" x14ac:dyDescent="0.25">
      <c r="A1283">
        <v>4032312</v>
      </c>
      <c r="B1283" s="25">
        <v>45383</v>
      </c>
      <c r="C1283" t="s">
        <v>252</v>
      </c>
      <c r="D1283" s="6">
        <v>432.32</v>
      </c>
      <c r="E1283" s="9">
        <v>1889.32</v>
      </c>
      <c r="F1283" s="20">
        <f t="shared" si="136"/>
        <v>4.3701887490747593</v>
      </c>
      <c r="G1283" t="str">
        <f t="shared" si="134"/>
        <v>abril</v>
      </c>
      <c r="H1283">
        <f t="shared" si="135"/>
        <v>2024</v>
      </c>
    </row>
    <row r="1284" spans="1:8" hidden="1" x14ac:dyDescent="0.25">
      <c r="A1284">
        <v>4032404</v>
      </c>
      <c r="B1284" s="25">
        <v>45383</v>
      </c>
      <c r="C1284" t="s">
        <v>254</v>
      </c>
      <c r="D1284" s="6">
        <v>209.94</v>
      </c>
      <c r="E1284" s="9">
        <v>944.63</v>
      </c>
      <c r="F1284" s="20">
        <f t="shared" si="136"/>
        <v>4.4995236734305042</v>
      </c>
      <c r="G1284" t="str">
        <f t="shared" si="134"/>
        <v>abril</v>
      </c>
      <c r="H1284">
        <f t="shared" si="135"/>
        <v>2024</v>
      </c>
    </row>
    <row r="1285" spans="1:8" hidden="1" x14ac:dyDescent="0.25">
      <c r="A1285">
        <v>4032500</v>
      </c>
      <c r="B1285" s="25">
        <v>45383</v>
      </c>
      <c r="C1285" t="s">
        <v>256</v>
      </c>
      <c r="D1285" s="6">
        <v>87.51</v>
      </c>
      <c r="E1285" s="9">
        <v>257.87</v>
      </c>
      <c r="F1285" s="20">
        <f t="shared" si="136"/>
        <v>2.9467489429779454</v>
      </c>
      <c r="G1285" t="str">
        <f t="shared" si="134"/>
        <v>abril</v>
      </c>
      <c r="H1285">
        <f t="shared" si="135"/>
        <v>2024</v>
      </c>
    </row>
    <row r="1286" spans="1:8" hidden="1" x14ac:dyDescent="0.25">
      <c r="A1286">
        <v>4032611</v>
      </c>
      <c r="B1286" s="25">
        <v>45383</v>
      </c>
      <c r="C1286" t="s">
        <v>258</v>
      </c>
      <c r="D1286" s="6">
        <v>75.67</v>
      </c>
      <c r="E1286" s="9">
        <v>228.72</v>
      </c>
      <c r="F1286" s="20">
        <f t="shared" si="136"/>
        <v>3.0225981234306856</v>
      </c>
      <c r="G1286" t="str">
        <f t="shared" si="134"/>
        <v>abril</v>
      </c>
      <c r="H1286">
        <f t="shared" si="135"/>
        <v>2024</v>
      </c>
    </row>
    <row r="1287" spans="1:8" hidden="1" x14ac:dyDescent="0.25">
      <c r="A1287">
        <v>4032704</v>
      </c>
      <c r="B1287" s="25">
        <v>45383</v>
      </c>
      <c r="C1287" t="s">
        <v>260</v>
      </c>
      <c r="D1287" s="6">
        <v>214.85</v>
      </c>
      <c r="E1287" s="9">
        <v>675.3</v>
      </c>
      <c r="F1287" s="20">
        <f t="shared" si="136"/>
        <v>3.1431231091459155</v>
      </c>
      <c r="G1287" t="str">
        <f t="shared" si="134"/>
        <v>abril</v>
      </c>
      <c r="H1287">
        <f t="shared" si="135"/>
        <v>2024</v>
      </c>
    </row>
    <row r="1288" spans="1:8" hidden="1" x14ac:dyDescent="0.25">
      <c r="A1288">
        <v>4032800</v>
      </c>
      <c r="B1288" s="25">
        <v>45383</v>
      </c>
      <c r="C1288" t="s">
        <v>262</v>
      </c>
      <c r="D1288" s="6">
        <v>134.12</v>
      </c>
      <c r="E1288" s="9">
        <v>703.79</v>
      </c>
      <c r="F1288" s="20">
        <f t="shared" si="136"/>
        <v>5.2474649567551443</v>
      </c>
      <c r="G1288" t="str">
        <f t="shared" si="134"/>
        <v>abril</v>
      </c>
      <c r="H1288">
        <f t="shared" si="135"/>
        <v>2024</v>
      </c>
    </row>
    <row r="1289" spans="1:8" hidden="1" x14ac:dyDescent="0.25">
      <c r="A1289">
        <v>4032902</v>
      </c>
      <c r="B1289" s="25">
        <v>45383</v>
      </c>
      <c r="C1289" t="s">
        <v>264</v>
      </c>
      <c r="D1289" s="6">
        <v>150.41400000000002</v>
      </c>
      <c r="E1289" s="9">
        <v>781.74</v>
      </c>
      <c r="F1289" s="20">
        <f t="shared" si="136"/>
        <v>5.197255574614065</v>
      </c>
      <c r="G1289" t="str">
        <f t="shared" si="134"/>
        <v>abril</v>
      </c>
      <c r="H1289">
        <f t="shared" si="135"/>
        <v>2024</v>
      </c>
    </row>
    <row r="1290" spans="1:8" hidden="1" x14ac:dyDescent="0.25">
      <c r="A1290">
        <v>4033011</v>
      </c>
      <c r="B1290" s="25">
        <v>45383</v>
      </c>
      <c r="C1290" t="s">
        <v>266</v>
      </c>
      <c r="D1290" s="6">
        <v>-52.061</v>
      </c>
      <c r="E1290" s="9">
        <v>-306.55</v>
      </c>
      <c r="F1290" s="20">
        <f t="shared" si="136"/>
        <v>5.888284896563647</v>
      </c>
      <c r="G1290" t="str">
        <f t="shared" si="134"/>
        <v>abril</v>
      </c>
      <c r="H1290">
        <f t="shared" si="135"/>
        <v>2024</v>
      </c>
    </row>
    <row r="1291" spans="1:8" hidden="1" x14ac:dyDescent="0.25">
      <c r="A1291">
        <v>4033111</v>
      </c>
      <c r="B1291" s="25">
        <v>45383</v>
      </c>
      <c r="C1291" t="s">
        <v>268</v>
      </c>
      <c r="D1291" s="6">
        <v>137.80000000000001</v>
      </c>
      <c r="E1291" s="9">
        <v>611.04</v>
      </c>
      <c r="F1291" s="20">
        <f t="shared" si="136"/>
        <v>4.4342525399129169</v>
      </c>
      <c r="G1291" t="str">
        <f t="shared" si="134"/>
        <v>abril</v>
      </c>
      <c r="H1291">
        <f t="shared" si="135"/>
        <v>2024</v>
      </c>
    </row>
    <row r="1292" spans="1:8" hidden="1" x14ac:dyDescent="0.25">
      <c r="A1292">
        <v>4033211</v>
      </c>
      <c r="B1292" s="25">
        <v>45383</v>
      </c>
      <c r="C1292" t="s">
        <v>270</v>
      </c>
      <c r="D1292" s="6">
        <v>69.89</v>
      </c>
      <c r="E1292" s="9">
        <v>298.67</v>
      </c>
      <c r="F1292" s="20">
        <f t="shared" si="136"/>
        <v>4.2734296752038921</v>
      </c>
      <c r="G1292" t="str">
        <f t="shared" si="134"/>
        <v>abril</v>
      </c>
      <c r="H1292">
        <f t="shared" si="135"/>
        <v>2024</v>
      </c>
    </row>
    <row r="1293" spans="1:8" hidden="1" x14ac:dyDescent="0.25">
      <c r="A1293">
        <v>4033311</v>
      </c>
      <c r="B1293" s="25">
        <v>45383</v>
      </c>
      <c r="C1293" t="s">
        <v>272</v>
      </c>
      <c r="D1293" s="6">
        <v>11.23</v>
      </c>
      <c r="E1293" s="9">
        <v>70.099999999999994</v>
      </c>
      <c r="F1293" s="20">
        <f t="shared" si="136"/>
        <v>6.2422083704363303</v>
      </c>
      <c r="G1293" t="str">
        <f t="shared" si="134"/>
        <v>abril</v>
      </c>
      <c r="H1293">
        <f t="shared" si="135"/>
        <v>2024</v>
      </c>
    </row>
    <row r="1294" spans="1:8" hidden="1" x14ac:dyDescent="0.25">
      <c r="A1294">
        <v>4033400</v>
      </c>
      <c r="B1294" s="25">
        <v>45383</v>
      </c>
      <c r="C1294" t="s">
        <v>274</v>
      </c>
      <c r="D1294" s="6">
        <v>539.06000000000006</v>
      </c>
      <c r="E1294" s="9">
        <v>1621.43</v>
      </c>
      <c r="F1294" s="20">
        <f t="shared" si="136"/>
        <v>3.0078840945349308</v>
      </c>
      <c r="G1294" t="str">
        <f t="shared" si="134"/>
        <v>abril</v>
      </c>
      <c r="H1294">
        <f t="shared" si="135"/>
        <v>2024</v>
      </c>
    </row>
    <row r="1295" spans="1:8" hidden="1" x14ac:dyDescent="0.25">
      <c r="A1295">
        <v>4033511</v>
      </c>
      <c r="B1295" s="25">
        <v>45383</v>
      </c>
      <c r="C1295" t="s">
        <v>276</v>
      </c>
      <c r="D1295" s="6">
        <v>1161.32</v>
      </c>
      <c r="E1295" s="9">
        <v>3743.03</v>
      </c>
      <c r="F1295" s="20">
        <f t="shared" si="136"/>
        <v>3.2230823545620506</v>
      </c>
      <c r="G1295" t="str">
        <f t="shared" si="134"/>
        <v>abril</v>
      </c>
      <c r="H1295">
        <f t="shared" si="135"/>
        <v>2024</v>
      </c>
    </row>
    <row r="1296" spans="1:8" hidden="1" x14ac:dyDescent="0.25">
      <c r="A1296">
        <v>4033900</v>
      </c>
      <c r="B1296" s="25">
        <v>45383</v>
      </c>
      <c r="C1296" t="s">
        <v>278</v>
      </c>
      <c r="D1296" s="6">
        <v>31.060000000000002</v>
      </c>
      <c r="E1296" s="9">
        <v>156.44</v>
      </c>
      <c r="F1296" s="20">
        <f t="shared" si="136"/>
        <v>5.0367031551835151</v>
      </c>
      <c r="G1296" t="str">
        <f t="shared" si="134"/>
        <v>abril</v>
      </c>
      <c r="H1296">
        <f t="shared" si="135"/>
        <v>2024</v>
      </c>
    </row>
    <row r="1297" spans="1:8" hidden="1" x14ac:dyDescent="0.25">
      <c r="A1297">
        <v>4034011</v>
      </c>
      <c r="B1297" s="25">
        <v>45383</v>
      </c>
      <c r="C1297" t="s">
        <v>280</v>
      </c>
      <c r="D1297" s="6">
        <v>454.65800000000002</v>
      </c>
      <c r="E1297" s="9">
        <v>2433.09</v>
      </c>
      <c r="F1297" s="20">
        <f t="shared" si="136"/>
        <v>5.3514729752913182</v>
      </c>
      <c r="G1297" t="str">
        <f t="shared" si="134"/>
        <v>abril</v>
      </c>
      <c r="H1297">
        <f t="shared" si="135"/>
        <v>2024</v>
      </c>
    </row>
    <row r="1298" spans="1:8" hidden="1" x14ac:dyDescent="0.25">
      <c r="A1298">
        <v>4034012</v>
      </c>
      <c r="B1298" s="25">
        <v>45383</v>
      </c>
      <c r="C1298" t="s">
        <v>863</v>
      </c>
      <c r="D1298" s="6">
        <v>1064.5</v>
      </c>
      <c r="E1298" s="9">
        <v>1379.66</v>
      </c>
      <c r="F1298" s="20">
        <f t="shared" si="136"/>
        <v>1.296063879755754</v>
      </c>
      <c r="G1298" t="str">
        <f t="shared" si="134"/>
        <v>abril</v>
      </c>
      <c r="H1298">
        <f t="shared" si="135"/>
        <v>2024</v>
      </c>
    </row>
    <row r="1299" spans="1:8" hidden="1" x14ac:dyDescent="0.25">
      <c r="A1299">
        <v>4034211</v>
      </c>
      <c r="B1299" s="25">
        <v>45383</v>
      </c>
      <c r="C1299" t="s">
        <v>282</v>
      </c>
      <c r="D1299" s="6">
        <v>132.1</v>
      </c>
      <c r="E1299" s="9">
        <v>573.12</v>
      </c>
      <c r="F1299" s="20">
        <f t="shared" si="136"/>
        <v>4.3385314155942467</v>
      </c>
      <c r="G1299" t="str">
        <f t="shared" si="134"/>
        <v>abril</v>
      </c>
      <c r="H1299">
        <f t="shared" si="135"/>
        <v>2024</v>
      </c>
    </row>
    <row r="1300" spans="1:8" hidden="1" x14ac:dyDescent="0.25">
      <c r="A1300">
        <v>4034400</v>
      </c>
      <c r="B1300" s="25">
        <v>45383</v>
      </c>
      <c r="C1300" t="s">
        <v>284</v>
      </c>
      <c r="D1300" s="6">
        <v>154.31</v>
      </c>
      <c r="E1300" s="9">
        <v>405.35</v>
      </c>
      <c r="F1300" s="20">
        <f t="shared" si="136"/>
        <v>2.626855032078284</v>
      </c>
      <c r="G1300" t="str">
        <f t="shared" si="134"/>
        <v>abril</v>
      </c>
      <c r="H1300">
        <f t="shared" si="135"/>
        <v>2024</v>
      </c>
    </row>
    <row r="1301" spans="1:8" hidden="1" x14ac:dyDescent="0.25">
      <c r="A1301">
        <v>4034502</v>
      </c>
      <c r="B1301" s="25">
        <v>45383</v>
      </c>
      <c r="C1301" t="s">
        <v>286</v>
      </c>
      <c r="D1301" s="6">
        <v>134.22800000000001</v>
      </c>
      <c r="E1301" s="9">
        <v>371.46</v>
      </c>
      <c r="F1301" s="20">
        <f t="shared" si="136"/>
        <v>2.7673808743332238</v>
      </c>
      <c r="G1301" t="str">
        <f t="shared" si="134"/>
        <v>abril</v>
      </c>
      <c r="H1301">
        <f t="shared" si="135"/>
        <v>2024</v>
      </c>
    </row>
    <row r="1302" spans="1:8" hidden="1" x14ac:dyDescent="0.25">
      <c r="A1302" s="88">
        <v>4030600</v>
      </c>
      <c r="B1302" s="235">
        <v>45078</v>
      </c>
      <c r="C1302" s="88" t="s">
        <v>212</v>
      </c>
      <c r="D1302" s="90">
        <v>577.6</v>
      </c>
      <c r="E1302" s="91">
        <v>1824.42</v>
      </c>
      <c r="F1302" s="92">
        <v>3.1586218836565099</v>
      </c>
      <c r="G1302" s="88" t="str">
        <f>TEXT(B1302,"mmmm")</f>
        <v>junho</v>
      </c>
      <c r="H1302" s="88">
        <f>YEAR(B1302)</f>
        <v>2023</v>
      </c>
    </row>
    <row r="1303" spans="1:8" hidden="1" x14ac:dyDescent="0.25">
      <c r="A1303" s="88">
        <v>4030711</v>
      </c>
      <c r="B1303" s="235">
        <v>45078</v>
      </c>
      <c r="C1303" s="88" t="s">
        <v>214</v>
      </c>
      <c r="D1303" s="90">
        <v>946.65</v>
      </c>
      <c r="E1303" s="91">
        <v>3160.75</v>
      </c>
      <c r="F1303" s="92">
        <v>3.3388792056198175</v>
      </c>
      <c r="G1303" s="88" t="str">
        <f>TEXT(B1303,"mmmm")</f>
        <v>junho</v>
      </c>
      <c r="H1303" s="88">
        <f>YEAR(B1303)</f>
        <v>2023</v>
      </c>
    </row>
    <row r="1304" spans="1:8" hidden="1" x14ac:dyDescent="0.25">
      <c r="A1304" s="128">
        <v>4030532</v>
      </c>
      <c r="B1304" s="225">
        <v>45078</v>
      </c>
      <c r="C1304" s="128" t="s">
        <v>210</v>
      </c>
      <c r="D1304" s="226">
        <v>1.91</v>
      </c>
      <c r="E1304" s="227">
        <v>10.41</v>
      </c>
      <c r="F1304" s="133">
        <v>5.4502617801047126</v>
      </c>
      <c r="G1304" s="128" t="str">
        <f t="shared" ref="G1304:G1328" si="137">TEXT(B1304,"mmmm")</f>
        <v>junho</v>
      </c>
      <c r="H1304" s="128">
        <f t="shared" ref="H1304:H1328" si="138">YEAR(B1304)</f>
        <v>2023</v>
      </c>
    </row>
    <row r="1305" spans="1:8" hidden="1" x14ac:dyDescent="0.25">
      <c r="A1305" s="128">
        <v>4030211</v>
      </c>
      <c r="B1305" s="225">
        <v>45078</v>
      </c>
      <c r="C1305" s="128" t="s">
        <v>202</v>
      </c>
      <c r="D1305" s="226">
        <v>299.24</v>
      </c>
      <c r="E1305" s="227">
        <v>1870.97</v>
      </c>
      <c r="F1305" s="133">
        <v>6.2524060954417857</v>
      </c>
      <c r="G1305" s="128" t="str">
        <f t="shared" si="137"/>
        <v>junho</v>
      </c>
      <c r="H1305" s="128">
        <f t="shared" si="138"/>
        <v>2023</v>
      </c>
    </row>
    <row r="1306" spans="1:8" hidden="1" x14ac:dyDescent="0.25">
      <c r="A1306" s="128">
        <v>4030511</v>
      </c>
      <c r="B1306" s="225">
        <v>45078</v>
      </c>
      <c r="C1306" s="128" t="s">
        <v>208</v>
      </c>
      <c r="D1306" s="226">
        <v>11.2</v>
      </c>
      <c r="E1306" s="227">
        <v>68.88</v>
      </c>
      <c r="F1306" s="133">
        <v>6.15</v>
      </c>
      <c r="G1306" s="128" t="str">
        <f t="shared" si="137"/>
        <v>junho</v>
      </c>
      <c r="H1306" s="128">
        <f t="shared" si="138"/>
        <v>2023</v>
      </c>
    </row>
    <row r="1307" spans="1:8" hidden="1" x14ac:dyDescent="0.25">
      <c r="A1307" s="128">
        <v>4030311</v>
      </c>
      <c r="B1307" s="225">
        <v>45078</v>
      </c>
      <c r="C1307" s="128" t="s">
        <v>311</v>
      </c>
      <c r="D1307" s="226">
        <v>286.92</v>
      </c>
      <c r="E1307" s="227">
        <v>1932.79</v>
      </c>
      <c r="F1307" s="133">
        <v>6.7363376550954968</v>
      </c>
      <c r="G1307" s="128" t="str">
        <f t="shared" si="137"/>
        <v>junho</v>
      </c>
      <c r="H1307" s="128">
        <f t="shared" si="138"/>
        <v>2023</v>
      </c>
    </row>
    <row r="1308" spans="1:8" hidden="1" x14ac:dyDescent="0.25">
      <c r="A1308" s="128">
        <v>4030401</v>
      </c>
      <c r="B1308" s="225">
        <v>45078</v>
      </c>
      <c r="C1308" s="128" t="s">
        <v>461</v>
      </c>
      <c r="D1308" s="226">
        <v>383.83</v>
      </c>
      <c r="E1308" s="227">
        <v>1962.19</v>
      </c>
      <c r="F1308" s="133">
        <v>5.1121329755360447</v>
      </c>
      <c r="G1308" s="128" t="str">
        <f t="shared" si="137"/>
        <v>junho</v>
      </c>
      <c r="H1308" s="128">
        <f t="shared" si="138"/>
        <v>2023</v>
      </c>
    </row>
    <row r="1309" spans="1:8" hidden="1" x14ac:dyDescent="0.25">
      <c r="A1309" s="128">
        <v>4030100</v>
      </c>
      <c r="B1309" s="225">
        <v>45078</v>
      </c>
      <c r="C1309" s="128" t="s">
        <v>200</v>
      </c>
      <c r="D1309" s="226">
        <v>399.81</v>
      </c>
      <c r="E1309" s="227">
        <v>2444.1</v>
      </c>
      <c r="F1309" s="133">
        <v>6.1131537480303137</v>
      </c>
      <c r="G1309" s="128" t="str">
        <f t="shared" si="137"/>
        <v>junho</v>
      </c>
      <c r="H1309" s="128">
        <f t="shared" si="138"/>
        <v>2023</v>
      </c>
    </row>
    <row r="1310" spans="1:8" hidden="1" x14ac:dyDescent="0.25">
      <c r="A1310" s="42">
        <v>3022703</v>
      </c>
      <c r="B1310" s="228">
        <v>45078</v>
      </c>
      <c r="C1310" s="42" t="s">
        <v>309</v>
      </c>
      <c r="D1310" s="44">
        <v>625</v>
      </c>
      <c r="E1310" s="45">
        <v>1712.25</v>
      </c>
      <c r="F1310" s="46">
        <v>2.7395999999999998</v>
      </c>
      <c r="G1310" s="42" t="str">
        <f t="shared" si="137"/>
        <v>junho</v>
      </c>
      <c r="H1310" s="42">
        <f t="shared" si="138"/>
        <v>2023</v>
      </c>
    </row>
    <row r="1311" spans="1:8" hidden="1" x14ac:dyDescent="0.25">
      <c r="A1311" s="42">
        <v>3022906</v>
      </c>
      <c r="B1311" s="228">
        <v>45078</v>
      </c>
      <c r="C1311" s="42" t="s">
        <v>188</v>
      </c>
      <c r="D1311" s="44">
        <v>4640</v>
      </c>
      <c r="E1311" s="45">
        <v>9532.94</v>
      </c>
      <c r="F1311" s="46">
        <v>2.0545129310344827</v>
      </c>
      <c r="G1311" s="42" t="str">
        <f t="shared" si="137"/>
        <v>junho</v>
      </c>
      <c r="H1311" s="42">
        <f t="shared" si="138"/>
        <v>2023</v>
      </c>
    </row>
    <row r="1312" spans="1:8" hidden="1" x14ac:dyDescent="0.25">
      <c r="A1312" s="42">
        <v>3023007</v>
      </c>
      <c r="B1312" s="228">
        <v>45078</v>
      </c>
      <c r="C1312" s="42" t="s">
        <v>190</v>
      </c>
      <c r="D1312" s="44">
        <v>820</v>
      </c>
      <c r="E1312" s="45">
        <v>1645</v>
      </c>
      <c r="F1312" s="46">
        <v>2.0060975609756095</v>
      </c>
      <c r="G1312" s="42" t="str">
        <f t="shared" si="137"/>
        <v>junho</v>
      </c>
      <c r="H1312" s="42">
        <f t="shared" si="138"/>
        <v>2023</v>
      </c>
    </row>
    <row r="1313" spans="1:12" hidden="1" x14ac:dyDescent="0.25">
      <c r="A1313" s="42">
        <v>3022601</v>
      </c>
      <c r="B1313" s="228">
        <v>45078</v>
      </c>
      <c r="C1313" s="42" t="s">
        <v>182</v>
      </c>
      <c r="D1313" s="44">
        <v>235.5</v>
      </c>
      <c r="E1313" s="45">
        <v>973.17</v>
      </c>
      <c r="F1313" s="46">
        <v>4.1323566878980893</v>
      </c>
      <c r="G1313" s="42" t="str">
        <f t="shared" si="137"/>
        <v>junho</v>
      </c>
      <c r="H1313" s="42">
        <f t="shared" si="138"/>
        <v>2023</v>
      </c>
    </row>
    <row r="1314" spans="1:12" hidden="1" x14ac:dyDescent="0.25">
      <c r="A1314" s="42">
        <v>3022805</v>
      </c>
      <c r="B1314" s="228">
        <v>45078</v>
      </c>
      <c r="C1314" s="42" t="s">
        <v>186</v>
      </c>
      <c r="D1314" s="44">
        <v>2175</v>
      </c>
      <c r="E1314" s="45">
        <v>4543.8999999999996</v>
      </c>
      <c r="F1314" s="46">
        <v>2.0891494252873564</v>
      </c>
      <c r="G1314" s="42" t="str">
        <f t="shared" si="137"/>
        <v>junho</v>
      </c>
      <c r="H1314" s="42">
        <f t="shared" si="138"/>
        <v>2023</v>
      </c>
    </row>
    <row r="1315" spans="1:12" hidden="1" x14ac:dyDescent="0.25">
      <c r="A1315" s="230">
        <v>4030811</v>
      </c>
      <c r="B1315" s="231">
        <v>45078</v>
      </c>
      <c r="C1315" s="230" t="s">
        <v>216</v>
      </c>
      <c r="D1315" s="232">
        <v>1580.87</v>
      </c>
      <c r="E1315" s="233">
        <v>4983.18</v>
      </c>
      <c r="F1315" s="234">
        <v>3.152175700721755</v>
      </c>
      <c r="G1315" s="230" t="str">
        <f t="shared" si="137"/>
        <v>junho</v>
      </c>
      <c r="H1315" s="230">
        <f t="shared" si="138"/>
        <v>2023</v>
      </c>
    </row>
    <row r="1316" spans="1:12" hidden="1" x14ac:dyDescent="0.25">
      <c r="A1316" s="230">
        <v>4030910</v>
      </c>
      <c r="B1316" s="231">
        <v>45078</v>
      </c>
      <c r="C1316" s="230" t="s">
        <v>222</v>
      </c>
      <c r="D1316" s="232">
        <v>78.739999999999995</v>
      </c>
      <c r="E1316" s="233">
        <v>254.91</v>
      </c>
      <c r="F1316" s="234">
        <v>3.2373634747269495</v>
      </c>
      <c r="G1316" s="230" t="str">
        <f t="shared" si="137"/>
        <v>junho</v>
      </c>
      <c r="H1316" s="230">
        <f t="shared" si="138"/>
        <v>2023</v>
      </c>
    </row>
    <row r="1317" spans="1:12" hidden="1" x14ac:dyDescent="0.25">
      <c r="A1317" s="230">
        <v>4030813</v>
      </c>
      <c r="B1317" s="231">
        <v>45078</v>
      </c>
      <c r="C1317" s="230" t="s">
        <v>218</v>
      </c>
      <c r="D1317" s="232">
        <v>2126.9899999999998</v>
      </c>
      <c r="E1317" s="233">
        <v>6362.91</v>
      </c>
      <c r="F1317" s="234">
        <v>2.9915091279225576</v>
      </c>
      <c r="G1317" s="230" t="str">
        <f t="shared" si="137"/>
        <v>junho</v>
      </c>
      <c r="H1317" s="230">
        <f t="shared" si="138"/>
        <v>2023</v>
      </c>
    </row>
    <row r="1318" spans="1:12" hidden="1" x14ac:dyDescent="0.25">
      <c r="A1318" s="78">
        <v>4031017</v>
      </c>
      <c r="B1318" s="236">
        <v>45078</v>
      </c>
      <c r="C1318" s="78" t="s">
        <v>226</v>
      </c>
      <c r="D1318" s="80">
        <v>206.6</v>
      </c>
      <c r="E1318" s="81">
        <v>678.28</v>
      </c>
      <c r="F1318" s="82">
        <v>3.28</v>
      </c>
      <c r="G1318" s="78" t="str">
        <f t="shared" si="137"/>
        <v>junho</v>
      </c>
      <c r="H1318" s="78">
        <f t="shared" si="138"/>
        <v>2023</v>
      </c>
      <c r="L1318" s="229"/>
    </row>
    <row r="1319" spans="1:12" hidden="1" x14ac:dyDescent="0.25">
      <c r="A1319" s="78">
        <v>4030900</v>
      </c>
      <c r="B1319" s="236">
        <v>45078</v>
      </c>
      <c r="C1319" s="78" t="s">
        <v>220</v>
      </c>
      <c r="D1319" s="80">
        <v>5952.58</v>
      </c>
      <c r="E1319" s="81">
        <v>17967.18</v>
      </c>
      <c r="F1319" s="82">
        <v>3.0183853051953942</v>
      </c>
      <c r="G1319" s="78" t="str">
        <f t="shared" si="137"/>
        <v>junho</v>
      </c>
      <c r="H1319" s="78">
        <f t="shared" si="138"/>
        <v>2023</v>
      </c>
    </row>
    <row r="1320" spans="1:12" hidden="1" x14ac:dyDescent="0.25">
      <c r="A1320" s="78">
        <v>4031012</v>
      </c>
      <c r="B1320" s="236">
        <v>45078</v>
      </c>
      <c r="C1320" s="78" t="s">
        <v>224</v>
      </c>
      <c r="D1320" s="80">
        <v>1285.8800000000001</v>
      </c>
      <c r="E1320" s="81">
        <v>3979.06</v>
      </c>
      <c r="F1320" s="82">
        <v>3.0944256073661616</v>
      </c>
      <c r="G1320" s="78" t="str">
        <f t="shared" si="137"/>
        <v>junho</v>
      </c>
      <c r="H1320" s="78">
        <f t="shared" si="138"/>
        <v>2023</v>
      </c>
    </row>
    <row r="1321" spans="1:12" hidden="1" x14ac:dyDescent="0.25">
      <c r="A1321" s="78">
        <v>4031102</v>
      </c>
      <c r="B1321" s="236">
        <v>45078</v>
      </c>
      <c r="C1321" s="78" t="s">
        <v>228</v>
      </c>
      <c r="D1321" s="80">
        <v>9241.69</v>
      </c>
      <c r="E1321" s="81">
        <v>26790.71</v>
      </c>
      <c r="F1321" s="82">
        <v>2.8988972796101145</v>
      </c>
      <c r="G1321" s="78" t="str">
        <f t="shared" si="137"/>
        <v>junho</v>
      </c>
      <c r="H1321" s="78">
        <f t="shared" si="138"/>
        <v>2023</v>
      </c>
    </row>
    <row r="1322" spans="1:12" hidden="1" x14ac:dyDescent="0.25">
      <c r="A1322" s="42">
        <v>3020103</v>
      </c>
      <c r="B1322" s="228">
        <v>45078</v>
      </c>
      <c r="C1322" s="42" t="s">
        <v>131</v>
      </c>
      <c r="D1322" s="44">
        <v>8281.69</v>
      </c>
      <c r="E1322" s="45">
        <v>27021.040000000001</v>
      </c>
      <c r="F1322" s="46">
        <v>3.2627446813391954</v>
      </c>
      <c r="G1322" s="42" t="str">
        <f t="shared" si="137"/>
        <v>junho</v>
      </c>
      <c r="H1322" s="42">
        <f t="shared" si="138"/>
        <v>2023</v>
      </c>
    </row>
    <row r="1323" spans="1:12" hidden="1" x14ac:dyDescent="0.25">
      <c r="A1323" s="42">
        <v>3020315</v>
      </c>
      <c r="B1323" s="228">
        <v>45078</v>
      </c>
      <c r="C1323" s="42" t="s">
        <v>137</v>
      </c>
      <c r="D1323" s="44">
        <v>4114.6099999999997</v>
      </c>
      <c r="E1323" s="45">
        <v>14985.47</v>
      </c>
      <c r="F1323" s="46">
        <v>3.6420146745378057</v>
      </c>
      <c r="G1323" s="42" t="str">
        <f t="shared" si="137"/>
        <v>junho</v>
      </c>
      <c r="H1323" s="42">
        <f t="shared" si="138"/>
        <v>2023</v>
      </c>
    </row>
    <row r="1324" spans="1:12" hidden="1" x14ac:dyDescent="0.25">
      <c r="A1324" s="42">
        <v>3020402</v>
      </c>
      <c r="B1324" s="228">
        <v>45078</v>
      </c>
      <c r="C1324" s="42" t="s">
        <v>141</v>
      </c>
      <c r="D1324" s="44">
        <v>2167.62</v>
      </c>
      <c r="E1324" s="45">
        <v>7682.54</v>
      </c>
      <c r="F1324" s="46">
        <v>3.5442282318856626</v>
      </c>
      <c r="G1324" s="42" t="str">
        <f t="shared" si="137"/>
        <v>junho</v>
      </c>
      <c r="H1324" s="42">
        <f t="shared" si="138"/>
        <v>2023</v>
      </c>
    </row>
    <row r="1325" spans="1:12" hidden="1" x14ac:dyDescent="0.25">
      <c r="A1325" s="42">
        <v>3020504</v>
      </c>
      <c r="B1325" s="228">
        <v>45078</v>
      </c>
      <c r="C1325" s="42" t="s">
        <v>143</v>
      </c>
      <c r="D1325" s="44">
        <v>564.16</v>
      </c>
      <c r="E1325" s="45">
        <v>2135.06</v>
      </c>
      <c r="F1325" s="46">
        <v>3.7844937606352809</v>
      </c>
      <c r="G1325" s="42" t="str">
        <f t="shared" si="137"/>
        <v>junho</v>
      </c>
      <c r="H1325" s="42">
        <f t="shared" si="138"/>
        <v>2023</v>
      </c>
    </row>
    <row r="1326" spans="1:12" hidden="1" x14ac:dyDescent="0.25">
      <c r="A1326" s="42">
        <v>3020316</v>
      </c>
      <c r="B1326" s="228">
        <v>45078</v>
      </c>
      <c r="C1326" s="42" t="s">
        <v>139</v>
      </c>
      <c r="D1326" s="44">
        <v>95.96</v>
      </c>
      <c r="E1326" s="45">
        <v>305.16000000000003</v>
      </c>
      <c r="F1326" s="46">
        <v>3.1800750312630268</v>
      </c>
      <c r="G1326" s="42" t="str">
        <f t="shared" si="137"/>
        <v>junho</v>
      </c>
      <c r="H1326" s="42">
        <f t="shared" si="138"/>
        <v>2023</v>
      </c>
    </row>
    <row r="1327" spans="1:12" hidden="1" x14ac:dyDescent="0.25">
      <c r="A1327" s="42">
        <v>3020212</v>
      </c>
      <c r="B1327" s="228">
        <v>45078</v>
      </c>
      <c r="C1327" s="42" t="s">
        <v>133</v>
      </c>
      <c r="D1327" s="44">
        <v>2647.84</v>
      </c>
      <c r="E1327" s="45">
        <v>9866.57</v>
      </c>
      <c r="F1327" s="46">
        <v>3.7262712248474226</v>
      </c>
      <c r="G1327" s="42" t="str">
        <f t="shared" si="137"/>
        <v>junho</v>
      </c>
      <c r="H1327" s="42">
        <f t="shared" si="138"/>
        <v>2023</v>
      </c>
    </row>
    <row r="1328" spans="1:12" hidden="1" x14ac:dyDescent="0.25">
      <c r="A1328" s="42">
        <v>3020214</v>
      </c>
      <c r="B1328" s="228">
        <v>45078</v>
      </c>
      <c r="C1328" s="42" t="s">
        <v>634</v>
      </c>
      <c r="D1328" s="44">
        <v>1328.66</v>
      </c>
      <c r="E1328" s="45">
        <v>4743.53</v>
      </c>
      <c r="F1328" s="46">
        <v>3.5701609140035822</v>
      </c>
      <c r="G1328" s="42" t="str">
        <f t="shared" si="137"/>
        <v>junho</v>
      </c>
      <c r="H1328" s="42">
        <f t="shared" si="138"/>
        <v>2023</v>
      </c>
    </row>
    <row r="1329" spans="1:8" hidden="1" x14ac:dyDescent="0.25">
      <c r="A1329" s="48">
        <v>4032205</v>
      </c>
      <c r="B1329" s="237">
        <v>45078</v>
      </c>
      <c r="C1329" s="48" t="s">
        <v>553</v>
      </c>
      <c r="D1329" s="50">
        <v>79.400000000000006</v>
      </c>
      <c r="E1329" s="51">
        <v>403.02</v>
      </c>
      <c r="F1329" s="52">
        <v>5.0758186397984879</v>
      </c>
      <c r="G1329" s="48" t="str">
        <f t="shared" ref="G1329:G1361" si="139">TEXT(B1329,"mmmm")</f>
        <v>junho</v>
      </c>
      <c r="H1329" s="48">
        <f t="shared" ref="H1329:H1361" si="140">YEAR(B1329)</f>
        <v>2023</v>
      </c>
    </row>
    <row r="1330" spans="1:8" hidden="1" x14ac:dyDescent="0.25">
      <c r="A1330" s="48">
        <v>4032206</v>
      </c>
      <c r="B1330" s="237">
        <v>45078</v>
      </c>
      <c r="C1330" s="48" t="s">
        <v>637</v>
      </c>
      <c r="D1330" s="50">
        <v>36.93</v>
      </c>
      <c r="E1330" s="51">
        <v>188.95</v>
      </c>
      <c r="F1330" s="52">
        <v>5.1164365014893036</v>
      </c>
      <c r="G1330" s="48" t="str">
        <f t="shared" si="139"/>
        <v>junho</v>
      </c>
      <c r="H1330" s="48">
        <f t="shared" si="140"/>
        <v>2023</v>
      </c>
    </row>
    <row r="1331" spans="1:8" hidden="1" x14ac:dyDescent="0.25">
      <c r="A1331" s="48">
        <v>4032204</v>
      </c>
      <c r="B1331" s="237">
        <v>45078</v>
      </c>
      <c r="C1331" s="48" t="s">
        <v>315</v>
      </c>
      <c r="D1331" s="50">
        <v>88.43</v>
      </c>
      <c r="E1331" s="51">
        <v>450.5</v>
      </c>
      <c r="F1331" s="52">
        <v>5.0944249689019561</v>
      </c>
      <c r="G1331" s="48" t="str">
        <f t="shared" si="139"/>
        <v>junho</v>
      </c>
      <c r="H1331" s="48">
        <f t="shared" si="140"/>
        <v>2023</v>
      </c>
    </row>
    <row r="1332" spans="1:8" hidden="1" x14ac:dyDescent="0.25">
      <c r="A1332" s="48">
        <v>4032111</v>
      </c>
      <c r="B1332" s="237">
        <v>45078</v>
      </c>
      <c r="C1332" s="48" t="s">
        <v>314</v>
      </c>
      <c r="D1332" s="50">
        <v>17.79</v>
      </c>
      <c r="E1332" s="51">
        <v>92.43</v>
      </c>
      <c r="F1332" s="52">
        <v>5.1956155143338965</v>
      </c>
      <c r="G1332" s="48" t="str">
        <f t="shared" si="139"/>
        <v>junho</v>
      </c>
      <c r="H1332" s="48">
        <f t="shared" si="140"/>
        <v>2023</v>
      </c>
    </row>
    <row r="1333" spans="1:8" hidden="1" x14ac:dyDescent="0.25">
      <c r="A1333" s="128">
        <v>4031813</v>
      </c>
      <c r="B1333" s="225">
        <v>45078</v>
      </c>
      <c r="C1333" s="128" t="s">
        <v>636</v>
      </c>
      <c r="D1333" s="226">
        <v>14</v>
      </c>
      <c r="E1333" s="227">
        <v>46.9</v>
      </c>
      <c r="F1333" s="133">
        <f>Table1[[#This Row],[VALOR]]/Table1[[#This Row],[KGS]]</f>
        <v>3.35</v>
      </c>
      <c r="G1333" s="128" t="str">
        <f t="shared" si="139"/>
        <v>junho</v>
      </c>
      <c r="H1333" s="128">
        <f t="shared" si="140"/>
        <v>2023</v>
      </c>
    </row>
    <row r="1334" spans="1:8" hidden="1" x14ac:dyDescent="0.25">
      <c r="A1334" s="128">
        <v>4031200</v>
      </c>
      <c r="B1334" s="225">
        <v>45078</v>
      </c>
      <c r="C1334" s="128" t="s">
        <v>230</v>
      </c>
      <c r="D1334" s="226">
        <v>1365.77</v>
      </c>
      <c r="E1334" s="227">
        <v>4094.22</v>
      </c>
      <c r="F1334" s="133">
        <v>2.9977375399957533</v>
      </c>
      <c r="G1334" s="128" t="str">
        <f t="shared" si="139"/>
        <v>junho</v>
      </c>
      <c r="H1334" s="128">
        <f t="shared" si="140"/>
        <v>2023</v>
      </c>
    </row>
    <row r="1335" spans="1:8" hidden="1" x14ac:dyDescent="0.25">
      <c r="A1335" s="128">
        <v>4031304</v>
      </c>
      <c r="B1335" s="225">
        <v>45078</v>
      </c>
      <c r="C1335" s="128" t="s">
        <v>232</v>
      </c>
      <c r="D1335" s="226">
        <v>1427.45</v>
      </c>
      <c r="E1335" s="227">
        <v>4140.6400000000003</v>
      </c>
      <c r="F1335" s="133">
        <v>2.9007250691793058</v>
      </c>
      <c r="G1335" s="128" t="str">
        <f t="shared" si="139"/>
        <v>junho</v>
      </c>
      <c r="H1335" s="128">
        <f t="shared" si="140"/>
        <v>2023</v>
      </c>
    </row>
    <row r="1336" spans="1:8" hidden="1" x14ac:dyDescent="0.25">
      <c r="A1336" s="128">
        <v>4031411</v>
      </c>
      <c r="B1336" s="225">
        <v>45078</v>
      </c>
      <c r="C1336" s="128" t="s">
        <v>234</v>
      </c>
      <c r="D1336" s="226">
        <v>48.65</v>
      </c>
      <c r="E1336" s="227">
        <v>149.30000000000001</v>
      </c>
      <c r="F1336" s="133">
        <v>3.0688591983556015</v>
      </c>
      <c r="G1336" s="128" t="str">
        <f t="shared" si="139"/>
        <v>junho</v>
      </c>
      <c r="H1336" s="128">
        <f t="shared" si="140"/>
        <v>2023</v>
      </c>
    </row>
    <row r="1337" spans="1:8" hidden="1" x14ac:dyDescent="0.25">
      <c r="A1337" s="128">
        <v>4031500</v>
      </c>
      <c r="B1337" s="225">
        <v>45078</v>
      </c>
      <c r="C1337" s="128" t="s">
        <v>236</v>
      </c>
      <c r="D1337" s="226">
        <v>6537.89</v>
      </c>
      <c r="E1337" s="227">
        <v>18511.36</v>
      </c>
      <c r="F1337" s="133">
        <v>2.8313966738504317</v>
      </c>
      <c r="G1337" s="128" t="str">
        <f t="shared" si="139"/>
        <v>junho</v>
      </c>
      <c r="H1337" s="128">
        <f t="shared" si="140"/>
        <v>2023</v>
      </c>
    </row>
    <row r="1338" spans="1:8" hidden="1" x14ac:dyDescent="0.25">
      <c r="A1338" s="128">
        <v>4031605</v>
      </c>
      <c r="B1338" s="225">
        <v>45078</v>
      </c>
      <c r="C1338" s="128" t="s">
        <v>240</v>
      </c>
      <c r="D1338" s="226">
        <v>79.86</v>
      </c>
      <c r="E1338" s="227">
        <v>257.91000000000003</v>
      </c>
      <c r="F1338" s="133">
        <v>3.2295266716754325</v>
      </c>
      <c r="G1338" s="128" t="str">
        <f t="shared" si="139"/>
        <v>junho</v>
      </c>
      <c r="H1338" s="128">
        <f t="shared" si="140"/>
        <v>2023</v>
      </c>
    </row>
    <row r="1339" spans="1:8" hidden="1" x14ac:dyDescent="0.25">
      <c r="A1339" s="128">
        <v>4031604</v>
      </c>
      <c r="B1339" s="225">
        <v>45078</v>
      </c>
      <c r="C1339" s="128" t="s">
        <v>238</v>
      </c>
      <c r="D1339" s="226">
        <v>5832.09</v>
      </c>
      <c r="E1339" s="227">
        <v>15852.03</v>
      </c>
      <c r="F1339" s="133">
        <v>2.7180701943900045</v>
      </c>
      <c r="G1339" s="128" t="str">
        <f t="shared" si="139"/>
        <v>junho</v>
      </c>
      <c r="H1339" s="128">
        <f t="shared" si="140"/>
        <v>2023</v>
      </c>
    </row>
    <row r="1340" spans="1:8" hidden="1" x14ac:dyDescent="0.25">
      <c r="A1340" s="128">
        <v>4031700</v>
      </c>
      <c r="B1340" s="225">
        <v>45078</v>
      </c>
      <c r="C1340" s="128" t="s">
        <v>242</v>
      </c>
      <c r="D1340" s="226">
        <v>615.73</v>
      </c>
      <c r="E1340" s="227">
        <v>1836.55</v>
      </c>
      <c r="F1340" s="133">
        <v>2.982719698569178</v>
      </c>
      <c r="G1340" s="128" t="str">
        <f t="shared" si="139"/>
        <v>junho</v>
      </c>
      <c r="H1340" s="128">
        <f t="shared" si="140"/>
        <v>2023</v>
      </c>
    </row>
    <row r="1341" spans="1:8" hidden="1" x14ac:dyDescent="0.25">
      <c r="A1341" s="128">
        <v>4031812</v>
      </c>
      <c r="B1341" s="225">
        <v>45078</v>
      </c>
      <c r="C1341" s="128" t="s">
        <v>244</v>
      </c>
      <c r="D1341" s="226">
        <v>520.41999999999996</v>
      </c>
      <c r="E1341" s="227">
        <v>1593.75</v>
      </c>
      <c r="F1341" s="133">
        <v>3.0624303447215713</v>
      </c>
      <c r="G1341" s="128" t="str">
        <f t="shared" si="139"/>
        <v>junho</v>
      </c>
      <c r="H1341" s="128">
        <f t="shared" si="140"/>
        <v>2023</v>
      </c>
    </row>
    <row r="1342" spans="1:8" hidden="1" x14ac:dyDescent="0.25">
      <c r="A1342" s="128">
        <v>4031904</v>
      </c>
      <c r="B1342" s="225">
        <v>45078</v>
      </c>
      <c r="C1342" s="128" t="s">
        <v>246</v>
      </c>
      <c r="D1342" s="226">
        <v>908.96</v>
      </c>
      <c r="E1342" s="227">
        <v>2672.45</v>
      </c>
      <c r="F1342" s="133">
        <v>2.9401183770462942</v>
      </c>
      <c r="G1342" s="128" t="str">
        <f t="shared" si="139"/>
        <v>junho</v>
      </c>
      <c r="H1342" s="128">
        <f t="shared" si="140"/>
        <v>2023</v>
      </c>
    </row>
    <row r="1343" spans="1:8" hidden="1" x14ac:dyDescent="0.25">
      <c r="A1343" s="58">
        <v>3021639</v>
      </c>
      <c r="B1343" s="238">
        <v>45078</v>
      </c>
      <c r="C1343" s="58" t="s">
        <v>457</v>
      </c>
      <c r="D1343" s="60">
        <v>53.97</v>
      </c>
      <c r="E1343" s="61">
        <v>163.63999999999999</v>
      </c>
      <c r="F1343" s="62">
        <v>3.0320548452844172</v>
      </c>
      <c r="G1343" s="58" t="str">
        <f t="shared" si="139"/>
        <v>junho</v>
      </c>
      <c r="H1343" s="58">
        <f t="shared" si="140"/>
        <v>2023</v>
      </c>
    </row>
    <row r="1344" spans="1:8" hidden="1" x14ac:dyDescent="0.25">
      <c r="A1344" s="58">
        <v>3021740</v>
      </c>
      <c r="B1344" s="238">
        <v>45078</v>
      </c>
      <c r="C1344" s="58" t="s">
        <v>635</v>
      </c>
      <c r="D1344" s="60">
        <v>890.52</v>
      </c>
      <c r="E1344" s="61">
        <v>2518.7600000000002</v>
      </c>
      <c r="F1344" s="62">
        <v>2.8284148587342228</v>
      </c>
      <c r="G1344" s="58" t="str">
        <f t="shared" si="139"/>
        <v>junho</v>
      </c>
      <c r="H1344" s="58">
        <f t="shared" si="140"/>
        <v>2023</v>
      </c>
    </row>
    <row r="1345" spans="1:8" hidden="1" x14ac:dyDescent="0.25">
      <c r="A1345" s="58">
        <v>3021538</v>
      </c>
      <c r="B1345" s="238">
        <v>45078</v>
      </c>
      <c r="C1345" s="58" t="s">
        <v>548</v>
      </c>
      <c r="D1345" s="60">
        <v>122.08</v>
      </c>
      <c r="E1345" s="61">
        <v>371.12</v>
      </c>
      <c r="F1345" s="62">
        <v>3.0399737876802098</v>
      </c>
      <c r="G1345" s="58" t="str">
        <f t="shared" si="139"/>
        <v>junho</v>
      </c>
      <c r="H1345" s="58">
        <f t="shared" si="140"/>
        <v>2023</v>
      </c>
    </row>
    <row r="1346" spans="1:8" hidden="1" x14ac:dyDescent="0.25">
      <c r="A1346" s="58">
        <v>3021436</v>
      </c>
      <c r="B1346" s="238">
        <v>45078</v>
      </c>
      <c r="C1346" s="58" t="s">
        <v>546</v>
      </c>
      <c r="D1346" s="60">
        <v>860.45</v>
      </c>
      <c r="E1346" s="61">
        <v>2755.8</v>
      </c>
      <c r="F1346" s="62">
        <v>3.2027427508861641</v>
      </c>
      <c r="G1346" s="58" t="str">
        <f t="shared" si="139"/>
        <v>junho</v>
      </c>
      <c r="H1346" s="58">
        <f t="shared" si="140"/>
        <v>2023</v>
      </c>
    </row>
    <row r="1347" spans="1:8" hidden="1" x14ac:dyDescent="0.25">
      <c r="A1347" s="58">
        <v>3021537</v>
      </c>
      <c r="B1347" s="238">
        <v>45078</v>
      </c>
      <c r="C1347" s="58" t="s">
        <v>161</v>
      </c>
      <c r="D1347" s="60">
        <v>7.64</v>
      </c>
      <c r="E1347" s="61">
        <v>25.21</v>
      </c>
      <c r="F1347" s="62">
        <v>3.2997382198952883</v>
      </c>
      <c r="G1347" s="58" t="str">
        <f t="shared" si="139"/>
        <v>junho</v>
      </c>
      <c r="H1347" s="58">
        <f t="shared" si="140"/>
        <v>2023</v>
      </c>
    </row>
    <row r="1348" spans="1:8" hidden="1" x14ac:dyDescent="0.25">
      <c r="A1348" s="58">
        <v>3021435</v>
      </c>
      <c r="B1348" s="238">
        <v>45078</v>
      </c>
      <c r="C1348" s="58" t="s">
        <v>159</v>
      </c>
      <c r="D1348" s="60">
        <v>22.7</v>
      </c>
      <c r="E1348" s="61">
        <v>69.239999999999995</v>
      </c>
      <c r="F1348" s="62">
        <v>3.0502202643171805</v>
      </c>
      <c r="G1348" s="58" t="str">
        <f t="shared" si="139"/>
        <v>junho</v>
      </c>
      <c r="H1348" s="58">
        <f t="shared" si="140"/>
        <v>2023</v>
      </c>
    </row>
    <row r="1349" spans="1:8" hidden="1" x14ac:dyDescent="0.25">
      <c r="A1349" s="48">
        <v>3020924</v>
      </c>
      <c r="B1349" s="237">
        <v>45078</v>
      </c>
      <c r="C1349" s="48" t="s">
        <v>155</v>
      </c>
      <c r="D1349" s="50">
        <v>1392.3</v>
      </c>
      <c r="E1349" s="51">
        <v>5423.31</v>
      </c>
      <c r="F1349" s="52">
        <v>3.895216548157725</v>
      </c>
      <c r="G1349" s="48" t="str">
        <f t="shared" si="139"/>
        <v>junho</v>
      </c>
      <c r="H1349" s="48">
        <f t="shared" si="140"/>
        <v>2023</v>
      </c>
    </row>
    <row r="1350" spans="1:8" hidden="1" x14ac:dyDescent="0.25">
      <c r="A1350" s="48">
        <v>3020925</v>
      </c>
      <c r="B1350" s="237">
        <v>45078</v>
      </c>
      <c r="C1350" s="48" t="s">
        <v>157</v>
      </c>
      <c r="D1350" s="50">
        <v>2514.4499999999998</v>
      </c>
      <c r="E1350" s="51">
        <v>9622.91</v>
      </c>
      <c r="F1350" s="52">
        <v>3.8270436874863294</v>
      </c>
      <c r="G1350" s="48" t="str">
        <f t="shared" si="139"/>
        <v>junho</v>
      </c>
      <c r="H1350" s="48">
        <f t="shared" si="140"/>
        <v>2023</v>
      </c>
    </row>
    <row r="1351" spans="1:8" hidden="1" x14ac:dyDescent="0.25">
      <c r="A1351" s="48">
        <v>3020825</v>
      </c>
      <c r="B1351" s="237">
        <v>45078</v>
      </c>
      <c r="C1351" s="48" t="s">
        <v>455</v>
      </c>
      <c r="D1351" s="50">
        <v>294.42</v>
      </c>
      <c r="E1351" s="51">
        <v>1207.1500000000001</v>
      </c>
      <c r="F1351" s="52">
        <v>4.1000951022349028</v>
      </c>
      <c r="G1351" s="48" t="str">
        <f t="shared" si="139"/>
        <v>junho</v>
      </c>
      <c r="H1351" s="48">
        <f t="shared" si="140"/>
        <v>2023</v>
      </c>
    </row>
    <row r="1352" spans="1:8" hidden="1" x14ac:dyDescent="0.25">
      <c r="A1352" s="48">
        <v>3020823</v>
      </c>
      <c r="B1352" s="237">
        <v>45078</v>
      </c>
      <c r="C1352" s="48" t="s">
        <v>151</v>
      </c>
      <c r="D1352" s="50">
        <v>1259.3900000000001</v>
      </c>
      <c r="E1352" s="51">
        <v>4805.47</v>
      </c>
      <c r="F1352" s="52">
        <v>3.8157123686864276</v>
      </c>
      <c r="G1352" s="48" t="str">
        <f t="shared" si="139"/>
        <v>junho</v>
      </c>
      <c r="H1352" s="48">
        <f t="shared" si="140"/>
        <v>2023</v>
      </c>
    </row>
    <row r="1353" spans="1:8" hidden="1" x14ac:dyDescent="0.25">
      <c r="A1353" s="48">
        <v>3020824</v>
      </c>
      <c r="B1353" s="237">
        <v>45078</v>
      </c>
      <c r="C1353" s="48" t="s">
        <v>153</v>
      </c>
      <c r="D1353" s="50">
        <v>2300.6999999999998</v>
      </c>
      <c r="E1353" s="51">
        <v>8550.35</v>
      </c>
      <c r="F1353" s="52">
        <v>3.7164123962272355</v>
      </c>
      <c r="G1353" s="48" t="str">
        <f t="shared" si="139"/>
        <v>junho</v>
      </c>
      <c r="H1353" s="48">
        <f t="shared" si="140"/>
        <v>2023</v>
      </c>
    </row>
    <row r="1354" spans="1:8" hidden="1" x14ac:dyDescent="0.25">
      <c r="A1354" s="48">
        <v>3020622</v>
      </c>
      <c r="B1354" s="237">
        <v>45078</v>
      </c>
      <c r="C1354" s="48" t="s">
        <v>145</v>
      </c>
      <c r="D1354" s="50">
        <v>5660.88</v>
      </c>
      <c r="E1354" s="51">
        <v>20902.91</v>
      </c>
      <c r="F1354" s="52">
        <v>3.6925195375983946</v>
      </c>
      <c r="G1354" s="48" t="str">
        <f t="shared" si="139"/>
        <v>junho</v>
      </c>
      <c r="H1354" s="48">
        <f t="shared" si="140"/>
        <v>2023</v>
      </c>
    </row>
    <row r="1355" spans="1:8" hidden="1" x14ac:dyDescent="0.25">
      <c r="A1355" s="48">
        <v>3020623</v>
      </c>
      <c r="B1355" s="237">
        <v>45078</v>
      </c>
      <c r="C1355" s="48" t="s">
        <v>147</v>
      </c>
      <c r="D1355" s="50">
        <v>876.12</v>
      </c>
      <c r="E1355" s="51">
        <v>3410.33</v>
      </c>
      <c r="F1355" s="52">
        <v>3.892537551933525</v>
      </c>
      <c r="G1355" s="48" t="str">
        <f t="shared" si="139"/>
        <v>junho</v>
      </c>
      <c r="H1355" s="48">
        <f t="shared" si="140"/>
        <v>2023</v>
      </c>
    </row>
    <row r="1356" spans="1:8" hidden="1" x14ac:dyDescent="0.25">
      <c r="A1356" s="48">
        <v>3020725</v>
      </c>
      <c r="B1356" s="237">
        <v>45078</v>
      </c>
      <c r="C1356" s="48" t="s">
        <v>149</v>
      </c>
      <c r="D1356" s="50">
        <v>335.71</v>
      </c>
      <c r="E1356" s="51">
        <v>1287.1600000000001</v>
      </c>
      <c r="F1356" s="52">
        <v>3.834142563522088</v>
      </c>
      <c r="G1356" s="48" t="str">
        <f t="shared" si="139"/>
        <v>junho</v>
      </c>
      <c r="H1356" s="48">
        <f t="shared" si="140"/>
        <v>2023</v>
      </c>
    </row>
    <row r="1357" spans="1:8" hidden="1" x14ac:dyDescent="0.25">
      <c r="A1357" s="158">
        <v>3021760</v>
      </c>
      <c r="B1357" s="239">
        <v>45078</v>
      </c>
      <c r="C1357" s="158" t="s">
        <v>167</v>
      </c>
      <c r="D1357" s="240">
        <v>872.46</v>
      </c>
      <c r="E1357" s="241">
        <v>2224.17</v>
      </c>
      <c r="F1357" s="163">
        <v>2.5493088508355686</v>
      </c>
      <c r="G1357" s="158" t="str">
        <f t="shared" si="139"/>
        <v>junho</v>
      </c>
      <c r="H1357" s="158">
        <f t="shared" si="140"/>
        <v>2023</v>
      </c>
    </row>
    <row r="1358" spans="1:8" hidden="1" x14ac:dyDescent="0.25">
      <c r="A1358" s="128">
        <v>3021811</v>
      </c>
      <c r="B1358" s="225">
        <v>45078</v>
      </c>
      <c r="C1358" s="128" t="s">
        <v>169</v>
      </c>
      <c r="D1358" s="226">
        <v>769.23</v>
      </c>
      <c r="E1358" s="227">
        <v>1950.71</v>
      </c>
      <c r="F1358" s="133">
        <v>2.5359255359255357</v>
      </c>
      <c r="G1358" s="128" t="str">
        <f t="shared" si="139"/>
        <v>junho</v>
      </c>
      <c r="H1358" s="128">
        <f t="shared" si="140"/>
        <v>2023</v>
      </c>
    </row>
    <row r="1359" spans="1:8" hidden="1" x14ac:dyDescent="0.25">
      <c r="A1359" s="128">
        <v>3021812</v>
      </c>
      <c r="B1359" s="225">
        <v>45078</v>
      </c>
      <c r="C1359" s="128" t="s">
        <v>171</v>
      </c>
      <c r="D1359" s="226">
        <v>1545.39</v>
      </c>
      <c r="E1359" s="227">
        <v>3623.5</v>
      </c>
      <c r="F1359" s="133">
        <v>2.344715573415125</v>
      </c>
      <c r="G1359" s="128" t="str">
        <f t="shared" si="139"/>
        <v>junho</v>
      </c>
      <c r="H1359" s="128">
        <f t="shared" si="140"/>
        <v>2023</v>
      </c>
    </row>
    <row r="1360" spans="1:8" hidden="1" x14ac:dyDescent="0.25">
      <c r="A1360" s="58">
        <v>4032312</v>
      </c>
      <c r="B1360" s="238">
        <v>45078</v>
      </c>
      <c r="C1360" s="58" t="s">
        <v>252</v>
      </c>
      <c r="D1360" s="60">
        <v>503.31</v>
      </c>
      <c r="E1360" s="61">
        <v>2122.5700000000002</v>
      </c>
      <c r="F1360" s="62">
        <v>4.2172219904233978</v>
      </c>
      <c r="G1360" s="58" t="str">
        <f t="shared" si="139"/>
        <v>junho</v>
      </c>
      <c r="H1360" s="58">
        <f t="shared" si="140"/>
        <v>2023</v>
      </c>
    </row>
    <row r="1361" spans="1:8" hidden="1" x14ac:dyDescent="0.25">
      <c r="A1361" s="58">
        <v>4032404</v>
      </c>
      <c r="B1361" s="238">
        <v>45078</v>
      </c>
      <c r="C1361" s="58" t="s">
        <v>254</v>
      </c>
      <c r="D1361" s="60">
        <v>138.99</v>
      </c>
      <c r="E1361" s="61">
        <v>610.79</v>
      </c>
      <c r="F1361" s="62">
        <v>4.3944888121447585</v>
      </c>
      <c r="G1361" s="58" t="str">
        <f t="shared" si="139"/>
        <v>junho</v>
      </c>
      <c r="H1361" s="58">
        <f t="shared" si="140"/>
        <v>2023</v>
      </c>
    </row>
    <row r="1362" spans="1:8" hidden="1" x14ac:dyDescent="0.25">
      <c r="A1362" s="242">
        <v>4032500</v>
      </c>
      <c r="B1362" s="243">
        <v>45078</v>
      </c>
      <c r="C1362" s="242" t="s">
        <v>256</v>
      </c>
      <c r="D1362" s="244">
        <v>303.82</v>
      </c>
      <c r="E1362" s="245">
        <v>826.56</v>
      </c>
      <c r="F1362" s="246">
        <v>2.7205582252649596</v>
      </c>
      <c r="G1362" s="242" t="str">
        <f t="shared" ref="G1362:G1375" si="141">TEXT(B1362,"mmmm")</f>
        <v>junho</v>
      </c>
      <c r="H1362" s="242">
        <f t="shared" ref="H1362:H1375" si="142">YEAR(B1362)</f>
        <v>2023</v>
      </c>
    </row>
    <row r="1363" spans="1:8" hidden="1" x14ac:dyDescent="0.25">
      <c r="A1363" s="242">
        <v>4032704</v>
      </c>
      <c r="B1363" s="243">
        <v>45078</v>
      </c>
      <c r="C1363" s="242" t="s">
        <v>260</v>
      </c>
      <c r="D1363" s="244">
        <v>259.39999999999998</v>
      </c>
      <c r="E1363" s="245">
        <v>765.96</v>
      </c>
      <c r="F1363" s="246">
        <v>2.9528141865844262</v>
      </c>
      <c r="G1363" s="242" t="str">
        <f t="shared" si="141"/>
        <v>junho</v>
      </c>
      <c r="H1363" s="242">
        <f t="shared" si="142"/>
        <v>2023</v>
      </c>
    </row>
    <row r="1364" spans="1:8" hidden="1" x14ac:dyDescent="0.25">
      <c r="A1364" s="242">
        <v>4032611</v>
      </c>
      <c r="B1364" s="243">
        <v>45078</v>
      </c>
      <c r="C1364" s="242" t="s">
        <v>258</v>
      </c>
      <c r="D1364" s="244">
        <v>70.8</v>
      </c>
      <c r="E1364" s="245">
        <v>217.26</v>
      </c>
      <c r="F1364" s="246">
        <v>3.06864406779661</v>
      </c>
      <c r="G1364" s="242" t="str">
        <f t="shared" si="141"/>
        <v>junho</v>
      </c>
      <c r="H1364" s="242">
        <f t="shared" si="142"/>
        <v>2023</v>
      </c>
    </row>
    <row r="1365" spans="1:8" hidden="1" x14ac:dyDescent="0.25">
      <c r="A1365" s="68">
        <v>3022311</v>
      </c>
      <c r="B1365" s="247">
        <v>45078</v>
      </c>
      <c r="C1365" s="68" t="s">
        <v>176</v>
      </c>
      <c r="D1365" s="70">
        <v>2280.0100000000002</v>
      </c>
      <c r="E1365" s="71">
        <v>5455.54</v>
      </c>
      <c r="F1365" s="72">
        <v>2.3927702071482142</v>
      </c>
      <c r="G1365" s="68" t="str">
        <f t="shared" si="141"/>
        <v>junho</v>
      </c>
      <c r="H1365" s="68">
        <f t="shared" si="142"/>
        <v>2023</v>
      </c>
    </row>
    <row r="1366" spans="1:8" hidden="1" x14ac:dyDescent="0.25">
      <c r="A1366" s="68">
        <v>3022411</v>
      </c>
      <c r="B1366" s="247">
        <v>45078</v>
      </c>
      <c r="C1366" s="68" t="s">
        <v>178</v>
      </c>
      <c r="D1366" s="70">
        <v>41.4</v>
      </c>
      <c r="E1366" s="71">
        <v>119.2</v>
      </c>
      <c r="F1366" s="72">
        <v>2.879227053140097</v>
      </c>
      <c r="G1366" s="68" t="str">
        <f t="shared" si="141"/>
        <v>junho</v>
      </c>
      <c r="H1366" s="68">
        <f t="shared" si="142"/>
        <v>2023</v>
      </c>
    </row>
    <row r="1367" spans="1:8" hidden="1" x14ac:dyDescent="0.25">
      <c r="A1367" s="68">
        <v>3022511</v>
      </c>
      <c r="B1367" s="247">
        <v>45078</v>
      </c>
      <c r="C1367" s="68" t="s">
        <v>180</v>
      </c>
      <c r="D1367" s="70">
        <v>3.4</v>
      </c>
      <c r="E1367" s="71">
        <v>9.02</v>
      </c>
      <c r="F1367" s="72">
        <v>2.6529411764705881</v>
      </c>
      <c r="G1367" s="68" t="str">
        <f t="shared" si="141"/>
        <v>junho</v>
      </c>
      <c r="H1367" s="68">
        <f t="shared" si="142"/>
        <v>2023</v>
      </c>
    </row>
    <row r="1368" spans="1:8" hidden="1" x14ac:dyDescent="0.25">
      <c r="A1368" s="73">
        <v>4032800</v>
      </c>
      <c r="B1368" s="248">
        <v>45078</v>
      </c>
      <c r="C1368" s="73" t="s">
        <v>262</v>
      </c>
      <c r="D1368" s="75">
        <v>92.42</v>
      </c>
      <c r="E1368" s="76">
        <v>537.29</v>
      </c>
      <c r="F1368" s="77">
        <v>5.8135684916684696</v>
      </c>
      <c r="G1368" s="73" t="str">
        <f t="shared" si="141"/>
        <v>junho</v>
      </c>
      <c r="H1368" s="73">
        <f t="shared" si="142"/>
        <v>2023</v>
      </c>
    </row>
    <row r="1369" spans="1:8" hidden="1" x14ac:dyDescent="0.25">
      <c r="A1369" s="73">
        <v>4032902</v>
      </c>
      <c r="B1369" s="248">
        <v>45078</v>
      </c>
      <c r="C1369" s="73" t="s">
        <v>264</v>
      </c>
      <c r="D1369" s="75">
        <v>178.5</v>
      </c>
      <c r="E1369" s="76">
        <v>918.62</v>
      </c>
      <c r="F1369" s="77">
        <v>5.1463305322128852</v>
      </c>
      <c r="G1369" s="73" t="str">
        <f t="shared" si="141"/>
        <v>junho</v>
      </c>
      <c r="H1369" s="73">
        <f t="shared" si="142"/>
        <v>2023</v>
      </c>
    </row>
    <row r="1370" spans="1:8" hidden="1" x14ac:dyDescent="0.25">
      <c r="A1370" s="128">
        <v>4033211</v>
      </c>
      <c r="B1370" s="225">
        <v>45078</v>
      </c>
      <c r="C1370" s="128" t="s">
        <v>270</v>
      </c>
      <c r="D1370" s="226">
        <v>45.19</v>
      </c>
      <c r="E1370" s="227">
        <v>203.24</v>
      </c>
      <c r="F1370" s="133">
        <v>4.4974551892011512</v>
      </c>
      <c r="G1370" s="128" t="str">
        <f t="shared" si="141"/>
        <v>junho</v>
      </c>
      <c r="H1370" s="128">
        <f t="shared" si="142"/>
        <v>2023</v>
      </c>
    </row>
    <row r="1371" spans="1:8" hidden="1" x14ac:dyDescent="0.25">
      <c r="A1371" s="128">
        <v>4033011</v>
      </c>
      <c r="B1371" s="225">
        <v>45078</v>
      </c>
      <c r="C1371" s="128" t="s">
        <v>266</v>
      </c>
      <c r="D1371" s="226">
        <v>7.7</v>
      </c>
      <c r="E1371" s="227">
        <v>39.69</v>
      </c>
      <c r="F1371" s="133">
        <v>5.1545454545454543</v>
      </c>
      <c r="G1371" s="128" t="str">
        <f t="shared" si="141"/>
        <v>junho</v>
      </c>
      <c r="H1371" s="128">
        <f t="shared" si="142"/>
        <v>2023</v>
      </c>
    </row>
    <row r="1372" spans="1:8" hidden="1" x14ac:dyDescent="0.25">
      <c r="A1372" s="128">
        <v>4033111</v>
      </c>
      <c r="B1372" s="225">
        <v>45078</v>
      </c>
      <c r="C1372" s="128" t="s">
        <v>268</v>
      </c>
      <c r="D1372" s="226">
        <v>24.22</v>
      </c>
      <c r="E1372" s="227">
        <v>113.38</v>
      </c>
      <c r="F1372" s="133">
        <v>4.6812551610239472</v>
      </c>
      <c r="G1372" s="128" t="str">
        <f t="shared" si="141"/>
        <v>junho</v>
      </c>
      <c r="H1372" s="128">
        <f t="shared" si="142"/>
        <v>2023</v>
      </c>
    </row>
    <row r="1373" spans="1:8" hidden="1" x14ac:dyDescent="0.25">
      <c r="A1373">
        <v>4033311</v>
      </c>
      <c r="B1373" s="25">
        <v>45078</v>
      </c>
      <c r="C1373" t="s">
        <v>272</v>
      </c>
      <c r="D1373" s="6">
        <v>11.68</v>
      </c>
      <c r="E1373" s="9">
        <v>73.400000000000006</v>
      </c>
      <c r="F1373" s="20">
        <v>6.2842465753424666</v>
      </c>
      <c r="G1373" t="str">
        <f t="shared" si="141"/>
        <v>junho</v>
      </c>
      <c r="H1373">
        <f t="shared" si="142"/>
        <v>2023</v>
      </c>
    </row>
    <row r="1374" spans="1:8" hidden="1" x14ac:dyDescent="0.25">
      <c r="A1374" s="249">
        <v>4033400</v>
      </c>
      <c r="B1374" s="250">
        <v>45078</v>
      </c>
      <c r="C1374" s="249" t="s">
        <v>274</v>
      </c>
      <c r="D1374" s="251">
        <v>721.44</v>
      </c>
      <c r="E1374" s="252">
        <v>2110.98</v>
      </c>
      <c r="F1374" s="253">
        <v>2.9260645375914835</v>
      </c>
      <c r="G1374" s="249" t="str">
        <f t="shared" si="141"/>
        <v>junho</v>
      </c>
      <c r="H1374" s="249">
        <f t="shared" si="142"/>
        <v>2023</v>
      </c>
    </row>
    <row r="1375" spans="1:8" hidden="1" x14ac:dyDescent="0.25">
      <c r="A1375" s="249">
        <v>4033511</v>
      </c>
      <c r="B1375" s="250">
        <v>45078</v>
      </c>
      <c r="C1375" s="249" t="s">
        <v>276</v>
      </c>
      <c r="D1375" s="251">
        <v>681.25</v>
      </c>
      <c r="E1375" s="252">
        <v>2212.8000000000002</v>
      </c>
      <c r="F1375" s="253">
        <v>3.2481467889908258</v>
      </c>
      <c r="G1375" s="249" t="str">
        <f t="shared" si="141"/>
        <v>junho</v>
      </c>
      <c r="H1375" s="249">
        <f t="shared" si="142"/>
        <v>2023</v>
      </c>
    </row>
    <row r="1376" spans="1:8" hidden="1" x14ac:dyDescent="0.25">
      <c r="A1376" s="63">
        <v>4033900</v>
      </c>
      <c r="B1376" s="254">
        <v>45078</v>
      </c>
      <c r="C1376" s="63" t="s">
        <v>278</v>
      </c>
      <c r="D1376" s="65">
        <v>92.48</v>
      </c>
      <c r="E1376" s="66">
        <v>464.63</v>
      </c>
      <c r="F1376" s="67">
        <v>5.0241133217993079</v>
      </c>
      <c r="G1376" s="63" t="str">
        <f t="shared" ref="G1376:G1382" si="143">TEXT(B1376,"mmmm")</f>
        <v>junho</v>
      </c>
      <c r="H1376" s="63">
        <f t="shared" ref="H1376:H1382" si="144">YEAR(B1376)</f>
        <v>2023</v>
      </c>
    </row>
    <row r="1377" spans="1:8" hidden="1" x14ac:dyDescent="0.25">
      <c r="A1377" s="63">
        <v>4034011</v>
      </c>
      <c r="B1377" s="254">
        <v>45078</v>
      </c>
      <c r="C1377" s="63" t="s">
        <v>280</v>
      </c>
      <c r="D1377" s="65">
        <v>813.56</v>
      </c>
      <c r="E1377" s="66">
        <v>4233.51</v>
      </c>
      <c r="F1377" s="67">
        <v>5.2036850385958022</v>
      </c>
      <c r="G1377" s="63" t="str">
        <f t="shared" si="143"/>
        <v>junho</v>
      </c>
      <c r="H1377" s="63">
        <f t="shared" si="144"/>
        <v>2023</v>
      </c>
    </row>
    <row r="1378" spans="1:8" hidden="1" x14ac:dyDescent="0.25">
      <c r="A1378" s="88">
        <v>3022208</v>
      </c>
      <c r="B1378" s="235">
        <v>45078</v>
      </c>
      <c r="C1378" s="88" t="s">
        <v>307</v>
      </c>
      <c r="D1378" s="90">
        <v>825.53</v>
      </c>
      <c r="E1378" s="91">
        <v>3102.6</v>
      </c>
      <c r="F1378" s="92">
        <v>3.7583128414473128</v>
      </c>
      <c r="G1378" s="88" t="str">
        <f t="shared" si="143"/>
        <v>junho</v>
      </c>
      <c r="H1378" s="88">
        <f t="shared" si="144"/>
        <v>2023</v>
      </c>
    </row>
    <row r="1379" spans="1:8" hidden="1" x14ac:dyDescent="0.25">
      <c r="A1379" s="88">
        <v>3022100</v>
      </c>
      <c r="B1379" s="235">
        <v>45078</v>
      </c>
      <c r="C1379" s="88" t="s">
        <v>173</v>
      </c>
      <c r="D1379" s="90">
        <v>334.8</v>
      </c>
      <c r="E1379" s="91">
        <v>1257.55</v>
      </c>
      <c r="F1379" s="92">
        <v>3.7561230585424132</v>
      </c>
      <c r="G1379" s="88" t="str">
        <f t="shared" si="143"/>
        <v>junho</v>
      </c>
      <c r="H1379" s="88">
        <f t="shared" si="144"/>
        <v>2023</v>
      </c>
    </row>
    <row r="1380" spans="1:8" hidden="1" x14ac:dyDescent="0.25">
      <c r="A1380">
        <v>4034211</v>
      </c>
      <c r="B1380" s="25">
        <v>45078</v>
      </c>
      <c r="C1380" t="s">
        <v>282</v>
      </c>
      <c r="D1380" s="6">
        <v>236.15</v>
      </c>
      <c r="E1380" s="9">
        <v>1011.26</v>
      </c>
      <c r="F1380" s="20">
        <v>4.2822782130002119</v>
      </c>
      <c r="G1380" t="str">
        <f t="shared" si="143"/>
        <v>junho</v>
      </c>
      <c r="H1380">
        <f t="shared" si="144"/>
        <v>2023</v>
      </c>
    </row>
    <row r="1381" spans="1:8" hidden="1" x14ac:dyDescent="0.25">
      <c r="A1381" s="128">
        <v>4034400</v>
      </c>
      <c r="B1381" s="225">
        <v>45078</v>
      </c>
      <c r="C1381" s="128" t="s">
        <v>284</v>
      </c>
      <c r="D1381" s="226">
        <v>140.88999999999999</v>
      </c>
      <c r="E1381" s="227">
        <v>373.31</v>
      </c>
      <c r="F1381" s="133">
        <v>2.64965575981262</v>
      </c>
      <c r="G1381" s="128" t="str">
        <f t="shared" si="143"/>
        <v>junho</v>
      </c>
      <c r="H1381" s="128">
        <f t="shared" si="144"/>
        <v>2023</v>
      </c>
    </row>
    <row r="1382" spans="1:8" hidden="1" x14ac:dyDescent="0.25">
      <c r="A1382" s="128">
        <v>4034502</v>
      </c>
      <c r="B1382" s="225">
        <v>45078</v>
      </c>
      <c r="C1382" s="128" t="s">
        <v>286</v>
      </c>
      <c r="D1382" s="226">
        <v>36.96</v>
      </c>
      <c r="E1382" s="227">
        <v>105.96</v>
      </c>
      <c r="F1382" s="133">
        <v>2.8668831168831166</v>
      </c>
      <c r="G1382" s="128" t="str">
        <f t="shared" si="143"/>
        <v>junho</v>
      </c>
      <c r="H1382" s="128">
        <f t="shared" si="144"/>
        <v>2023</v>
      </c>
    </row>
  </sheetData>
  <pageMargins left="0.7" right="0.7" top="0.75" bottom="0.75" header="0.3" footer="0.3"/>
  <pageSetup orientation="portrait" r:id="rId1"/>
  <ignoredErrors>
    <ignoredError sqref="F1334:F1342 F1304:F1314 F1315:F1317 F1343:F1357 F1358:F1359 F1360:F1361 F1362:F1367 F1368:F1369 F1370:F1372 F1373 F1374:F1375 F1376:F1380 F1381:F1382 F1318:F1333 F1302:F1303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A3C7-EFF7-400F-A088-B693AACCB44A}">
  <dimension ref="A1"/>
  <sheetViews>
    <sheetView workbookViewId="0">
      <selection activeCell="A3" sqref="A3:G5"/>
    </sheetView>
  </sheetViews>
  <sheetFormatPr defaultRowHeight="15" x14ac:dyDescent="0.25"/>
  <cols>
    <col min="1" max="1" width="35.5703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525E-EE09-4AAB-A674-90D6B5E04950}">
  <dimension ref="A1:F490"/>
  <sheetViews>
    <sheetView tabSelected="1" zoomScaleNormal="100" workbookViewId="0">
      <pane ySplit="1" topLeftCell="A209" activePane="bottomLeft" state="frozen"/>
      <selection pane="bottomLeft" activeCell="D230" sqref="D230"/>
    </sheetView>
  </sheetViews>
  <sheetFormatPr defaultRowHeight="15" x14ac:dyDescent="0.25"/>
  <cols>
    <col min="1" max="1" width="35" bestFit="1" customWidth="1"/>
    <col min="2" max="2" width="10.7109375" style="15" customWidth="1"/>
    <col min="4" max="4" width="7.42578125" style="15" customWidth="1"/>
    <col min="5" max="5" width="10.140625" bestFit="1" customWidth="1"/>
    <col min="6" max="6" width="6.85546875" style="6" customWidth="1"/>
  </cols>
  <sheetData>
    <row r="1" spans="1:6" x14ac:dyDescent="0.25">
      <c r="A1" s="33" t="s">
        <v>2</v>
      </c>
      <c r="B1" s="47" t="s">
        <v>3</v>
      </c>
      <c r="C1" s="35" t="s">
        <v>4</v>
      </c>
      <c r="D1" s="36" t="s">
        <v>895</v>
      </c>
      <c r="E1" s="33" t="s">
        <v>1023</v>
      </c>
      <c r="F1" s="34" t="s">
        <v>1024</v>
      </c>
    </row>
    <row r="2" spans="1:6" x14ac:dyDescent="0.25">
      <c r="A2" t="s">
        <v>1026</v>
      </c>
      <c r="B2" s="15">
        <v>4136.6000000000004</v>
      </c>
      <c r="C2">
        <v>22084.409999999996</v>
      </c>
      <c r="D2" s="15">
        <f t="shared" ref="D2:D29" si="0">C2/B2</f>
        <v>5.338783058550499</v>
      </c>
      <c r="E2" t="s">
        <v>1025</v>
      </c>
      <c r="F2" s="6">
        <v>2023</v>
      </c>
    </row>
    <row r="3" spans="1:6" x14ac:dyDescent="0.25">
      <c r="A3" t="s">
        <v>1027</v>
      </c>
      <c r="B3" s="15">
        <v>7422.7</v>
      </c>
      <c r="C3">
        <v>15833.6</v>
      </c>
      <c r="D3" s="15">
        <f t="shared" si="0"/>
        <v>2.133132148679052</v>
      </c>
      <c r="E3" t="s">
        <v>1025</v>
      </c>
      <c r="F3" s="6">
        <v>2023</v>
      </c>
    </row>
    <row r="4" spans="1:6" x14ac:dyDescent="0.25">
      <c r="A4" t="s">
        <v>1028</v>
      </c>
      <c r="B4" s="15">
        <v>4738.5</v>
      </c>
      <c r="C4">
        <v>13893.8</v>
      </c>
      <c r="D4" s="15">
        <f t="shared" si="0"/>
        <v>2.9321093172945023</v>
      </c>
      <c r="E4" t="s">
        <v>1025</v>
      </c>
      <c r="F4" s="6">
        <v>2023</v>
      </c>
    </row>
    <row r="5" spans="1:6" x14ac:dyDescent="0.25">
      <c r="A5" t="s">
        <v>1029</v>
      </c>
      <c r="B5" s="15">
        <v>17668.5</v>
      </c>
      <c r="C5">
        <v>49031.51</v>
      </c>
      <c r="D5" s="15">
        <f t="shared" si="0"/>
        <v>2.7750805105130603</v>
      </c>
      <c r="E5" t="s">
        <v>1025</v>
      </c>
      <c r="F5" s="6">
        <v>2023</v>
      </c>
    </row>
    <row r="6" spans="1:6" x14ac:dyDescent="0.25">
      <c r="A6" t="s">
        <v>1030</v>
      </c>
      <c r="B6" s="15">
        <v>12812.4</v>
      </c>
      <c r="C6">
        <v>42754.19</v>
      </c>
      <c r="D6" s="15">
        <f t="shared" si="0"/>
        <v>3.3369384346414415</v>
      </c>
      <c r="E6" t="s">
        <v>1025</v>
      </c>
      <c r="F6" s="6">
        <v>2023</v>
      </c>
    </row>
    <row r="7" spans="1:6" x14ac:dyDescent="0.25">
      <c r="A7" t="s">
        <v>1031</v>
      </c>
      <c r="B7" s="15">
        <v>180.10000000000002</v>
      </c>
      <c r="C7">
        <v>919.63</v>
      </c>
      <c r="D7" s="15">
        <f t="shared" si="0"/>
        <v>5.1062187673514705</v>
      </c>
      <c r="E7" t="s">
        <v>1025</v>
      </c>
      <c r="F7" s="6">
        <v>2023</v>
      </c>
    </row>
    <row r="8" spans="1:6" x14ac:dyDescent="0.25">
      <c r="A8" t="s">
        <v>1032</v>
      </c>
      <c r="B8" s="15">
        <v>17727</v>
      </c>
      <c r="C8">
        <v>45679.99</v>
      </c>
      <c r="D8" s="15">
        <f t="shared" si="0"/>
        <v>2.5768595927116826</v>
      </c>
      <c r="E8" t="s">
        <v>1025</v>
      </c>
      <c r="F8" s="6">
        <v>2023</v>
      </c>
    </row>
    <row r="9" spans="1:6" x14ac:dyDescent="0.25">
      <c r="A9" t="s">
        <v>1033</v>
      </c>
      <c r="B9" s="15">
        <v>5637.1</v>
      </c>
      <c r="C9">
        <v>16161.52</v>
      </c>
      <c r="D9" s="15">
        <f t="shared" si="0"/>
        <v>2.866991892994625</v>
      </c>
      <c r="E9" t="s">
        <v>1025</v>
      </c>
      <c r="F9" s="6">
        <v>2023</v>
      </c>
    </row>
    <row r="10" spans="1:6" x14ac:dyDescent="0.25">
      <c r="A10" t="s">
        <v>1034</v>
      </c>
      <c r="B10" s="15">
        <v>3461.3999999999996</v>
      </c>
      <c r="C10">
        <v>10184.920000000002</v>
      </c>
      <c r="D10" s="15">
        <f t="shared" si="0"/>
        <v>2.9424279193389968</v>
      </c>
      <c r="E10" t="s">
        <v>1025</v>
      </c>
      <c r="F10" s="6">
        <v>2023</v>
      </c>
    </row>
    <row r="11" spans="1:6" x14ac:dyDescent="0.25">
      <c r="A11" t="s">
        <v>1035</v>
      </c>
      <c r="B11" s="15">
        <v>12735</v>
      </c>
      <c r="C11">
        <v>46153.55</v>
      </c>
      <c r="D11" s="15">
        <f t="shared" si="0"/>
        <v>3.624149980369062</v>
      </c>
      <c r="E11" t="s">
        <v>1025</v>
      </c>
      <c r="F11" s="6">
        <v>2023</v>
      </c>
    </row>
    <row r="12" spans="1:6" x14ac:dyDescent="0.25">
      <c r="A12" t="s">
        <v>1036</v>
      </c>
      <c r="B12" s="15">
        <v>1993.3</v>
      </c>
      <c r="C12">
        <v>4645.58</v>
      </c>
      <c r="D12" s="15">
        <f t="shared" si="0"/>
        <v>2.3305975016304621</v>
      </c>
      <c r="E12" t="s">
        <v>1025</v>
      </c>
      <c r="F12" s="6">
        <v>2023</v>
      </c>
    </row>
    <row r="13" spans="1:6" x14ac:dyDescent="0.25">
      <c r="A13" t="s">
        <v>1037</v>
      </c>
      <c r="B13" s="15">
        <v>4782.5200000000004</v>
      </c>
      <c r="C13">
        <v>10333.209999999999</v>
      </c>
      <c r="D13" s="15">
        <f t="shared" si="0"/>
        <v>2.1606203424136226</v>
      </c>
      <c r="E13" t="s">
        <v>1025</v>
      </c>
      <c r="F13" s="6">
        <v>2023</v>
      </c>
    </row>
    <row r="14" spans="1:6" x14ac:dyDescent="0.25">
      <c r="A14" t="s">
        <v>1038</v>
      </c>
      <c r="B14" s="15">
        <v>524.1</v>
      </c>
      <c r="C14">
        <v>2138.6799999999998</v>
      </c>
      <c r="D14" s="15">
        <f t="shared" si="0"/>
        <v>4.0806716275519932</v>
      </c>
      <c r="E14" t="s">
        <v>1025</v>
      </c>
      <c r="F14" s="6">
        <v>2023</v>
      </c>
    </row>
    <row r="15" spans="1:6" x14ac:dyDescent="0.25">
      <c r="A15" t="s">
        <v>1039</v>
      </c>
      <c r="B15" s="15">
        <v>915.6</v>
      </c>
      <c r="C15">
        <v>2385.89</v>
      </c>
      <c r="D15" s="15">
        <f t="shared" si="0"/>
        <v>2.6058213193534292</v>
      </c>
      <c r="E15" t="s">
        <v>1025</v>
      </c>
      <c r="F15" s="6">
        <v>2023</v>
      </c>
    </row>
    <row r="16" spans="1:6" x14ac:dyDescent="0.25">
      <c r="A16" t="s">
        <v>1040</v>
      </c>
      <c r="B16" s="15">
        <v>2433.77</v>
      </c>
      <c r="C16">
        <v>5474.8899999999994</v>
      </c>
      <c r="D16" s="15">
        <f t="shared" si="0"/>
        <v>2.2495511079518606</v>
      </c>
      <c r="E16" t="s">
        <v>1025</v>
      </c>
      <c r="F16" s="6">
        <v>2023</v>
      </c>
    </row>
    <row r="17" spans="1:6" x14ac:dyDescent="0.25">
      <c r="A17" t="s">
        <v>1041</v>
      </c>
      <c r="B17" s="15">
        <v>603.6</v>
      </c>
      <c r="C17">
        <v>3080.2799999999997</v>
      </c>
      <c r="D17" s="15">
        <f t="shared" si="0"/>
        <v>5.1031809145129214</v>
      </c>
      <c r="E17" t="s">
        <v>1025</v>
      </c>
      <c r="F17" s="6">
        <v>2023</v>
      </c>
    </row>
    <row r="18" spans="1:6" x14ac:dyDescent="0.25">
      <c r="A18" t="s">
        <v>1042</v>
      </c>
      <c r="B18" s="15">
        <v>337.3</v>
      </c>
      <c r="C18">
        <v>1614.97</v>
      </c>
      <c r="D18" s="15">
        <f t="shared" si="0"/>
        <v>4.7879335902757187</v>
      </c>
      <c r="E18" t="s">
        <v>1025</v>
      </c>
      <c r="F18" s="6">
        <v>2023</v>
      </c>
    </row>
    <row r="19" spans="1:6" x14ac:dyDescent="0.25">
      <c r="A19" t="s">
        <v>1043</v>
      </c>
      <c r="B19" s="15">
        <v>5125.2</v>
      </c>
      <c r="C19">
        <v>14556.44</v>
      </c>
      <c r="D19" s="15">
        <f t="shared" si="0"/>
        <v>2.8401701397018657</v>
      </c>
      <c r="E19" t="s">
        <v>1025</v>
      </c>
      <c r="F19" s="6">
        <v>2023</v>
      </c>
    </row>
    <row r="20" spans="1:6" x14ac:dyDescent="0.25">
      <c r="A20" t="s">
        <v>1044</v>
      </c>
      <c r="B20" s="15">
        <v>207.2</v>
      </c>
      <c r="C20">
        <v>756.03</v>
      </c>
      <c r="D20" s="15">
        <f t="shared" si="0"/>
        <v>3.6487934362934364</v>
      </c>
      <c r="E20" t="s">
        <v>1025</v>
      </c>
      <c r="F20" s="6">
        <v>2023</v>
      </c>
    </row>
    <row r="21" spans="1:6" x14ac:dyDescent="0.25">
      <c r="A21" t="s">
        <v>1045</v>
      </c>
      <c r="B21" s="15">
        <v>808</v>
      </c>
      <c r="C21">
        <v>4021.94</v>
      </c>
      <c r="D21" s="15">
        <f t="shared" si="0"/>
        <v>4.9776485148514853</v>
      </c>
      <c r="E21" t="s">
        <v>1025</v>
      </c>
      <c r="F21" s="6">
        <v>2023</v>
      </c>
    </row>
    <row r="22" spans="1:6" x14ac:dyDescent="0.25">
      <c r="A22" t="s">
        <v>282</v>
      </c>
      <c r="B22" s="15">
        <v>250</v>
      </c>
      <c r="C22">
        <v>1037</v>
      </c>
      <c r="D22" s="15">
        <f t="shared" si="0"/>
        <v>4.1479999999999997</v>
      </c>
      <c r="E22" t="s">
        <v>1025</v>
      </c>
      <c r="F22" s="6">
        <v>2023</v>
      </c>
    </row>
    <row r="23" spans="1:6" x14ac:dyDescent="0.25">
      <c r="A23" t="s">
        <v>1046</v>
      </c>
      <c r="B23" s="15">
        <v>318.89999999999998</v>
      </c>
      <c r="C23">
        <v>878.41000000000008</v>
      </c>
      <c r="D23" s="15">
        <f t="shared" si="0"/>
        <v>2.7544998432110384</v>
      </c>
      <c r="E23" t="s">
        <v>1025</v>
      </c>
      <c r="F23" s="6">
        <v>2023</v>
      </c>
    </row>
    <row r="24" spans="1:6" x14ac:dyDescent="0.25">
      <c r="A24" t="s">
        <v>1026</v>
      </c>
      <c r="B24" s="15">
        <v>2881.1100000000006</v>
      </c>
      <c r="C24">
        <v>16046.16</v>
      </c>
      <c r="D24" s="15">
        <f t="shared" si="0"/>
        <v>5.5694367795745379</v>
      </c>
      <c r="E24" t="s">
        <v>1047</v>
      </c>
      <c r="F24" s="6">
        <v>2023</v>
      </c>
    </row>
    <row r="25" spans="1:6" x14ac:dyDescent="0.25">
      <c r="A25" t="s">
        <v>1027</v>
      </c>
      <c r="B25" s="15">
        <v>4475</v>
      </c>
      <c r="C25">
        <v>9596</v>
      </c>
      <c r="D25" s="15">
        <f t="shared" si="0"/>
        <v>2.1443575418994412</v>
      </c>
      <c r="E25" t="s">
        <v>1047</v>
      </c>
      <c r="F25" s="6">
        <v>2023</v>
      </c>
    </row>
    <row r="26" spans="1:6" x14ac:dyDescent="0.25">
      <c r="A26" t="s">
        <v>1028</v>
      </c>
      <c r="B26" s="15">
        <v>5945.4</v>
      </c>
      <c r="C26">
        <v>18903.71</v>
      </c>
      <c r="D26" s="15">
        <f t="shared" si="0"/>
        <v>3.1795522588892253</v>
      </c>
      <c r="E26" t="s">
        <v>1047</v>
      </c>
      <c r="F26" s="6">
        <v>2023</v>
      </c>
    </row>
    <row r="27" spans="1:6" x14ac:dyDescent="0.25">
      <c r="A27" t="s">
        <v>1029</v>
      </c>
      <c r="B27" s="15">
        <v>19989.809999999998</v>
      </c>
      <c r="C27">
        <v>56093.9</v>
      </c>
      <c r="D27" s="15">
        <f t="shared" si="0"/>
        <v>2.8061247205451183</v>
      </c>
      <c r="E27" t="s">
        <v>1047</v>
      </c>
      <c r="F27" s="6">
        <v>2023</v>
      </c>
    </row>
    <row r="28" spans="1:6" x14ac:dyDescent="0.25">
      <c r="A28" t="s">
        <v>1030</v>
      </c>
      <c r="B28" s="15">
        <v>12527.699999999999</v>
      </c>
      <c r="C28">
        <v>41842.93</v>
      </c>
      <c r="D28" s="15">
        <f t="shared" si="0"/>
        <v>3.3400328871221379</v>
      </c>
      <c r="E28" t="s">
        <v>1047</v>
      </c>
      <c r="F28" s="6">
        <v>2023</v>
      </c>
    </row>
    <row r="29" spans="1:6" x14ac:dyDescent="0.25">
      <c r="A29" t="s">
        <v>1031</v>
      </c>
      <c r="B29" s="15">
        <v>281.14999999999998</v>
      </c>
      <c r="C29">
        <v>1418.61</v>
      </c>
      <c r="D29" s="15">
        <f t="shared" si="0"/>
        <v>5.0457407078072203</v>
      </c>
      <c r="E29" t="s">
        <v>1047</v>
      </c>
      <c r="F29" s="6">
        <v>2023</v>
      </c>
    </row>
    <row r="30" spans="1:6" x14ac:dyDescent="0.25">
      <c r="A30" t="s">
        <v>1032</v>
      </c>
      <c r="B30" s="15">
        <v>19287.409999999996</v>
      </c>
      <c r="C30">
        <v>49535.9</v>
      </c>
      <c r="D30" s="15">
        <f>C30/B30</f>
        <v>2.5683023277879204</v>
      </c>
      <c r="E30" t="s">
        <v>1047</v>
      </c>
      <c r="F30" s="6">
        <v>2023</v>
      </c>
    </row>
    <row r="31" spans="1:6" x14ac:dyDescent="0.25">
      <c r="A31" t="s">
        <v>1033</v>
      </c>
      <c r="B31" s="15">
        <v>3358.73</v>
      </c>
      <c r="C31">
        <v>9692.66</v>
      </c>
      <c r="D31" s="15">
        <f>C31/B31</f>
        <v>2.8858110059456998</v>
      </c>
      <c r="E31" t="s">
        <v>1047</v>
      </c>
      <c r="F31" s="6">
        <v>2023</v>
      </c>
    </row>
    <row r="32" spans="1:6" x14ac:dyDescent="0.25">
      <c r="A32" t="s">
        <v>1034</v>
      </c>
      <c r="B32" s="15">
        <v>1628.73</v>
      </c>
      <c r="C32">
        <v>4768.8600000000006</v>
      </c>
      <c r="D32" s="15">
        <f t="shared" ref="D32:D95" si="1">C32/B32</f>
        <v>2.9279622773572052</v>
      </c>
      <c r="E32" t="s">
        <v>1047</v>
      </c>
      <c r="F32" s="6">
        <v>2023</v>
      </c>
    </row>
    <row r="33" spans="1:6" x14ac:dyDescent="0.25">
      <c r="A33" t="s">
        <v>1035</v>
      </c>
      <c r="B33" s="15">
        <v>14401.439999999999</v>
      </c>
      <c r="C33">
        <v>50946.43</v>
      </c>
      <c r="D33" s="15">
        <f t="shared" si="1"/>
        <v>3.5375927685009279</v>
      </c>
      <c r="E33" t="s">
        <v>1047</v>
      </c>
      <c r="F33" s="6">
        <v>2023</v>
      </c>
    </row>
    <row r="34" spans="1:6" x14ac:dyDescent="0.25">
      <c r="A34" t="s">
        <v>1036</v>
      </c>
      <c r="B34" s="15">
        <v>2301</v>
      </c>
      <c r="C34">
        <v>5353</v>
      </c>
      <c r="D34" s="15">
        <f t="shared" si="1"/>
        <v>2.3263798348544111</v>
      </c>
      <c r="E34" t="s">
        <v>1047</v>
      </c>
      <c r="F34" s="6">
        <v>2023</v>
      </c>
    </row>
    <row r="35" spans="1:6" x14ac:dyDescent="0.25">
      <c r="A35" t="s">
        <v>1037</v>
      </c>
      <c r="B35" s="15">
        <v>2361.5</v>
      </c>
      <c r="C35">
        <v>5100.58</v>
      </c>
      <c r="D35" s="15">
        <f t="shared" si="1"/>
        <v>2.1598899004869785</v>
      </c>
      <c r="E35" t="s">
        <v>1047</v>
      </c>
      <c r="F35" s="6">
        <v>2023</v>
      </c>
    </row>
    <row r="36" spans="1:6" x14ac:dyDescent="0.25">
      <c r="A36" t="s">
        <v>1038</v>
      </c>
      <c r="B36" s="15">
        <v>574.5</v>
      </c>
      <c r="C36">
        <v>2344.54</v>
      </c>
      <c r="D36" s="15">
        <f t="shared" si="1"/>
        <v>4.0810095735422109</v>
      </c>
      <c r="E36" t="s">
        <v>1047</v>
      </c>
      <c r="F36" s="6">
        <v>2023</v>
      </c>
    </row>
    <row r="37" spans="1:6" x14ac:dyDescent="0.25">
      <c r="A37" t="s">
        <v>1039</v>
      </c>
      <c r="B37" s="15">
        <v>957.01</v>
      </c>
      <c r="C37">
        <v>2488.69</v>
      </c>
      <c r="D37" s="15">
        <f t="shared" si="1"/>
        <v>2.6004848434185641</v>
      </c>
      <c r="E37" t="s">
        <v>1047</v>
      </c>
      <c r="F37" s="6">
        <v>2023</v>
      </c>
    </row>
    <row r="38" spans="1:6" x14ac:dyDescent="0.25">
      <c r="A38" t="s">
        <v>1040</v>
      </c>
      <c r="B38" s="15">
        <v>2134.8000000000002</v>
      </c>
      <c r="C38">
        <v>4775.0599999999995</v>
      </c>
      <c r="D38" s="15">
        <f t="shared" si="1"/>
        <v>2.236771594528761</v>
      </c>
      <c r="E38" t="s">
        <v>1047</v>
      </c>
      <c r="F38" s="6">
        <v>2023</v>
      </c>
    </row>
    <row r="39" spans="1:6" x14ac:dyDescent="0.25">
      <c r="A39" t="s">
        <v>1041</v>
      </c>
      <c r="B39" s="15">
        <v>1250.45</v>
      </c>
      <c r="C39">
        <v>6440.55</v>
      </c>
      <c r="D39" s="15">
        <f t="shared" si="1"/>
        <v>5.1505857891159179</v>
      </c>
      <c r="E39" t="s">
        <v>1047</v>
      </c>
      <c r="F39" s="6">
        <v>2023</v>
      </c>
    </row>
    <row r="40" spans="1:6" x14ac:dyDescent="0.25">
      <c r="A40" t="s">
        <v>1042</v>
      </c>
      <c r="B40" s="15">
        <v>210.82</v>
      </c>
      <c r="C40">
        <v>990.04</v>
      </c>
      <c r="D40" s="15">
        <f t="shared" si="1"/>
        <v>4.6961388862536761</v>
      </c>
      <c r="E40" t="s">
        <v>1047</v>
      </c>
      <c r="F40" s="6">
        <v>2023</v>
      </c>
    </row>
    <row r="41" spans="1:6" x14ac:dyDescent="0.25">
      <c r="A41" t="s">
        <v>1043</v>
      </c>
      <c r="B41">
        <v>5011</v>
      </c>
      <c r="C41">
        <v>15447</v>
      </c>
      <c r="D41" s="15">
        <f t="shared" si="1"/>
        <v>3.0826182398722808</v>
      </c>
      <c r="E41" t="s">
        <v>1047</v>
      </c>
      <c r="F41" s="6">
        <v>2023</v>
      </c>
    </row>
    <row r="42" spans="1:6" x14ac:dyDescent="0.25">
      <c r="A42" t="s">
        <v>1044</v>
      </c>
      <c r="B42" s="15">
        <v>173.6</v>
      </c>
      <c r="C42">
        <v>623</v>
      </c>
      <c r="D42" s="15">
        <f t="shared" si="1"/>
        <v>3.588709677419355</v>
      </c>
      <c r="E42" t="s">
        <v>1047</v>
      </c>
      <c r="F42" s="6">
        <v>2023</v>
      </c>
    </row>
    <row r="43" spans="1:6" x14ac:dyDescent="0.25">
      <c r="A43" t="s">
        <v>1045</v>
      </c>
      <c r="B43" s="15">
        <v>1262</v>
      </c>
      <c r="C43">
        <v>6162</v>
      </c>
      <c r="D43" s="15">
        <f t="shared" si="1"/>
        <v>4.8827258320126781</v>
      </c>
      <c r="E43" t="s">
        <v>1047</v>
      </c>
      <c r="F43" s="6">
        <v>2023</v>
      </c>
    </row>
    <row r="44" spans="1:6" x14ac:dyDescent="0.25">
      <c r="A44" t="s">
        <v>282</v>
      </c>
      <c r="B44" s="15">
        <v>112.69</v>
      </c>
      <c r="C44">
        <v>469</v>
      </c>
      <c r="D44" s="15">
        <f t="shared" si="1"/>
        <v>4.1618599698287335</v>
      </c>
      <c r="E44" t="s">
        <v>1047</v>
      </c>
      <c r="F44" s="6">
        <v>2023</v>
      </c>
    </row>
    <row r="45" spans="1:6" x14ac:dyDescent="0.25">
      <c r="A45" t="s">
        <v>1046</v>
      </c>
      <c r="B45" s="15">
        <v>901.1</v>
      </c>
      <c r="C45">
        <v>2440.04</v>
      </c>
      <c r="D45" s="15">
        <f t="shared" si="1"/>
        <v>2.7078459660415048</v>
      </c>
      <c r="E45" t="s">
        <v>1047</v>
      </c>
      <c r="F45" s="6">
        <v>2023</v>
      </c>
    </row>
    <row r="46" spans="1:6" x14ac:dyDescent="0.25">
      <c r="A46" t="s">
        <v>1026</v>
      </c>
      <c r="B46" s="15">
        <v>2810.19</v>
      </c>
      <c r="C46">
        <v>15898.84</v>
      </c>
      <c r="D46" s="15">
        <f t="shared" si="1"/>
        <v>5.6575676377753821</v>
      </c>
      <c r="E46" t="s">
        <v>1048</v>
      </c>
      <c r="F46" s="6">
        <v>2023</v>
      </c>
    </row>
    <row r="47" spans="1:6" x14ac:dyDescent="0.25">
      <c r="A47" t="s">
        <v>1027</v>
      </c>
      <c r="B47" s="15">
        <v>8639</v>
      </c>
      <c r="C47">
        <v>18176.7</v>
      </c>
      <c r="D47" s="15">
        <f t="shared" si="1"/>
        <v>2.1040282440097235</v>
      </c>
      <c r="E47" t="s">
        <v>1048</v>
      </c>
      <c r="F47" s="6">
        <v>2023</v>
      </c>
    </row>
    <row r="48" spans="1:6" x14ac:dyDescent="0.25">
      <c r="A48" t="s">
        <v>1028</v>
      </c>
      <c r="B48" s="15">
        <v>2683.58</v>
      </c>
      <c r="C48">
        <v>8452.6299999999992</v>
      </c>
      <c r="D48" s="15">
        <f t="shared" si="1"/>
        <v>3.1497589041504259</v>
      </c>
      <c r="E48" t="s">
        <v>1048</v>
      </c>
      <c r="F48" s="6">
        <v>2023</v>
      </c>
    </row>
    <row r="49" spans="1:6" x14ac:dyDescent="0.25">
      <c r="A49" t="s">
        <v>1029</v>
      </c>
      <c r="B49" s="15">
        <v>16030.35</v>
      </c>
      <c r="C49">
        <v>47366.81</v>
      </c>
      <c r="D49" s="15">
        <f t="shared" si="1"/>
        <v>2.9548206994856629</v>
      </c>
      <c r="E49" t="s">
        <v>1048</v>
      </c>
      <c r="F49" s="6">
        <v>2023</v>
      </c>
    </row>
    <row r="50" spans="1:6" x14ac:dyDescent="0.25">
      <c r="A50" t="s">
        <v>1030</v>
      </c>
      <c r="B50" s="15">
        <v>12819.23</v>
      </c>
      <c r="C50">
        <v>44409.770000000004</v>
      </c>
      <c r="D50" s="15">
        <f t="shared" si="1"/>
        <v>3.4643086987283951</v>
      </c>
      <c r="E50" t="s">
        <v>1048</v>
      </c>
      <c r="F50" s="6">
        <v>2023</v>
      </c>
    </row>
    <row r="51" spans="1:6" x14ac:dyDescent="0.25">
      <c r="A51" t="s">
        <v>1031</v>
      </c>
      <c r="B51" s="15">
        <v>264.13</v>
      </c>
      <c r="C51">
        <v>1387.36</v>
      </c>
      <c r="D51" s="15">
        <f t="shared" si="1"/>
        <v>5.2525650247983942</v>
      </c>
      <c r="E51" t="s">
        <v>1048</v>
      </c>
      <c r="F51" s="6">
        <v>2023</v>
      </c>
    </row>
    <row r="52" spans="1:6" x14ac:dyDescent="0.25">
      <c r="A52" t="s">
        <v>1032</v>
      </c>
      <c r="B52" s="15">
        <v>17575.390000000003</v>
      </c>
      <c r="C52">
        <v>47985.04</v>
      </c>
      <c r="D52" s="15">
        <f t="shared" si="1"/>
        <v>2.7302404100278852</v>
      </c>
      <c r="E52" t="s">
        <v>1048</v>
      </c>
      <c r="F52" s="6">
        <v>2023</v>
      </c>
    </row>
    <row r="53" spans="1:6" x14ac:dyDescent="0.25">
      <c r="A53" t="s">
        <v>1033</v>
      </c>
      <c r="B53" s="15">
        <v>5322.43</v>
      </c>
      <c r="C53">
        <v>16124.15</v>
      </c>
      <c r="D53" s="15">
        <f t="shared" si="1"/>
        <v>3.0294715007994468</v>
      </c>
      <c r="E53" t="s">
        <v>1048</v>
      </c>
      <c r="F53" s="6">
        <v>2023</v>
      </c>
    </row>
    <row r="54" spans="1:6" x14ac:dyDescent="0.25">
      <c r="A54" t="s">
        <v>1034</v>
      </c>
      <c r="B54" s="15">
        <v>904.42000000000007</v>
      </c>
      <c r="C54">
        <v>2863.84</v>
      </c>
      <c r="D54" s="15">
        <f t="shared" si="1"/>
        <v>3.1664934433117358</v>
      </c>
      <c r="E54" t="s">
        <v>1048</v>
      </c>
      <c r="F54" s="6">
        <v>2023</v>
      </c>
    </row>
    <row r="55" spans="1:6" x14ac:dyDescent="0.25">
      <c r="A55" t="s">
        <v>1035</v>
      </c>
      <c r="B55" s="15">
        <v>13902.689999999999</v>
      </c>
      <c r="C55">
        <v>51984.770000000004</v>
      </c>
      <c r="D55" s="15">
        <f t="shared" si="1"/>
        <v>3.7391878837836425</v>
      </c>
      <c r="E55" t="s">
        <v>1048</v>
      </c>
      <c r="F55" s="6">
        <v>2023</v>
      </c>
    </row>
    <row r="56" spans="1:6" x14ac:dyDescent="0.25">
      <c r="A56" t="s">
        <v>1036</v>
      </c>
      <c r="B56" s="15">
        <v>1746.9</v>
      </c>
      <c r="C56">
        <v>4296.8900000000003</v>
      </c>
      <c r="D56" s="15">
        <f t="shared" si="1"/>
        <v>2.4597229377754881</v>
      </c>
      <c r="E56" t="s">
        <v>1048</v>
      </c>
      <c r="F56" s="6">
        <v>2023</v>
      </c>
    </row>
    <row r="57" spans="1:6" x14ac:dyDescent="0.25">
      <c r="A57" t="s">
        <v>1037</v>
      </c>
      <c r="B57" s="15">
        <v>1313</v>
      </c>
      <c r="C57">
        <v>3171.88</v>
      </c>
      <c r="D57" s="15">
        <f t="shared" si="1"/>
        <v>2.415750190403656</v>
      </c>
      <c r="E57" t="s">
        <v>1048</v>
      </c>
      <c r="F57" s="6">
        <v>2023</v>
      </c>
    </row>
    <row r="58" spans="1:6" x14ac:dyDescent="0.25">
      <c r="A58" t="s">
        <v>1038</v>
      </c>
      <c r="B58" s="15">
        <v>625.5</v>
      </c>
      <c r="C58">
        <v>2634.41</v>
      </c>
      <c r="D58" s="15">
        <f t="shared" si="1"/>
        <v>4.2116866506794564</v>
      </c>
      <c r="E58" t="s">
        <v>1048</v>
      </c>
      <c r="F58" s="6">
        <v>2023</v>
      </c>
    </row>
    <row r="59" spans="1:6" x14ac:dyDescent="0.25">
      <c r="A59" t="s">
        <v>1039</v>
      </c>
      <c r="B59" s="15">
        <v>773.76</v>
      </c>
      <c r="C59">
        <v>2132.88</v>
      </c>
      <c r="D59" s="15">
        <f t="shared" si="1"/>
        <v>2.7565136476426799</v>
      </c>
      <c r="E59" t="s">
        <v>1048</v>
      </c>
      <c r="F59" s="6">
        <v>2023</v>
      </c>
    </row>
    <row r="60" spans="1:6" x14ac:dyDescent="0.25">
      <c r="A60" t="s">
        <v>1040</v>
      </c>
      <c r="B60" s="15">
        <v>2508.0099999999998</v>
      </c>
      <c r="C60">
        <v>6060.5299999999988</v>
      </c>
      <c r="D60" s="15">
        <f t="shared" si="1"/>
        <v>2.4164696313013105</v>
      </c>
      <c r="E60" t="s">
        <v>1048</v>
      </c>
      <c r="F60" s="6">
        <v>2023</v>
      </c>
    </row>
    <row r="61" spans="1:6" x14ac:dyDescent="0.25">
      <c r="A61" t="s">
        <v>1041</v>
      </c>
      <c r="B61" s="15">
        <v>269.52999999999997</v>
      </c>
      <c r="C61">
        <v>1404.7</v>
      </c>
      <c r="D61" s="15">
        <f t="shared" si="1"/>
        <v>5.2116647497495645</v>
      </c>
      <c r="E61" t="s">
        <v>1048</v>
      </c>
      <c r="F61" s="6">
        <v>2023</v>
      </c>
    </row>
    <row r="62" spans="1:6" x14ac:dyDescent="0.25">
      <c r="A62" t="s">
        <v>1042</v>
      </c>
      <c r="B62" s="15">
        <v>292.93</v>
      </c>
      <c r="C62">
        <v>1331.22</v>
      </c>
      <c r="D62" s="15">
        <f t="shared" si="1"/>
        <v>4.5444986856928278</v>
      </c>
      <c r="E62" t="s">
        <v>1048</v>
      </c>
      <c r="F62" s="6">
        <v>2023</v>
      </c>
    </row>
    <row r="63" spans="1:6" x14ac:dyDescent="0.25">
      <c r="A63" t="s">
        <v>1043</v>
      </c>
      <c r="B63" s="15">
        <v>2544.0700000000002</v>
      </c>
      <c r="C63">
        <v>8098.7900000000009</v>
      </c>
      <c r="D63" s="15">
        <f t="shared" si="1"/>
        <v>3.1833990416930353</v>
      </c>
      <c r="E63" t="s">
        <v>1048</v>
      </c>
      <c r="F63" s="6">
        <v>2023</v>
      </c>
    </row>
    <row r="64" spans="1:6" x14ac:dyDescent="0.25">
      <c r="A64" t="s">
        <v>1044</v>
      </c>
      <c r="B64" s="15">
        <v>249.14999999999998</v>
      </c>
      <c r="C64">
        <v>965.17000000000007</v>
      </c>
      <c r="D64" s="15">
        <f t="shared" si="1"/>
        <v>3.8738510937186441</v>
      </c>
      <c r="E64" t="s">
        <v>1048</v>
      </c>
      <c r="F64" s="6">
        <v>2023</v>
      </c>
    </row>
    <row r="65" spans="1:6" x14ac:dyDescent="0.25">
      <c r="A65" t="s">
        <v>1045</v>
      </c>
      <c r="B65" s="15">
        <v>757.54000000000008</v>
      </c>
      <c r="C65">
        <v>3990.83</v>
      </c>
      <c r="D65" s="15">
        <f t="shared" si="1"/>
        <v>5.2681442564089016</v>
      </c>
      <c r="E65" t="s">
        <v>1048</v>
      </c>
      <c r="F65" s="6">
        <v>2023</v>
      </c>
    </row>
    <row r="66" spans="1:6" x14ac:dyDescent="0.25">
      <c r="A66" t="s">
        <v>282</v>
      </c>
      <c r="B66" s="15">
        <v>202.95</v>
      </c>
      <c r="C66">
        <v>854.7</v>
      </c>
      <c r="D66" s="15">
        <f t="shared" si="1"/>
        <v>4.2113821138211387</v>
      </c>
      <c r="E66" t="s">
        <v>1048</v>
      </c>
      <c r="F66" s="6">
        <v>2023</v>
      </c>
    </row>
    <row r="67" spans="1:6" x14ac:dyDescent="0.25">
      <c r="A67" t="s">
        <v>1046</v>
      </c>
      <c r="B67" s="15">
        <v>259.10000000000002</v>
      </c>
      <c r="C67">
        <v>691.22</v>
      </c>
      <c r="D67" s="15">
        <f t="shared" si="1"/>
        <v>2.667773060594365</v>
      </c>
      <c r="E67" t="s">
        <v>1048</v>
      </c>
      <c r="F67" s="6">
        <v>2023</v>
      </c>
    </row>
    <row r="68" spans="1:6" x14ac:dyDescent="0.25">
      <c r="A68" t="s">
        <v>1026</v>
      </c>
      <c r="B68" s="15">
        <v>1375.05</v>
      </c>
      <c r="C68">
        <v>8258.76</v>
      </c>
      <c r="D68" s="15">
        <f t="shared" si="1"/>
        <v>6.0061525035453256</v>
      </c>
      <c r="E68" t="s">
        <v>1049</v>
      </c>
      <c r="F68" s="6">
        <v>2023</v>
      </c>
    </row>
    <row r="69" spans="1:6" x14ac:dyDescent="0.25">
      <c r="A69" t="s">
        <v>1027</v>
      </c>
      <c r="B69" s="15">
        <v>8117.5</v>
      </c>
      <c r="C69">
        <v>17487.52</v>
      </c>
      <c r="D69" s="15">
        <f t="shared" si="1"/>
        <v>2.1542987372959654</v>
      </c>
      <c r="E69" t="s">
        <v>1049</v>
      </c>
      <c r="F69" s="6">
        <v>2023</v>
      </c>
    </row>
    <row r="70" spans="1:6" x14ac:dyDescent="0.25">
      <c r="A70" t="s">
        <v>1028</v>
      </c>
      <c r="B70" s="15">
        <v>1462.26</v>
      </c>
      <c r="C70">
        <v>4683.1499999999996</v>
      </c>
      <c r="D70" s="15">
        <f t="shared" si="1"/>
        <v>3.2026794140576911</v>
      </c>
      <c r="E70" t="s">
        <v>1049</v>
      </c>
      <c r="F70" s="6">
        <v>2023</v>
      </c>
    </row>
    <row r="71" spans="1:6" x14ac:dyDescent="0.25">
      <c r="A71" t="s">
        <v>1029</v>
      </c>
      <c r="B71" s="15">
        <v>13450.91</v>
      </c>
      <c r="C71">
        <v>39513.79</v>
      </c>
      <c r="D71" s="15">
        <f t="shared" si="1"/>
        <v>2.9376294986733242</v>
      </c>
      <c r="E71" t="s">
        <v>1049</v>
      </c>
      <c r="F71" s="6">
        <v>2023</v>
      </c>
    </row>
    <row r="72" spans="1:6" x14ac:dyDescent="0.25">
      <c r="A72" t="s">
        <v>1030</v>
      </c>
      <c r="B72" s="15">
        <v>13732.97</v>
      </c>
      <c r="C72">
        <v>47834.81</v>
      </c>
      <c r="D72" s="15">
        <f t="shared" si="1"/>
        <v>3.4832093858793836</v>
      </c>
      <c r="E72" t="s">
        <v>1049</v>
      </c>
      <c r="F72" s="6">
        <v>2023</v>
      </c>
    </row>
    <row r="73" spans="1:6" x14ac:dyDescent="0.25">
      <c r="A73" t="s">
        <v>1031</v>
      </c>
      <c r="B73" s="15">
        <v>176.57999999999998</v>
      </c>
      <c r="C73">
        <v>918.75</v>
      </c>
      <c r="D73" s="15">
        <f t="shared" si="1"/>
        <v>5.2030241250424742</v>
      </c>
      <c r="E73" t="s">
        <v>1049</v>
      </c>
      <c r="F73" s="6">
        <v>2023</v>
      </c>
    </row>
    <row r="74" spans="1:6" x14ac:dyDescent="0.25">
      <c r="A74" t="s">
        <v>1032</v>
      </c>
      <c r="B74" s="15">
        <v>15461.819999999998</v>
      </c>
      <c r="C74">
        <v>42519.759999999987</v>
      </c>
      <c r="D74" s="15">
        <f t="shared" si="1"/>
        <v>2.7499841545173851</v>
      </c>
      <c r="E74" t="s">
        <v>1049</v>
      </c>
      <c r="F74" s="6">
        <v>2023</v>
      </c>
    </row>
    <row r="75" spans="1:6" x14ac:dyDescent="0.25">
      <c r="A75" t="s">
        <v>1033</v>
      </c>
      <c r="B75" s="15">
        <v>3725.7200000000003</v>
      </c>
      <c r="C75">
        <v>11355.529999999999</v>
      </c>
      <c r="D75" s="15">
        <f t="shared" si="1"/>
        <v>3.0478753100071927</v>
      </c>
      <c r="E75" t="s">
        <v>1049</v>
      </c>
      <c r="F75" s="6">
        <v>2023</v>
      </c>
    </row>
    <row r="76" spans="1:6" x14ac:dyDescent="0.25">
      <c r="A76" t="s">
        <v>1034</v>
      </c>
      <c r="B76" s="15">
        <v>1623.82</v>
      </c>
      <c r="C76">
        <v>5006.5300000000007</v>
      </c>
      <c r="D76" s="15">
        <f t="shared" si="1"/>
        <v>3.0831804017686695</v>
      </c>
      <c r="E76" t="s">
        <v>1049</v>
      </c>
      <c r="F76" s="6">
        <v>2023</v>
      </c>
    </row>
    <row r="77" spans="1:6" x14ac:dyDescent="0.25">
      <c r="A77" t="s">
        <v>1035</v>
      </c>
      <c r="B77" s="15">
        <v>15299.57</v>
      </c>
      <c r="C77">
        <v>57020.750000000007</v>
      </c>
      <c r="D77" s="15">
        <f t="shared" si="1"/>
        <v>3.7269511496074732</v>
      </c>
      <c r="E77" t="s">
        <v>1049</v>
      </c>
      <c r="F77" s="6">
        <v>2023</v>
      </c>
    </row>
    <row r="78" spans="1:6" x14ac:dyDescent="0.25">
      <c r="A78" t="s">
        <v>1036</v>
      </c>
      <c r="B78" s="15">
        <v>2007.18</v>
      </c>
      <c r="C78">
        <v>4866.24</v>
      </c>
      <c r="D78" s="15">
        <f t="shared" si="1"/>
        <v>2.4244163453202998</v>
      </c>
      <c r="E78" t="s">
        <v>1049</v>
      </c>
      <c r="F78" s="6">
        <v>2023</v>
      </c>
    </row>
    <row r="79" spans="1:6" x14ac:dyDescent="0.25">
      <c r="A79" t="s">
        <v>1037</v>
      </c>
      <c r="B79" s="15">
        <v>1269.5</v>
      </c>
      <c r="C79">
        <v>3021.73</v>
      </c>
      <c r="D79" s="15">
        <f t="shared" si="1"/>
        <v>2.3802520677432062</v>
      </c>
      <c r="E79" t="s">
        <v>1049</v>
      </c>
      <c r="F79" s="6">
        <v>2023</v>
      </c>
    </row>
    <row r="80" spans="1:6" x14ac:dyDescent="0.25">
      <c r="A80" t="s">
        <v>1038</v>
      </c>
      <c r="B80" s="15">
        <v>460.15</v>
      </c>
      <c r="C80">
        <v>1961.1899999999998</v>
      </c>
      <c r="D80" s="15">
        <f t="shared" si="1"/>
        <v>4.2620667173747693</v>
      </c>
      <c r="E80" t="s">
        <v>1049</v>
      </c>
      <c r="F80" s="6">
        <v>2023</v>
      </c>
    </row>
    <row r="81" spans="1:6" x14ac:dyDescent="0.25">
      <c r="A81" t="s">
        <v>1039</v>
      </c>
      <c r="B81" s="15">
        <v>643.91000000000008</v>
      </c>
      <c r="C81">
        <v>1834.1399999999999</v>
      </c>
      <c r="D81" s="15">
        <f t="shared" si="1"/>
        <v>2.8484415523908617</v>
      </c>
      <c r="E81" t="s">
        <v>1049</v>
      </c>
      <c r="F81" s="6">
        <v>2023</v>
      </c>
    </row>
    <row r="82" spans="1:6" x14ac:dyDescent="0.25">
      <c r="A82" t="s">
        <v>1040</v>
      </c>
      <c r="B82" s="15">
        <v>1983.1100000000001</v>
      </c>
      <c r="C82">
        <v>4796.05</v>
      </c>
      <c r="D82" s="15">
        <f t="shared" si="1"/>
        <v>2.4184488001169879</v>
      </c>
      <c r="E82" t="s">
        <v>1049</v>
      </c>
      <c r="F82" s="6">
        <v>2023</v>
      </c>
    </row>
    <row r="83" spans="1:6" x14ac:dyDescent="0.25">
      <c r="A83" t="s">
        <v>1041</v>
      </c>
      <c r="B83" s="15">
        <v>134.04</v>
      </c>
      <c r="C83">
        <v>741.31999999999994</v>
      </c>
      <c r="D83" s="15">
        <f t="shared" si="1"/>
        <v>5.5305878842136673</v>
      </c>
      <c r="E83" t="s">
        <v>1049</v>
      </c>
      <c r="F83" s="6">
        <v>2023</v>
      </c>
    </row>
    <row r="84" spans="1:6" x14ac:dyDescent="0.25">
      <c r="A84" t="s">
        <v>1042</v>
      </c>
      <c r="B84" s="15">
        <v>307.66000000000003</v>
      </c>
      <c r="C84">
        <v>1347.98</v>
      </c>
      <c r="D84" s="15">
        <f t="shared" si="1"/>
        <v>4.3813950464798799</v>
      </c>
      <c r="E84" t="s">
        <v>1049</v>
      </c>
      <c r="F84" s="6">
        <v>2023</v>
      </c>
    </row>
    <row r="85" spans="1:6" x14ac:dyDescent="0.25">
      <c r="A85" t="s">
        <v>1043</v>
      </c>
      <c r="B85" s="15">
        <v>1519.04</v>
      </c>
      <c r="C85">
        <v>4715.84</v>
      </c>
      <c r="D85" s="15">
        <f t="shared" si="1"/>
        <v>3.1044870444491259</v>
      </c>
      <c r="E85" t="s">
        <v>1049</v>
      </c>
      <c r="F85" s="6">
        <v>2023</v>
      </c>
    </row>
    <row r="86" spans="1:6" x14ac:dyDescent="0.25">
      <c r="A86" t="s">
        <v>1044</v>
      </c>
      <c r="B86" s="15">
        <v>451.83</v>
      </c>
      <c r="C86">
        <v>1711.66</v>
      </c>
      <c r="D86" s="15">
        <f t="shared" si="1"/>
        <v>3.7882832038598591</v>
      </c>
      <c r="E86" t="s">
        <v>1049</v>
      </c>
      <c r="F86" s="6">
        <v>2023</v>
      </c>
    </row>
    <row r="87" spans="1:6" x14ac:dyDescent="0.25">
      <c r="A87" t="s">
        <v>1045</v>
      </c>
      <c r="B87" s="15">
        <v>796.38</v>
      </c>
      <c r="C87">
        <v>4132.2699999999995</v>
      </c>
      <c r="D87" s="15">
        <f t="shared" si="1"/>
        <v>5.1888168964564647</v>
      </c>
      <c r="E87" t="s">
        <v>1049</v>
      </c>
      <c r="F87" s="6">
        <v>2023</v>
      </c>
    </row>
    <row r="88" spans="1:6" x14ac:dyDescent="0.25">
      <c r="A88" t="s">
        <v>282</v>
      </c>
      <c r="B88" s="15">
        <v>131.71</v>
      </c>
      <c r="C88">
        <v>572.27</v>
      </c>
      <c r="D88" s="15">
        <f t="shared" si="1"/>
        <v>4.3449244552425776</v>
      </c>
      <c r="E88" t="s">
        <v>1049</v>
      </c>
      <c r="F88" s="6">
        <v>2023</v>
      </c>
    </row>
    <row r="89" spans="1:6" x14ac:dyDescent="0.25">
      <c r="A89" t="s">
        <v>1046</v>
      </c>
      <c r="B89" s="15">
        <v>130.80000000000001</v>
      </c>
      <c r="C89">
        <v>355.58</v>
      </c>
      <c r="D89" s="15">
        <f t="shared" si="1"/>
        <v>2.7185015290519874</v>
      </c>
      <c r="E89" t="s">
        <v>1049</v>
      </c>
      <c r="F89" s="6">
        <v>2023</v>
      </c>
    </row>
    <row r="90" spans="1:6" x14ac:dyDescent="0.25">
      <c r="A90" t="s">
        <v>1026</v>
      </c>
      <c r="B90" s="15">
        <v>1951.7100000000003</v>
      </c>
      <c r="C90">
        <v>11294.619999999999</v>
      </c>
      <c r="D90" s="15">
        <f t="shared" si="1"/>
        <v>5.7870380333143743</v>
      </c>
      <c r="E90" t="s">
        <v>1050</v>
      </c>
      <c r="F90" s="6">
        <v>2023</v>
      </c>
    </row>
    <row r="91" spans="1:6" x14ac:dyDescent="0.25">
      <c r="A91" t="s">
        <v>1027</v>
      </c>
      <c r="B91" s="15">
        <v>13126.25</v>
      </c>
      <c r="C91">
        <v>28187.360000000001</v>
      </c>
      <c r="D91" s="15">
        <f t="shared" si="1"/>
        <v>2.1474038662984478</v>
      </c>
      <c r="E91" t="s">
        <v>1050</v>
      </c>
      <c r="F91" s="6">
        <v>2023</v>
      </c>
    </row>
    <row r="92" spans="1:6" x14ac:dyDescent="0.25">
      <c r="A92" t="s">
        <v>1028</v>
      </c>
      <c r="B92" s="15">
        <v>1703.02</v>
      </c>
      <c r="C92">
        <v>5553.33</v>
      </c>
      <c r="D92" s="15">
        <f t="shared" si="1"/>
        <v>3.2608718629258613</v>
      </c>
      <c r="E92" t="s">
        <v>1050</v>
      </c>
      <c r="F92" s="6">
        <v>2023</v>
      </c>
    </row>
    <row r="93" spans="1:6" x14ac:dyDescent="0.25">
      <c r="A93" t="s">
        <v>1029</v>
      </c>
      <c r="B93" s="15">
        <v>19607.84</v>
      </c>
      <c r="C93">
        <v>58708.179999999993</v>
      </c>
      <c r="D93" s="15">
        <f t="shared" si="1"/>
        <v>2.994117659058825</v>
      </c>
      <c r="E93" t="s">
        <v>1050</v>
      </c>
      <c r="F93" s="6">
        <v>2023</v>
      </c>
    </row>
    <row r="94" spans="1:6" x14ac:dyDescent="0.25">
      <c r="A94" t="s">
        <v>1030</v>
      </c>
      <c r="B94" s="15">
        <v>16423.449999999997</v>
      </c>
      <c r="C94">
        <v>58180.499999999993</v>
      </c>
      <c r="D94" s="15">
        <f t="shared" si="1"/>
        <v>3.5425260831311327</v>
      </c>
      <c r="E94" t="s">
        <v>1050</v>
      </c>
      <c r="F94" s="6">
        <v>2023</v>
      </c>
    </row>
    <row r="95" spans="1:6" x14ac:dyDescent="0.25">
      <c r="A95" t="s">
        <v>1031</v>
      </c>
      <c r="B95" s="15">
        <v>370.47999999999996</v>
      </c>
      <c r="C95">
        <v>1895.07</v>
      </c>
      <c r="D95" s="15">
        <f t="shared" si="1"/>
        <v>5.1151749082271651</v>
      </c>
      <c r="E95" t="s">
        <v>1050</v>
      </c>
      <c r="F95" s="6">
        <v>2023</v>
      </c>
    </row>
    <row r="96" spans="1:6" x14ac:dyDescent="0.25">
      <c r="A96" t="s">
        <v>1032</v>
      </c>
      <c r="B96" s="15">
        <v>18778.099999999999</v>
      </c>
      <c r="C96">
        <v>53144.58</v>
      </c>
      <c r="D96" s="15">
        <f t="shared" ref="D96:D106" si="2">C96/B96</f>
        <v>2.8301361692610012</v>
      </c>
      <c r="E96" t="s">
        <v>1050</v>
      </c>
      <c r="F96" s="6">
        <v>2023</v>
      </c>
    </row>
    <row r="97" spans="1:6" x14ac:dyDescent="0.25">
      <c r="A97" t="s">
        <v>1033</v>
      </c>
      <c r="B97" s="15">
        <v>4428.1499999999996</v>
      </c>
      <c r="C97">
        <v>13581.06</v>
      </c>
      <c r="D97" s="15">
        <f t="shared" si="2"/>
        <v>3.0669828257850344</v>
      </c>
      <c r="E97" t="s">
        <v>1050</v>
      </c>
      <c r="F97" s="6">
        <v>2023</v>
      </c>
    </row>
    <row r="98" spans="1:6" x14ac:dyDescent="0.25">
      <c r="A98" t="s">
        <v>1034</v>
      </c>
      <c r="B98" s="15">
        <v>1583.34</v>
      </c>
      <c r="C98">
        <v>4959.26</v>
      </c>
      <c r="D98" s="15">
        <f t="shared" si="2"/>
        <v>3.1321510225220108</v>
      </c>
      <c r="E98" t="s">
        <v>1050</v>
      </c>
      <c r="F98" s="6">
        <v>2023</v>
      </c>
    </row>
    <row r="99" spans="1:6" x14ac:dyDescent="0.25">
      <c r="A99" t="s">
        <v>1035</v>
      </c>
      <c r="B99" s="15">
        <v>16869.93</v>
      </c>
      <c r="C99">
        <v>63157.12000000001</v>
      </c>
      <c r="D99" s="15">
        <f t="shared" si="2"/>
        <v>3.7437689427282752</v>
      </c>
      <c r="E99" t="s">
        <v>1050</v>
      </c>
      <c r="F99" s="6">
        <v>2023</v>
      </c>
    </row>
    <row r="100" spans="1:6" x14ac:dyDescent="0.25">
      <c r="A100" t="s">
        <v>1036</v>
      </c>
      <c r="B100" s="15">
        <v>1382.39</v>
      </c>
      <c r="C100">
        <v>3479.41</v>
      </c>
      <c r="D100" s="15">
        <f t="shared" si="2"/>
        <v>2.5169525242514772</v>
      </c>
      <c r="E100" t="s">
        <v>1050</v>
      </c>
      <c r="F100" s="6">
        <v>2023</v>
      </c>
    </row>
    <row r="101" spans="1:6" x14ac:dyDescent="0.25">
      <c r="A101" t="s">
        <v>1037</v>
      </c>
      <c r="B101" s="15">
        <v>1444.8600000000001</v>
      </c>
      <c r="C101">
        <v>3512.46</v>
      </c>
      <c r="D101" s="15">
        <f t="shared" si="2"/>
        <v>2.4310036958598062</v>
      </c>
      <c r="E101" t="s">
        <v>1050</v>
      </c>
      <c r="F101" s="6">
        <v>2023</v>
      </c>
    </row>
    <row r="102" spans="1:6" x14ac:dyDescent="0.25">
      <c r="A102" t="s">
        <v>1038</v>
      </c>
      <c r="B102" s="15">
        <v>710.7</v>
      </c>
      <c r="C102">
        <v>3012.13</v>
      </c>
      <c r="D102" s="15">
        <f t="shared" si="2"/>
        <v>4.2382580554383003</v>
      </c>
      <c r="E102" t="s">
        <v>1050</v>
      </c>
      <c r="F102" s="6">
        <v>2023</v>
      </c>
    </row>
    <row r="103" spans="1:6" x14ac:dyDescent="0.25">
      <c r="A103" t="s">
        <v>1039</v>
      </c>
      <c r="B103" s="15">
        <v>1202.67</v>
      </c>
      <c r="C103">
        <v>3405.8500000000004</v>
      </c>
      <c r="D103" s="15">
        <f t="shared" si="2"/>
        <v>2.8319073395029393</v>
      </c>
      <c r="E103" t="s">
        <v>1050</v>
      </c>
      <c r="F103" s="6">
        <v>2023</v>
      </c>
    </row>
    <row r="104" spans="1:6" x14ac:dyDescent="0.25">
      <c r="A104" t="s">
        <v>1040</v>
      </c>
      <c r="B104" s="15">
        <v>2653.01</v>
      </c>
      <c r="C104">
        <v>6358.4400000000005</v>
      </c>
      <c r="D104" s="15">
        <f t="shared" si="2"/>
        <v>2.3966890437653836</v>
      </c>
      <c r="E104" t="s">
        <v>1050</v>
      </c>
      <c r="F104" s="6">
        <v>2023</v>
      </c>
    </row>
    <row r="105" spans="1:6" x14ac:dyDescent="0.25">
      <c r="A105" t="s">
        <v>1041</v>
      </c>
      <c r="B105" s="15">
        <v>314.89999999999998</v>
      </c>
      <c r="C105">
        <v>1674.43</v>
      </c>
      <c r="D105" s="15">
        <f t="shared" si="2"/>
        <v>5.3173388377262629</v>
      </c>
      <c r="E105" t="s">
        <v>1050</v>
      </c>
      <c r="F105" s="6">
        <v>2023</v>
      </c>
    </row>
    <row r="106" spans="1:6" x14ac:dyDescent="0.25">
      <c r="A106" t="s">
        <v>1042</v>
      </c>
      <c r="B106" s="15">
        <v>801.43</v>
      </c>
      <c r="C106">
        <v>3548.61</v>
      </c>
      <c r="D106" s="15">
        <f t="shared" si="2"/>
        <v>4.4278477221965744</v>
      </c>
      <c r="E106" t="s">
        <v>1050</v>
      </c>
      <c r="F106" s="6">
        <v>2023</v>
      </c>
    </row>
    <row r="107" spans="1:6" x14ac:dyDescent="0.25">
      <c r="A107" t="s">
        <v>1043</v>
      </c>
      <c r="B107" s="15">
        <v>2266.6800000000003</v>
      </c>
      <c r="C107">
        <v>7089.1200000000008</v>
      </c>
      <c r="D107" s="15">
        <f t="shared" ref="D107:D155" si="3">C107/B107</f>
        <v>3.1275345439144475</v>
      </c>
      <c r="E107" t="s">
        <v>1050</v>
      </c>
      <c r="F107" s="6">
        <v>2023</v>
      </c>
    </row>
    <row r="108" spans="1:6" x14ac:dyDescent="0.25">
      <c r="A108" t="s">
        <v>1044</v>
      </c>
      <c r="B108" s="15">
        <v>613.08999999999992</v>
      </c>
      <c r="C108">
        <v>2340.0700000000002</v>
      </c>
      <c r="D108" s="15">
        <f t="shared" si="3"/>
        <v>3.816845813828313</v>
      </c>
      <c r="E108" t="s">
        <v>1050</v>
      </c>
      <c r="F108" s="6">
        <v>2023</v>
      </c>
    </row>
    <row r="109" spans="1:6" x14ac:dyDescent="0.25">
      <c r="A109" t="s">
        <v>1045</v>
      </c>
      <c r="B109" s="15">
        <v>895.69</v>
      </c>
      <c r="C109">
        <v>4642.53</v>
      </c>
      <c r="D109" s="15">
        <f t="shared" si="3"/>
        <v>5.183188379908227</v>
      </c>
      <c r="E109" t="s">
        <v>1050</v>
      </c>
      <c r="F109" s="6">
        <v>2023</v>
      </c>
    </row>
    <row r="110" spans="1:6" x14ac:dyDescent="0.25">
      <c r="A110" t="s">
        <v>282</v>
      </c>
      <c r="B110" s="15">
        <v>134</v>
      </c>
      <c r="C110">
        <v>580</v>
      </c>
      <c r="D110" s="15">
        <f t="shared" si="3"/>
        <v>4.3283582089552235</v>
      </c>
      <c r="E110" t="s">
        <v>1050</v>
      </c>
      <c r="F110" s="6">
        <v>2023</v>
      </c>
    </row>
    <row r="111" spans="1:6" x14ac:dyDescent="0.25">
      <c r="A111" t="s">
        <v>1046</v>
      </c>
      <c r="B111" s="15">
        <v>157</v>
      </c>
      <c r="C111">
        <v>422</v>
      </c>
      <c r="D111" s="15">
        <f t="shared" si="3"/>
        <v>2.6878980891719744</v>
      </c>
      <c r="E111" t="s">
        <v>1050</v>
      </c>
      <c r="F111" s="6">
        <v>2023</v>
      </c>
    </row>
    <row r="112" spans="1:6" x14ac:dyDescent="0.25">
      <c r="A112" t="s">
        <v>1026</v>
      </c>
      <c r="B112" s="15">
        <v>1382.91</v>
      </c>
      <c r="C112">
        <v>8289.34</v>
      </c>
      <c r="D112" s="15">
        <f t="shared" si="3"/>
        <v>5.9941283236074652</v>
      </c>
      <c r="E112" t="s">
        <v>1051</v>
      </c>
      <c r="F112" s="6">
        <v>2023</v>
      </c>
    </row>
    <row r="113" spans="1:6" x14ac:dyDescent="0.25">
      <c r="A113" t="s">
        <v>1027</v>
      </c>
      <c r="B113" s="15">
        <v>8495.5</v>
      </c>
      <c r="C113">
        <v>18407.259999999998</v>
      </c>
      <c r="D113" s="15">
        <f t="shared" si="3"/>
        <v>2.1667070802189392</v>
      </c>
      <c r="E113" t="s">
        <v>1051</v>
      </c>
      <c r="F113" s="6">
        <v>2023</v>
      </c>
    </row>
    <row r="114" spans="1:6" x14ac:dyDescent="0.25">
      <c r="A114" t="s">
        <v>1028</v>
      </c>
      <c r="B114" s="15">
        <v>1524.25</v>
      </c>
      <c r="C114">
        <v>4985.17</v>
      </c>
      <c r="D114" s="15">
        <f t="shared" si="3"/>
        <v>3.2705724126619651</v>
      </c>
      <c r="E114" t="s">
        <v>1051</v>
      </c>
      <c r="F114" s="6">
        <v>2023</v>
      </c>
    </row>
    <row r="115" spans="1:6" x14ac:dyDescent="0.25">
      <c r="A115" t="s">
        <v>1029</v>
      </c>
      <c r="B115" s="15">
        <v>17513.150000000001</v>
      </c>
      <c r="C115">
        <v>49415.23</v>
      </c>
      <c r="D115" s="15">
        <f t="shared" si="3"/>
        <v>2.8216071923097785</v>
      </c>
      <c r="E115" t="s">
        <v>1051</v>
      </c>
      <c r="F115" s="6">
        <v>2023</v>
      </c>
    </row>
    <row r="116" spans="1:6" x14ac:dyDescent="0.25">
      <c r="A116" t="s">
        <v>1030</v>
      </c>
      <c r="B116" s="15">
        <v>19200.54</v>
      </c>
      <c r="C116">
        <v>66739.37</v>
      </c>
      <c r="D116" s="15">
        <f t="shared" si="3"/>
        <v>3.4759110941671429</v>
      </c>
      <c r="E116" t="s">
        <v>1051</v>
      </c>
      <c r="F116" s="6">
        <v>2023</v>
      </c>
    </row>
    <row r="117" spans="1:6" x14ac:dyDescent="0.25">
      <c r="A117" t="s">
        <v>1031</v>
      </c>
      <c r="B117" s="15">
        <v>222.55</v>
      </c>
      <c r="C117">
        <v>1134.9000000000001</v>
      </c>
      <c r="D117" s="15">
        <f t="shared" si="3"/>
        <v>5.0995281959110317</v>
      </c>
      <c r="E117" t="s">
        <v>1051</v>
      </c>
      <c r="F117" s="6">
        <v>2023</v>
      </c>
    </row>
    <row r="118" spans="1:6" x14ac:dyDescent="0.25">
      <c r="A118" t="s">
        <v>1032</v>
      </c>
      <c r="B118" s="15">
        <v>17406.82</v>
      </c>
      <c r="C118">
        <v>49155.11</v>
      </c>
      <c r="D118" s="15">
        <f t="shared" si="3"/>
        <v>2.8238994830761737</v>
      </c>
      <c r="E118" t="s">
        <v>1051</v>
      </c>
      <c r="F118" s="6">
        <v>2023</v>
      </c>
    </row>
    <row r="119" spans="1:6" x14ac:dyDescent="0.25">
      <c r="A119" t="s">
        <v>1033</v>
      </c>
      <c r="B119" s="15">
        <v>3786.6</v>
      </c>
      <c r="C119">
        <v>11601</v>
      </c>
      <c r="D119" s="15">
        <f t="shared" si="3"/>
        <v>3.0636983045476152</v>
      </c>
      <c r="E119" t="s">
        <v>1051</v>
      </c>
      <c r="F119" s="6">
        <v>2023</v>
      </c>
    </row>
    <row r="120" spans="1:6" x14ac:dyDescent="0.25">
      <c r="A120" t="s">
        <v>1034</v>
      </c>
      <c r="B120" s="15">
        <v>1957.36</v>
      </c>
      <c r="C120">
        <v>5903.77</v>
      </c>
      <c r="D120" s="15">
        <f t="shared" si="3"/>
        <v>3.0161901745207835</v>
      </c>
      <c r="E120" t="s">
        <v>1051</v>
      </c>
      <c r="F120" s="6">
        <v>2023</v>
      </c>
    </row>
    <row r="121" spans="1:6" x14ac:dyDescent="0.25">
      <c r="A121" t="s">
        <v>1035</v>
      </c>
      <c r="B121" s="15">
        <v>14633.97</v>
      </c>
      <c r="C121">
        <v>55209.59</v>
      </c>
      <c r="D121" s="15">
        <f t="shared" si="3"/>
        <v>3.7727007777110382</v>
      </c>
      <c r="E121" t="s">
        <v>1051</v>
      </c>
      <c r="F121" s="6">
        <v>2023</v>
      </c>
    </row>
    <row r="122" spans="1:6" x14ac:dyDescent="0.25">
      <c r="A122" t="s">
        <v>1036</v>
      </c>
      <c r="B122" s="15">
        <v>872.46</v>
      </c>
      <c r="C122">
        <v>2224.17</v>
      </c>
      <c r="D122" s="15">
        <f t="shared" si="3"/>
        <v>2.5493088508355686</v>
      </c>
      <c r="E122" t="s">
        <v>1051</v>
      </c>
      <c r="F122" s="6">
        <v>2023</v>
      </c>
    </row>
    <row r="123" spans="1:6" x14ac:dyDescent="0.25">
      <c r="A123" t="s">
        <v>1037</v>
      </c>
      <c r="B123" s="15">
        <v>2314.62</v>
      </c>
      <c r="C123">
        <v>5574.21</v>
      </c>
      <c r="D123" s="15">
        <f t="shared" si="3"/>
        <v>2.4082613992793633</v>
      </c>
      <c r="E123" t="s">
        <v>1051</v>
      </c>
      <c r="F123" s="6">
        <v>2023</v>
      </c>
    </row>
    <row r="124" spans="1:6" x14ac:dyDescent="0.25">
      <c r="A124" t="s">
        <v>1038</v>
      </c>
      <c r="B124" s="15">
        <v>642.29999999999995</v>
      </c>
      <c r="C124">
        <v>2733.36</v>
      </c>
      <c r="D124" s="15">
        <f t="shared" si="3"/>
        <v>4.2555815039701077</v>
      </c>
      <c r="E124" t="s">
        <v>1051</v>
      </c>
      <c r="F124" s="6">
        <v>2023</v>
      </c>
    </row>
    <row r="125" spans="1:6" x14ac:dyDescent="0.25">
      <c r="A125" t="s">
        <v>1039</v>
      </c>
      <c r="B125" s="15">
        <v>634.02</v>
      </c>
      <c r="C125">
        <v>1809.78</v>
      </c>
      <c r="D125" s="15">
        <f t="shared" si="3"/>
        <v>2.8544525409293082</v>
      </c>
      <c r="E125" t="s">
        <v>1051</v>
      </c>
      <c r="F125" s="6">
        <v>2023</v>
      </c>
    </row>
    <row r="126" spans="1:6" x14ac:dyDescent="0.25">
      <c r="A126" t="s">
        <v>1040</v>
      </c>
      <c r="B126" s="15">
        <v>2324.81</v>
      </c>
      <c r="C126">
        <v>5583.76</v>
      </c>
      <c r="D126" s="15">
        <f t="shared" si="3"/>
        <v>2.4018134815318244</v>
      </c>
      <c r="E126" t="s">
        <v>1051</v>
      </c>
      <c r="F126" s="6">
        <v>2023</v>
      </c>
    </row>
    <row r="127" spans="1:6" x14ac:dyDescent="0.25">
      <c r="A127" t="s">
        <v>1041</v>
      </c>
      <c r="B127" s="15">
        <v>270.92</v>
      </c>
      <c r="C127">
        <v>1455.91</v>
      </c>
      <c r="D127" s="15">
        <f t="shared" si="3"/>
        <v>5.3739480289384316</v>
      </c>
      <c r="E127" t="s">
        <v>1051</v>
      </c>
      <c r="F127" s="6">
        <v>2023</v>
      </c>
    </row>
    <row r="128" spans="1:6" x14ac:dyDescent="0.25">
      <c r="A128" t="s">
        <v>1042</v>
      </c>
      <c r="B128" s="15">
        <v>77.11</v>
      </c>
      <c r="C128">
        <v>356.31</v>
      </c>
      <c r="D128" s="15">
        <f t="shared" si="3"/>
        <v>4.6208014524704968</v>
      </c>
      <c r="E128" t="s">
        <v>1051</v>
      </c>
      <c r="F128" s="6">
        <v>2023</v>
      </c>
    </row>
    <row r="129" spans="1:6" x14ac:dyDescent="0.25">
      <c r="A129" t="s">
        <v>1043</v>
      </c>
      <c r="B129" s="15">
        <v>1402.69</v>
      </c>
      <c r="C129">
        <v>4323.78</v>
      </c>
      <c r="D129" s="15">
        <f t="shared" si="3"/>
        <v>3.0824914984779244</v>
      </c>
      <c r="E129" t="s">
        <v>1051</v>
      </c>
      <c r="F129" s="6">
        <v>2023</v>
      </c>
    </row>
    <row r="130" spans="1:6" x14ac:dyDescent="0.25">
      <c r="A130" t="s">
        <v>1044</v>
      </c>
      <c r="B130" s="15">
        <v>1160.33</v>
      </c>
      <c r="C130">
        <v>4360.1499999999996</v>
      </c>
      <c r="D130" s="15">
        <f t="shared" si="3"/>
        <v>3.7576810045418112</v>
      </c>
      <c r="E130" t="s">
        <v>1051</v>
      </c>
      <c r="F130" s="6">
        <v>2023</v>
      </c>
    </row>
    <row r="131" spans="1:6" x14ac:dyDescent="0.25">
      <c r="A131" t="s">
        <v>1045</v>
      </c>
      <c r="B131" s="15">
        <v>906.04</v>
      </c>
      <c r="C131">
        <v>4698.1400000000003</v>
      </c>
      <c r="D131" s="15">
        <f t="shared" si="3"/>
        <v>5.1853560549203133</v>
      </c>
      <c r="E131" t="s">
        <v>1051</v>
      </c>
      <c r="F131" s="6">
        <v>2023</v>
      </c>
    </row>
    <row r="132" spans="1:6" x14ac:dyDescent="0.25">
      <c r="A132" t="s">
        <v>282</v>
      </c>
      <c r="B132" s="15">
        <v>236.15</v>
      </c>
      <c r="C132">
        <v>1011.26</v>
      </c>
      <c r="D132" s="15">
        <f t="shared" si="3"/>
        <v>4.2822782130002119</v>
      </c>
      <c r="E132" t="s">
        <v>1051</v>
      </c>
      <c r="F132" s="6">
        <v>2023</v>
      </c>
    </row>
    <row r="133" spans="1:6" x14ac:dyDescent="0.25">
      <c r="A133" t="s">
        <v>1046</v>
      </c>
      <c r="B133" s="15">
        <v>177.85</v>
      </c>
      <c r="C133">
        <v>479.27</v>
      </c>
      <c r="D133" s="15">
        <f t="shared" si="3"/>
        <v>2.6947989879111609</v>
      </c>
      <c r="E133" t="s">
        <v>1051</v>
      </c>
      <c r="F133" s="6">
        <v>2023</v>
      </c>
    </row>
    <row r="134" spans="1:6" x14ac:dyDescent="0.25">
      <c r="A134" t="s">
        <v>1026</v>
      </c>
      <c r="B134" s="15">
        <v>11424.22</v>
      </c>
      <c r="C134">
        <v>54878.34</v>
      </c>
      <c r="D134" s="15">
        <f t="shared" si="3"/>
        <v>4.8036837525887979</v>
      </c>
      <c r="E134" t="s">
        <v>1057</v>
      </c>
      <c r="F134" s="6">
        <v>2023</v>
      </c>
    </row>
    <row r="135" spans="1:6" x14ac:dyDescent="0.25">
      <c r="A135" t="s">
        <v>1027</v>
      </c>
      <c r="B135" s="15">
        <v>8044.5</v>
      </c>
      <c r="C135">
        <v>17579.080000000002</v>
      </c>
      <c r="D135" s="15">
        <f t="shared" si="3"/>
        <v>2.1852296600161605</v>
      </c>
      <c r="E135" t="s">
        <v>1057</v>
      </c>
      <c r="F135" s="6">
        <v>2023</v>
      </c>
    </row>
    <row r="136" spans="1:6" x14ac:dyDescent="0.25">
      <c r="A136" t="s">
        <v>1028</v>
      </c>
      <c r="B136" s="15">
        <v>1766.51</v>
      </c>
      <c r="C136">
        <v>5692.2</v>
      </c>
      <c r="D136" s="15">
        <f t="shared" si="3"/>
        <v>3.2222857498683846</v>
      </c>
      <c r="E136" t="s">
        <v>1057</v>
      </c>
      <c r="F136" s="6">
        <v>2023</v>
      </c>
    </row>
    <row r="137" spans="1:6" x14ac:dyDescent="0.25">
      <c r="A137" t="s">
        <v>1029</v>
      </c>
      <c r="B137" s="15">
        <v>19131.2</v>
      </c>
      <c r="C137">
        <v>51334.31</v>
      </c>
      <c r="D137" s="15">
        <f t="shared" si="3"/>
        <v>2.6832770552814247</v>
      </c>
      <c r="E137" t="s">
        <v>1057</v>
      </c>
      <c r="F137" s="6">
        <v>2023</v>
      </c>
    </row>
    <row r="138" spans="1:6" x14ac:dyDescent="0.25">
      <c r="A138" t="s">
        <v>1030</v>
      </c>
      <c r="B138" s="15">
        <v>19224.669999999998</v>
      </c>
      <c r="C138">
        <v>67616.47</v>
      </c>
      <c r="D138" s="15">
        <f t="shared" si="3"/>
        <v>3.5171719462544746</v>
      </c>
      <c r="E138" t="s">
        <v>1057</v>
      </c>
      <c r="F138" s="6">
        <v>2023</v>
      </c>
    </row>
    <row r="139" spans="1:6" x14ac:dyDescent="0.25">
      <c r="A139" t="s">
        <v>1031</v>
      </c>
      <c r="B139" s="15">
        <v>169.58</v>
      </c>
      <c r="C139">
        <v>884.53</v>
      </c>
      <c r="D139" s="15">
        <f t="shared" si="3"/>
        <v>5.2160042457836999</v>
      </c>
      <c r="E139" t="s">
        <v>1057</v>
      </c>
      <c r="F139" s="6">
        <v>2023</v>
      </c>
    </row>
    <row r="140" spans="1:6" x14ac:dyDescent="0.25">
      <c r="A140" t="s">
        <v>1032</v>
      </c>
      <c r="B140" s="15">
        <v>17746.88</v>
      </c>
      <c r="C140">
        <v>49326.33</v>
      </c>
      <c r="D140" s="15">
        <f t="shared" si="3"/>
        <v>2.7794367235254871</v>
      </c>
      <c r="E140" t="s">
        <v>1057</v>
      </c>
      <c r="F140" s="6">
        <v>2023</v>
      </c>
    </row>
    <row r="141" spans="1:6" x14ac:dyDescent="0.25">
      <c r="A141" t="s">
        <v>1033</v>
      </c>
      <c r="B141" s="15">
        <v>3840.27</v>
      </c>
      <c r="C141">
        <v>11858.85</v>
      </c>
      <c r="D141" s="15">
        <f t="shared" si="3"/>
        <v>3.0880250607379169</v>
      </c>
      <c r="E141" t="s">
        <v>1057</v>
      </c>
      <c r="F141" s="6">
        <v>2023</v>
      </c>
    </row>
    <row r="142" spans="1:6" x14ac:dyDescent="0.25">
      <c r="A142" t="s">
        <v>1034</v>
      </c>
      <c r="B142" s="15">
        <v>951.26</v>
      </c>
      <c r="C142">
        <v>3065.63</v>
      </c>
      <c r="D142" s="15">
        <f t="shared" si="3"/>
        <v>3.2227046233416732</v>
      </c>
      <c r="E142" t="s">
        <v>1057</v>
      </c>
      <c r="F142" s="6">
        <v>2023</v>
      </c>
    </row>
    <row r="143" spans="1:6" x14ac:dyDescent="0.25">
      <c r="A143" t="s">
        <v>1035</v>
      </c>
      <c r="B143" s="15">
        <v>18339.88</v>
      </c>
      <c r="C143">
        <v>68593.61</v>
      </c>
      <c r="D143" s="15">
        <f t="shared" si="3"/>
        <v>3.7401340684889974</v>
      </c>
      <c r="E143" t="s">
        <v>1057</v>
      </c>
      <c r="F143" s="6">
        <v>2023</v>
      </c>
    </row>
    <row r="144" spans="1:6" x14ac:dyDescent="0.25">
      <c r="A144" t="s">
        <v>1036</v>
      </c>
      <c r="B144" s="15">
        <v>1634.96</v>
      </c>
      <c r="C144">
        <v>4005.7</v>
      </c>
      <c r="D144" s="15">
        <f t="shared" si="3"/>
        <v>2.4500293585164163</v>
      </c>
      <c r="E144" t="s">
        <v>1057</v>
      </c>
      <c r="F144" s="6">
        <v>2023</v>
      </c>
    </row>
    <row r="145" spans="1:6" x14ac:dyDescent="0.25">
      <c r="A145" t="s">
        <v>1037</v>
      </c>
      <c r="B145" s="15">
        <v>2162.1999999999998</v>
      </c>
      <c r="C145">
        <v>5171.68</v>
      </c>
      <c r="D145" s="15">
        <f t="shared" si="3"/>
        <v>2.3918601424475074</v>
      </c>
      <c r="E145" t="s">
        <v>1057</v>
      </c>
      <c r="F145" s="6">
        <v>2023</v>
      </c>
    </row>
    <row r="146" spans="1:6" x14ac:dyDescent="0.25">
      <c r="A146" t="s">
        <v>1038</v>
      </c>
      <c r="B146" s="15">
        <v>673.28</v>
      </c>
      <c r="C146">
        <v>2855.39</v>
      </c>
      <c r="D146" s="15">
        <f t="shared" si="3"/>
        <v>4.2410141397338403</v>
      </c>
      <c r="E146" t="s">
        <v>1057</v>
      </c>
      <c r="F146" s="6">
        <v>2023</v>
      </c>
    </row>
    <row r="147" spans="1:6" x14ac:dyDescent="0.25">
      <c r="A147" t="s">
        <v>1039</v>
      </c>
      <c r="B147" s="15">
        <v>551.48</v>
      </c>
      <c r="C147">
        <v>1572.75</v>
      </c>
      <c r="D147" s="15">
        <f t="shared" si="3"/>
        <v>2.8518713280626677</v>
      </c>
      <c r="E147" t="s">
        <v>1057</v>
      </c>
      <c r="F147" s="6">
        <v>2023</v>
      </c>
    </row>
    <row r="148" spans="1:6" x14ac:dyDescent="0.25">
      <c r="A148" t="s">
        <v>1040</v>
      </c>
      <c r="B148" s="15">
        <v>1829.27</v>
      </c>
      <c r="C148">
        <v>4400.49</v>
      </c>
      <c r="D148" s="15">
        <f t="shared" si="3"/>
        <v>2.4055989547743089</v>
      </c>
      <c r="E148" t="s">
        <v>1057</v>
      </c>
      <c r="F148" s="6">
        <v>2023</v>
      </c>
    </row>
    <row r="149" spans="1:6" x14ac:dyDescent="0.25">
      <c r="A149" t="s">
        <v>1041</v>
      </c>
      <c r="B149" s="15">
        <v>228.88</v>
      </c>
      <c r="C149">
        <v>1245.3800000000001</v>
      </c>
      <c r="D149" s="15">
        <f t="shared" si="3"/>
        <v>5.4411918909472217</v>
      </c>
      <c r="E149" t="s">
        <v>1057</v>
      </c>
      <c r="F149" s="6">
        <v>2023</v>
      </c>
    </row>
    <row r="150" spans="1:6" x14ac:dyDescent="0.25">
      <c r="A150" t="s">
        <v>1042</v>
      </c>
      <c r="B150" s="15">
        <v>302.36</v>
      </c>
      <c r="C150">
        <v>1370.56</v>
      </c>
      <c r="D150" s="15">
        <f t="shared" si="3"/>
        <v>4.5328747188781584</v>
      </c>
      <c r="E150" t="s">
        <v>1057</v>
      </c>
      <c r="F150" s="6">
        <v>2023</v>
      </c>
    </row>
    <row r="151" spans="1:6" x14ac:dyDescent="0.25">
      <c r="A151" t="s">
        <v>1043</v>
      </c>
      <c r="B151" s="15">
        <v>1962.11</v>
      </c>
      <c r="C151">
        <v>6043.65</v>
      </c>
      <c r="D151" s="15">
        <f t="shared" si="3"/>
        <v>3.0801789909841957</v>
      </c>
      <c r="E151" t="s">
        <v>1057</v>
      </c>
      <c r="F151" s="6">
        <v>2023</v>
      </c>
    </row>
    <row r="152" spans="1:6" x14ac:dyDescent="0.25">
      <c r="A152" t="s">
        <v>1044</v>
      </c>
      <c r="B152" s="15">
        <v>852.44</v>
      </c>
      <c r="C152">
        <v>3247.12</v>
      </c>
      <c r="D152" s="15">
        <f t="shared" si="3"/>
        <v>3.8092065130683679</v>
      </c>
      <c r="E152" t="s">
        <v>1057</v>
      </c>
      <c r="F152" s="6">
        <v>2023</v>
      </c>
    </row>
    <row r="153" spans="1:6" x14ac:dyDescent="0.25">
      <c r="A153" t="s">
        <v>1045</v>
      </c>
      <c r="B153" s="15">
        <v>801.59</v>
      </c>
      <c r="C153">
        <v>4117.1400000000003</v>
      </c>
      <c r="D153" s="15">
        <f t="shared" si="3"/>
        <v>5.1362167691712726</v>
      </c>
      <c r="E153" t="s">
        <v>1057</v>
      </c>
      <c r="F153" s="6">
        <v>2023</v>
      </c>
    </row>
    <row r="154" spans="1:6" x14ac:dyDescent="0.25">
      <c r="A154" t="s">
        <v>282</v>
      </c>
      <c r="B154" s="15">
        <v>273.38</v>
      </c>
      <c r="C154">
        <v>1173.22</v>
      </c>
      <c r="D154" s="15">
        <f t="shared" si="3"/>
        <v>4.2915355914843811</v>
      </c>
      <c r="E154" t="s">
        <v>1057</v>
      </c>
      <c r="F154" s="6">
        <v>2023</v>
      </c>
    </row>
    <row r="155" spans="1:6" x14ac:dyDescent="0.25">
      <c r="A155" t="s">
        <v>1046</v>
      </c>
      <c r="B155" s="15">
        <v>189.4</v>
      </c>
      <c r="C155">
        <v>511.52</v>
      </c>
      <c r="D155" s="15">
        <f t="shared" si="3"/>
        <v>2.7007391763463566</v>
      </c>
      <c r="E155" t="s">
        <v>1057</v>
      </c>
      <c r="F155" s="6">
        <v>2023</v>
      </c>
    </row>
    <row r="156" spans="1:6" x14ac:dyDescent="0.25">
      <c r="A156" t="s">
        <v>1026</v>
      </c>
      <c r="B156" s="15">
        <v>2225.4</v>
      </c>
      <c r="C156">
        <v>13189.689999999999</v>
      </c>
      <c r="D156" s="15">
        <f t="shared" ref="D156:D242" si="4">C156/B156</f>
        <v>5.9268850543722467</v>
      </c>
      <c r="E156" t="s">
        <v>1052</v>
      </c>
      <c r="F156" s="6">
        <v>2024</v>
      </c>
    </row>
    <row r="157" spans="1:6" x14ac:dyDescent="0.25">
      <c r="A157" t="s">
        <v>1026</v>
      </c>
      <c r="B157" s="15">
        <v>2146.44</v>
      </c>
      <c r="C157">
        <v>12541.47</v>
      </c>
      <c r="D157" s="15">
        <f t="shared" si="4"/>
        <v>5.8429166433722814</v>
      </c>
      <c r="E157" t="s">
        <v>1053</v>
      </c>
      <c r="F157" s="6">
        <v>2024</v>
      </c>
    </row>
    <row r="158" spans="1:6" x14ac:dyDescent="0.25">
      <c r="A158" t="s">
        <v>1026</v>
      </c>
      <c r="B158" s="15">
        <v>2728.84</v>
      </c>
      <c r="C158">
        <v>15614.560000000001</v>
      </c>
      <c r="D158" s="15">
        <f t="shared" si="4"/>
        <v>5.7220503950396511</v>
      </c>
      <c r="E158" t="s">
        <v>1054</v>
      </c>
      <c r="F158" s="6">
        <v>2024</v>
      </c>
    </row>
    <row r="159" spans="1:6" x14ac:dyDescent="0.25">
      <c r="A159" t="s">
        <v>1026</v>
      </c>
      <c r="B159" s="15">
        <v>1935.0500000000002</v>
      </c>
      <c r="C159">
        <v>11122.550000000001</v>
      </c>
      <c r="D159" s="15">
        <f t="shared" si="4"/>
        <v>5.7479393297330814</v>
      </c>
      <c r="E159" t="s">
        <v>1055</v>
      </c>
      <c r="F159" s="6">
        <v>2024</v>
      </c>
    </row>
    <row r="160" spans="1:6" x14ac:dyDescent="0.25">
      <c r="A160" t="s">
        <v>1026</v>
      </c>
      <c r="B160" s="15">
        <v>2163.1030000000001</v>
      </c>
      <c r="C160">
        <v>12345.130000000001</v>
      </c>
      <c r="D160" s="15">
        <f t="shared" si="4"/>
        <v>5.7071392347012608</v>
      </c>
      <c r="E160" t="s">
        <v>1056</v>
      </c>
      <c r="F160" s="6">
        <v>2024</v>
      </c>
    </row>
    <row r="161" spans="1:6" x14ac:dyDescent="0.25">
      <c r="A161" t="s">
        <v>1026</v>
      </c>
      <c r="B161" s="15">
        <v>2064.84</v>
      </c>
      <c r="C161">
        <v>12055.46</v>
      </c>
      <c r="D161" s="15">
        <f t="shared" si="4"/>
        <v>5.8384475310435668</v>
      </c>
      <c r="E161" t="s">
        <v>1063</v>
      </c>
      <c r="F161" s="6">
        <v>2024</v>
      </c>
    </row>
    <row r="162" spans="1:6" x14ac:dyDescent="0.25">
      <c r="A162" t="s">
        <v>1026</v>
      </c>
      <c r="B162" s="15">
        <v>2254.25</v>
      </c>
      <c r="C162">
        <v>12253.11</v>
      </c>
      <c r="D162" s="15">
        <f t="shared" si="4"/>
        <v>5.4355594987246318</v>
      </c>
      <c r="E162" t="s">
        <v>1064</v>
      </c>
      <c r="F162" s="6">
        <v>2024</v>
      </c>
    </row>
    <row r="163" spans="1:6" x14ac:dyDescent="0.25">
      <c r="A163" t="s">
        <v>1026</v>
      </c>
      <c r="B163" s="15">
        <v>3803.75</v>
      </c>
      <c r="C163">
        <v>20987.049999999992</v>
      </c>
      <c r="D163" s="15">
        <f t="shared" si="4"/>
        <v>5.5174630299046976</v>
      </c>
      <c r="E163" t="s">
        <v>1052</v>
      </c>
      <c r="F163" s="6">
        <v>2025</v>
      </c>
    </row>
    <row r="164" spans="1:6" x14ac:dyDescent="0.25">
      <c r="A164" t="s">
        <v>1026</v>
      </c>
      <c r="B164" s="15">
        <v>3346.6520000000005</v>
      </c>
      <c r="C164">
        <v>19346.7</v>
      </c>
      <c r="D164" s="15">
        <f t="shared" si="4"/>
        <v>5.7809117888564447</v>
      </c>
      <c r="E164" t="s">
        <v>1053</v>
      </c>
      <c r="F164" s="6">
        <v>2025</v>
      </c>
    </row>
    <row r="165" spans="1:6" x14ac:dyDescent="0.25">
      <c r="A165" t="s">
        <v>1026</v>
      </c>
      <c r="B165" s="15">
        <v>1916.2450000000001</v>
      </c>
      <c r="C165">
        <v>11400.88</v>
      </c>
      <c r="D165" s="15">
        <f t="shared" si="4"/>
        <v>5.9495941280994851</v>
      </c>
      <c r="E165" t="s">
        <v>1054</v>
      </c>
      <c r="F165" s="6">
        <v>2025</v>
      </c>
    </row>
    <row r="166" spans="1:6" x14ac:dyDescent="0.25">
      <c r="A166" t="s">
        <v>1026</v>
      </c>
      <c r="B166" s="15">
        <v>1294.4770000000001</v>
      </c>
      <c r="C166">
        <v>8579.7100000000009</v>
      </c>
      <c r="D166" s="15">
        <f t="shared" si="4"/>
        <v>6.6279354519238272</v>
      </c>
      <c r="E166" t="s">
        <v>1055</v>
      </c>
      <c r="F166" s="6">
        <v>2025</v>
      </c>
    </row>
    <row r="167" spans="1:6" x14ac:dyDescent="0.25">
      <c r="A167" t="s">
        <v>1026</v>
      </c>
      <c r="B167" s="15">
        <v>1544.393</v>
      </c>
      <c r="C167">
        <v>9895.6600000000017</v>
      </c>
      <c r="D167" s="15">
        <f t="shared" si="4"/>
        <v>6.4074752993570945</v>
      </c>
      <c r="E167" t="s">
        <v>1056</v>
      </c>
      <c r="F167" s="6">
        <v>2025</v>
      </c>
    </row>
    <row r="168" spans="1:6" x14ac:dyDescent="0.25">
      <c r="A168" t="s">
        <v>1026</v>
      </c>
      <c r="B168" s="15">
        <v>999.67</v>
      </c>
      <c r="C168">
        <v>6667.91</v>
      </c>
      <c r="D168" s="15">
        <f t="shared" si="4"/>
        <v>6.6701111366751027</v>
      </c>
      <c r="E168" t="s">
        <v>1063</v>
      </c>
      <c r="F168" s="6">
        <v>2025</v>
      </c>
    </row>
    <row r="169" spans="1:6" x14ac:dyDescent="0.25">
      <c r="A169" t="s">
        <v>1027</v>
      </c>
      <c r="B169" s="15">
        <v>7586.25</v>
      </c>
      <c r="C169">
        <v>17047.71</v>
      </c>
      <c r="D169" s="15">
        <f t="shared" si="4"/>
        <v>2.2471853682649527</v>
      </c>
      <c r="E169" t="s">
        <v>1052</v>
      </c>
      <c r="F169" s="6">
        <v>2024</v>
      </c>
    </row>
    <row r="170" spans="1:6" x14ac:dyDescent="0.25">
      <c r="A170" t="s">
        <v>1027</v>
      </c>
      <c r="B170" s="15">
        <v>6813.5</v>
      </c>
      <c r="C170">
        <v>15024.460000000001</v>
      </c>
      <c r="D170" s="15">
        <f t="shared" si="4"/>
        <v>2.2051016364570342</v>
      </c>
      <c r="E170" t="s">
        <v>1053</v>
      </c>
      <c r="F170" s="6">
        <v>2024</v>
      </c>
    </row>
    <row r="171" spans="1:6" x14ac:dyDescent="0.25">
      <c r="A171" t="s">
        <v>1027</v>
      </c>
      <c r="B171" s="15">
        <v>7205</v>
      </c>
      <c r="C171">
        <v>15898.17</v>
      </c>
      <c r="D171" s="15">
        <f t="shared" si="4"/>
        <v>2.2065468424705066</v>
      </c>
      <c r="E171" t="s">
        <v>1054</v>
      </c>
      <c r="F171" s="6">
        <v>2024</v>
      </c>
    </row>
    <row r="172" spans="1:6" x14ac:dyDescent="0.25">
      <c r="A172" t="s">
        <v>1027</v>
      </c>
      <c r="B172" s="15">
        <v>6193</v>
      </c>
      <c r="C172">
        <v>13581.54</v>
      </c>
      <c r="D172" s="15">
        <f t="shared" si="4"/>
        <v>2.1930469885354436</v>
      </c>
      <c r="E172" t="s">
        <v>1055</v>
      </c>
      <c r="F172" s="6">
        <v>2024</v>
      </c>
    </row>
    <row r="173" spans="1:6" x14ac:dyDescent="0.25">
      <c r="A173" t="s">
        <v>1027</v>
      </c>
      <c r="B173" s="15">
        <v>7788.25</v>
      </c>
      <c r="C173">
        <v>17131.02</v>
      </c>
      <c r="D173" s="15">
        <f t="shared" si="4"/>
        <v>2.1995981125413282</v>
      </c>
      <c r="E173" t="s">
        <v>1056</v>
      </c>
      <c r="F173" s="6">
        <v>2024</v>
      </c>
    </row>
    <row r="174" spans="1:6" x14ac:dyDescent="0.25">
      <c r="A174" t="s">
        <v>1027</v>
      </c>
      <c r="B174" s="15">
        <v>5162</v>
      </c>
      <c r="C174">
        <v>11809.59</v>
      </c>
      <c r="D174" s="15">
        <f t="shared" si="4"/>
        <v>2.2877934908950022</v>
      </c>
      <c r="E174" t="s">
        <v>1063</v>
      </c>
      <c r="F174" s="6">
        <v>2024</v>
      </c>
    </row>
    <row r="175" spans="1:6" x14ac:dyDescent="0.25">
      <c r="A175" t="s">
        <v>1027</v>
      </c>
      <c r="B175" s="15">
        <v>5814.8</v>
      </c>
      <c r="C175">
        <v>13456.04</v>
      </c>
      <c r="D175" s="15">
        <f t="shared" si="4"/>
        <v>2.3141019467565522</v>
      </c>
      <c r="E175" t="s">
        <v>1064</v>
      </c>
      <c r="F175" s="6">
        <v>2024</v>
      </c>
    </row>
    <row r="176" spans="1:6" x14ac:dyDescent="0.25">
      <c r="A176" t="s">
        <v>1027</v>
      </c>
      <c r="B176" s="15">
        <v>5323.5</v>
      </c>
      <c r="C176">
        <v>12733.26</v>
      </c>
      <c r="D176" s="15">
        <f t="shared" si="4"/>
        <v>2.3918963088193856</v>
      </c>
      <c r="E176" t="s">
        <v>1052</v>
      </c>
      <c r="F176" s="6">
        <v>2025</v>
      </c>
    </row>
    <row r="177" spans="1:6" x14ac:dyDescent="0.25">
      <c r="A177" t="s">
        <v>1027</v>
      </c>
      <c r="B177" s="15">
        <v>4383.5</v>
      </c>
      <c r="C177">
        <v>10748.21</v>
      </c>
      <c r="D177" s="15">
        <f t="shared" si="4"/>
        <v>2.4519698870765367</v>
      </c>
      <c r="E177" t="s">
        <v>1053</v>
      </c>
      <c r="F177" s="6">
        <v>2025</v>
      </c>
    </row>
    <row r="178" spans="1:6" x14ac:dyDescent="0.25">
      <c r="A178" t="s">
        <v>1027</v>
      </c>
      <c r="B178" s="15">
        <v>4301.03</v>
      </c>
      <c r="C178">
        <v>9941.41</v>
      </c>
      <c r="D178" s="15">
        <f t="shared" si="4"/>
        <v>2.3114021525076551</v>
      </c>
      <c r="E178" t="s">
        <v>1054</v>
      </c>
      <c r="F178" s="6">
        <v>2025</v>
      </c>
    </row>
    <row r="179" spans="1:6" x14ac:dyDescent="0.25">
      <c r="A179" t="s">
        <v>1027</v>
      </c>
      <c r="B179" s="15">
        <v>3664.92</v>
      </c>
      <c r="C179">
        <v>8955.91</v>
      </c>
      <c r="D179" s="15">
        <f t="shared" si="4"/>
        <v>2.443684991759711</v>
      </c>
      <c r="E179" t="s">
        <v>1055</v>
      </c>
      <c r="F179" s="6">
        <v>2025</v>
      </c>
    </row>
    <row r="180" spans="1:6" x14ac:dyDescent="0.25">
      <c r="A180" t="s">
        <v>1027</v>
      </c>
      <c r="B180" s="15">
        <v>4208.96</v>
      </c>
      <c r="C180">
        <v>10002.42</v>
      </c>
      <c r="D180" s="15">
        <f t="shared" si="4"/>
        <v>2.3764587926708733</v>
      </c>
      <c r="E180" t="s">
        <v>1056</v>
      </c>
      <c r="F180" s="6">
        <v>2025</v>
      </c>
    </row>
    <row r="181" spans="1:6" x14ac:dyDescent="0.25">
      <c r="A181" t="s">
        <v>1027</v>
      </c>
      <c r="B181" s="15">
        <v>3438.38</v>
      </c>
      <c r="C181">
        <v>7976.21</v>
      </c>
      <c r="D181" s="15">
        <f t="shared" si="4"/>
        <v>2.3197581419156696</v>
      </c>
      <c r="E181" t="s">
        <v>1063</v>
      </c>
      <c r="F181" s="6">
        <v>2025</v>
      </c>
    </row>
    <row r="182" spans="1:6" x14ac:dyDescent="0.25">
      <c r="A182" t="s">
        <v>1027</v>
      </c>
      <c r="B182" s="15">
        <v>5134.78</v>
      </c>
      <c r="C182">
        <v>11237.89</v>
      </c>
      <c r="D182" s="15">
        <f t="shared" si="4"/>
        <v>2.1885825682891964</v>
      </c>
      <c r="E182" t="s">
        <v>1064</v>
      </c>
      <c r="F182" s="6">
        <v>2025</v>
      </c>
    </row>
    <row r="183" spans="1:6" x14ac:dyDescent="0.25">
      <c r="A183" t="s">
        <v>1028</v>
      </c>
      <c r="B183" s="15">
        <v>4993.5599999999995</v>
      </c>
      <c r="C183">
        <v>15741.949999999999</v>
      </c>
      <c r="D183" s="15">
        <f t="shared" si="4"/>
        <v>3.1524503560586035</v>
      </c>
      <c r="E183" t="s">
        <v>1052</v>
      </c>
      <c r="F183" s="6">
        <v>2024</v>
      </c>
    </row>
    <row r="184" spans="1:6" x14ac:dyDescent="0.25">
      <c r="A184" t="s">
        <v>1028</v>
      </c>
      <c r="B184" s="15">
        <v>4839.07</v>
      </c>
      <c r="C184">
        <v>15506.130000000001</v>
      </c>
      <c r="D184" s="15">
        <f t="shared" si="4"/>
        <v>3.2043615818742035</v>
      </c>
      <c r="E184" t="s">
        <v>1053</v>
      </c>
      <c r="F184" s="6">
        <v>2024</v>
      </c>
    </row>
    <row r="185" spans="1:6" x14ac:dyDescent="0.25">
      <c r="A185" t="s">
        <v>1028</v>
      </c>
      <c r="B185" s="15">
        <v>1431.42</v>
      </c>
      <c r="C185">
        <v>4726.63</v>
      </c>
      <c r="D185" s="15">
        <f t="shared" si="4"/>
        <v>3.3020566989423088</v>
      </c>
      <c r="E185" t="s">
        <v>1054</v>
      </c>
      <c r="F185" s="6">
        <v>2024</v>
      </c>
    </row>
    <row r="186" spans="1:6" x14ac:dyDescent="0.25">
      <c r="A186" t="s">
        <v>1028</v>
      </c>
      <c r="B186" s="15">
        <v>1706.6999999999998</v>
      </c>
      <c r="C186">
        <v>5536.3099999999995</v>
      </c>
      <c r="D186" s="15">
        <f t="shared" si="4"/>
        <v>3.2438682838225819</v>
      </c>
      <c r="E186" t="s">
        <v>1055</v>
      </c>
      <c r="F186" s="6">
        <v>2024</v>
      </c>
    </row>
    <row r="187" spans="1:6" x14ac:dyDescent="0.25">
      <c r="A187" t="s">
        <v>1028</v>
      </c>
      <c r="B187" s="15">
        <v>2018.24</v>
      </c>
      <c r="C187">
        <v>6514.6299999999992</v>
      </c>
      <c r="D187" s="15">
        <f t="shared" si="4"/>
        <v>3.2278767639131121</v>
      </c>
      <c r="E187" t="s">
        <v>1056</v>
      </c>
      <c r="F187" s="6">
        <v>2024</v>
      </c>
    </row>
    <row r="188" spans="1:6" x14ac:dyDescent="0.25">
      <c r="A188" t="s">
        <v>1028</v>
      </c>
      <c r="B188" s="15">
        <v>1380.79</v>
      </c>
      <c r="C188">
        <v>4643.84</v>
      </c>
      <c r="D188" s="15">
        <f t="shared" si="4"/>
        <v>3.3631761527821031</v>
      </c>
      <c r="E188" t="s">
        <v>1063</v>
      </c>
      <c r="F188" s="6">
        <v>2024</v>
      </c>
    </row>
    <row r="189" spans="1:6" x14ac:dyDescent="0.25">
      <c r="A189" t="s">
        <v>1028</v>
      </c>
      <c r="B189" s="15">
        <v>1964.18</v>
      </c>
      <c r="C189">
        <v>6444.59</v>
      </c>
      <c r="D189" s="15">
        <f t="shared" si="4"/>
        <v>3.2810587624352148</v>
      </c>
      <c r="E189" t="s">
        <v>1064</v>
      </c>
      <c r="F189" s="6">
        <v>2024</v>
      </c>
    </row>
    <row r="190" spans="1:6" x14ac:dyDescent="0.25">
      <c r="A190" t="s">
        <v>1028</v>
      </c>
      <c r="B190" s="15">
        <v>2934.13</v>
      </c>
      <c r="C190">
        <v>9508.6200000000008</v>
      </c>
      <c r="D190" s="15">
        <f t="shared" si="4"/>
        <v>3.2406948567377727</v>
      </c>
      <c r="E190" t="s">
        <v>1052</v>
      </c>
      <c r="F190" s="6">
        <v>2025</v>
      </c>
    </row>
    <row r="191" spans="1:6" x14ac:dyDescent="0.25">
      <c r="A191" t="s">
        <v>1028</v>
      </c>
      <c r="B191" s="15">
        <v>5435.4740000000002</v>
      </c>
      <c r="C191">
        <v>18030.169999999998</v>
      </c>
      <c r="D191" s="15">
        <f t="shared" si="4"/>
        <v>3.317129288080487</v>
      </c>
      <c r="E191" t="s">
        <v>1053</v>
      </c>
      <c r="F191" s="6">
        <v>2025</v>
      </c>
    </row>
    <row r="192" spans="1:6" x14ac:dyDescent="0.25">
      <c r="A192" t="s">
        <v>1028</v>
      </c>
      <c r="B192" s="15">
        <v>1879.7529999999999</v>
      </c>
      <c r="C192">
        <v>6193.71</v>
      </c>
      <c r="D192" s="15">
        <f t="shared" si="4"/>
        <v>3.2949594973382141</v>
      </c>
      <c r="E192" t="s">
        <v>1054</v>
      </c>
      <c r="F192" s="6">
        <v>2025</v>
      </c>
    </row>
    <row r="193" spans="1:6" x14ac:dyDescent="0.25">
      <c r="A193" t="s">
        <v>1028</v>
      </c>
      <c r="B193" s="15">
        <v>1155.7329999999999</v>
      </c>
      <c r="C193">
        <v>3916.57</v>
      </c>
      <c r="D193" s="15">
        <f t="shared" si="4"/>
        <v>3.3888190438449022</v>
      </c>
      <c r="E193" t="s">
        <v>1055</v>
      </c>
      <c r="F193" s="6">
        <v>2025</v>
      </c>
    </row>
    <row r="194" spans="1:6" x14ac:dyDescent="0.25">
      <c r="A194" t="s">
        <v>1028</v>
      </c>
      <c r="B194" s="15">
        <v>1524.105</v>
      </c>
      <c r="C194">
        <v>5146.3600000000006</v>
      </c>
      <c r="D194" s="15">
        <f t="shared" si="4"/>
        <v>3.3766439976248357</v>
      </c>
      <c r="E194" t="s">
        <v>1056</v>
      </c>
      <c r="F194" s="6">
        <v>2025</v>
      </c>
    </row>
    <row r="195" spans="1:6" x14ac:dyDescent="0.25">
      <c r="A195" t="s">
        <v>1028</v>
      </c>
      <c r="B195" s="15">
        <v>1128.17</v>
      </c>
      <c r="C195">
        <v>3819.71</v>
      </c>
      <c r="D195" s="15">
        <f t="shared" si="4"/>
        <v>3.3857574656301797</v>
      </c>
      <c r="E195" t="s">
        <v>1063</v>
      </c>
      <c r="F195" s="6">
        <v>2025</v>
      </c>
    </row>
    <row r="196" spans="1:6" x14ac:dyDescent="0.25">
      <c r="A196" t="s">
        <v>1028</v>
      </c>
      <c r="B196" s="15">
        <v>1556.01</v>
      </c>
      <c r="C196">
        <v>5217.32</v>
      </c>
      <c r="D196" s="15">
        <f t="shared" si="4"/>
        <v>3.3530118701036624</v>
      </c>
      <c r="E196" t="s">
        <v>1064</v>
      </c>
      <c r="F196" s="6">
        <v>2025</v>
      </c>
    </row>
    <row r="197" spans="1:6" x14ac:dyDescent="0.25">
      <c r="A197" t="s">
        <v>1029</v>
      </c>
      <c r="B197" s="15">
        <v>22087</v>
      </c>
      <c r="C197">
        <v>61082.789999999994</v>
      </c>
      <c r="D197" s="15">
        <f t="shared" si="4"/>
        <v>2.7655539457599492</v>
      </c>
      <c r="E197" t="s">
        <v>1052</v>
      </c>
      <c r="F197" s="6">
        <v>2024</v>
      </c>
    </row>
    <row r="198" spans="1:6" x14ac:dyDescent="0.25">
      <c r="A198" t="s">
        <v>1029</v>
      </c>
      <c r="B198" s="15">
        <v>18058.190000000002</v>
      </c>
      <c r="C198">
        <v>53933.38</v>
      </c>
      <c r="D198" s="15">
        <f t="shared" si="4"/>
        <v>2.9866437333974218</v>
      </c>
      <c r="E198" t="s">
        <v>1053</v>
      </c>
      <c r="F198" s="6">
        <v>2024</v>
      </c>
    </row>
    <row r="199" spans="1:6" x14ac:dyDescent="0.25">
      <c r="A199" t="s">
        <v>1029</v>
      </c>
      <c r="B199" s="15">
        <v>17224.099999999999</v>
      </c>
      <c r="C199">
        <v>52001.72</v>
      </c>
      <c r="D199" s="15">
        <f t="shared" si="4"/>
        <v>3.019125527603765</v>
      </c>
      <c r="E199" t="s">
        <v>1054</v>
      </c>
      <c r="F199" s="6">
        <v>2024</v>
      </c>
    </row>
    <row r="200" spans="1:6" x14ac:dyDescent="0.25">
      <c r="A200" t="s">
        <v>1029</v>
      </c>
      <c r="B200" s="15">
        <v>13855.84</v>
      </c>
      <c r="C200">
        <v>42050.990000000005</v>
      </c>
      <c r="D200" s="15">
        <f t="shared" si="4"/>
        <v>3.0348928682779248</v>
      </c>
      <c r="E200" t="s">
        <v>1055</v>
      </c>
      <c r="F200" s="6">
        <v>2024</v>
      </c>
    </row>
    <row r="201" spans="1:6" x14ac:dyDescent="0.25">
      <c r="A201" t="s">
        <v>1029</v>
      </c>
      <c r="B201" s="15">
        <v>19158.736000000001</v>
      </c>
      <c r="C201">
        <v>58150.55</v>
      </c>
      <c r="D201" s="15">
        <f t="shared" si="4"/>
        <v>3.0351976247284789</v>
      </c>
      <c r="E201" t="s">
        <v>1056</v>
      </c>
      <c r="F201" s="6">
        <v>2024</v>
      </c>
    </row>
    <row r="202" spans="1:6" x14ac:dyDescent="0.25">
      <c r="A202" t="s">
        <v>1029</v>
      </c>
      <c r="B202" s="15">
        <v>16240.53</v>
      </c>
      <c r="C202">
        <v>48928.88</v>
      </c>
      <c r="D202" s="15">
        <f t="shared" si="4"/>
        <v>3.0127637460107519</v>
      </c>
      <c r="E202" t="s">
        <v>1063</v>
      </c>
      <c r="F202" s="6">
        <v>2024</v>
      </c>
    </row>
    <row r="203" spans="1:6" x14ac:dyDescent="0.25">
      <c r="A203" t="s">
        <v>1029</v>
      </c>
      <c r="B203" s="15">
        <v>19833</v>
      </c>
      <c r="C203">
        <v>61882</v>
      </c>
      <c r="D203" s="15">
        <f t="shared" si="4"/>
        <v>3.1201532798870568</v>
      </c>
      <c r="E203" t="s">
        <v>1064</v>
      </c>
      <c r="F203" s="6">
        <v>2024</v>
      </c>
    </row>
    <row r="204" spans="1:6" x14ac:dyDescent="0.25">
      <c r="A204" t="s">
        <v>1029</v>
      </c>
      <c r="B204" s="15">
        <v>11248.4</v>
      </c>
      <c r="C204">
        <v>34877.78</v>
      </c>
      <c r="D204" s="15">
        <f t="shared" si="4"/>
        <v>3.1006880978628071</v>
      </c>
      <c r="E204" t="s">
        <v>1052</v>
      </c>
      <c r="F204" s="6">
        <v>2025</v>
      </c>
    </row>
    <row r="205" spans="1:6" x14ac:dyDescent="0.25">
      <c r="A205" t="s">
        <v>1029</v>
      </c>
      <c r="B205" s="15">
        <v>13419.671999999999</v>
      </c>
      <c r="C205">
        <v>42475.25</v>
      </c>
      <c r="D205" s="15">
        <f t="shared" si="4"/>
        <v>3.1651481496716167</v>
      </c>
      <c r="E205" t="s">
        <v>1053</v>
      </c>
      <c r="F205" s="6">
        <v>2025</v>
      </c>
    </row>
    <row r="206" spans="1:6" x14ac:dyDescent="0.25">
      <c r="A206" t="s">
        <v>1029</v>
      </c>
      <c r="B206" s="15">
        <v>8618.6090000000004</v>
      </c>
      <c r="C206">
        <v>27320.85</v>
      </c>
      <c r="D206" s="15">
        <f t="shared" si="4"/>
        <v>3.1699836945845901</v>
      </c>
      <c r="E206" t="s">
        <v>1054</v>
      </c>
      <c r="F206" s="6">
        <v>2025</v>
      </c>
    </row>
    <row r="207" spans="1:6" x14ac:dyDescent="0.25">
      <c r="A207" t="s">
        <v>1029</v>
      </c>
      <c r="B207" s="15">
        <v>10692.976000000001</v>
      </c>
      <c r="C207">
        <v>33702.6</v>
      </c>
      <c r="D207" s="15">
        <f t="shared" si="4"/>
        <v>3.1518447249858221</v>
      </c>
      <c r="E207" t="s">
        <v>1055</v>
      </c>
      <c r="F207" s="6">
        <v>2025</v>
      </c>
    </row>
    <row r="208" spans="1:6" x14ac:dyDescent="0.25">
      <c r="A208" t="s">
        <v>1029</v>
      </c>
      <c r="B208" s="15">
        <v>12378.378110000001</v>
      </c>
      <c r="C208">
        <v>40345.39</v>
      </c>
      <c r="D208" s="15">
        <f t="shared" si="4"/>
        <v>3.2593438042910128</v>
      </c>
      <c r="E208" t="s">
        <v>1056</v>
      </c>
      <c r="F208" s="6">
        <v>2025</v>
      </c>
    </row>
    <row r="209" spans="1:6" x14ac:dyDescent="0.25">
      <c r="A209" t="s">
        <v>1029</v>
      </c>
      <c r="B209" s="15">
        <v>14673.27</v>
      </c>
      <c r="C209">
        <v>45429.41</v>
      </c>
      <c r="D209" s="15">
        <f t="shared" si="4"/>
        <v>3.0960658394481939</v>
      </c>
      <c r="E209" t="s">
        <v>1063</v>
      </c>
      <c r="F209" s="6">
        <v>2025</v>
      </c>
    </row>
    <row r="210" spans="1:6" x14ac:dyDescent="0.25">
      <c r="A210" t="s">
        <v>1029</v>
      </c>
      <c r="B210" s="15">
        <v>11430.49</v>
      </c>
      <c r="C210">
        <v>36130.65</v>
      </c>
      <c r="D210" s="15">
        <f t="shared" si="4"/>
        <v>3.1609012387045525</v>
      </c>
      <c r="E210" t="s">
        <v>1064</v>
      </c>
      <c r="F210" s="6">
        <v>2025</v>
      </c>
    </row>
    <row r="211" spans="1:6" x14ac:dyDescent="0.25">
      <c r="A211" t="s">
        <v>1030</v>
      </c>
      <c r="B211" s="15">
        <v>14990.57</v>
      </c>
      <c r="C211">
        <v>50801.35</v>
      </c>
      <c r="D211" s="15">
        <f t="shared" si="4"/>
        <v>3.3888871470531141</v>
      </c>
      <c r="E211" t="s">
        <v>1052</v>
      </c>
      <c r="F211" s="6">
        <v>2024</v>
      </c>
    </row>
    <row r="212" spans="1:6" x14ac:dyDescent="0.25">
      <c r="A212" t="s">
        <v>1030</v>
      </c>
      <c r="B212" s="15">
        <v>12030.12</v>
      </c>
      <c r="C212">
        <v>41780.519999999997</v>
      </c>
      <c r="D212" s="15">
        <f t="shared" si="4"/>
        <v>3.4729927881018638</v>
      </c>
      <c r="E212" t="s">
        <v>1053</v>
      </c>
      <c r="F212" s="6">
        <v>2024</v>
      </c>
    </row>
    <row r="213" spans="1:6" x14ac:dyDescent="0.25">
      <c r="A213" t="s">
        <v>1030</v>
      </c>
      <c r="B213" s="15">
        <v>12800</v>
      </c>
      <c r="C213">
        <v>45140.969999999994</v>
      </c>
      <c r="D213" s="15">
        <f t="shared" si="4"/>
        <v>3.5266382812499995</v>
      </c>
      <c r="E213" t="s">
        <v>1054</v>
      </c>
      <c r="F213" s="6">
        <v>2024</v>
      </c>
    </row>
    <row r="214" spans="1:6" x14ac:dyDescent="0.25">
      <c r="A214" t="s">
        <v>1030</v>
      </c>
      <c r="B214" s="15">
        <v>12622.550000000001</v>
      </c>
      <c r="C214">
        <v>44875.42</v>
      </c>
      <c r="D214" s="15">
        <f t="shared" si="4"/>
        <v>3.5551786287239895</v>
      </c>
      <c r="E214" t="s">
        <v>1055</v>
      </c>
      <c r="F214" s="6">
        <v>2024</v>
      </c>
    </row>
    <row r="215" spans="1:6" x14ac:dyDescent="0.25">
      <c r="A215" t="s">
        <v>1030</v>
      </c>
      <c r="B215" s="15">
        <v>19632.375</v>
      </c>
      <c r="C215">
        <v>69556.739999999991</v>
      </c>
      <c r="D215" s="15">
        <f t="shared" si="4"/>
        <v>3.5429610528527493</v>
      </c>
      <c r="E215" t="s">
        <v>1056</v>
      </c>
      <c r="F215" s="6">
        <v>2024</v>
      </c>
    </row>
    <row r="216" spans="1:6" x14ac:dyDescent="0.25">
      <c r="A216" t="s">
        <v>1030</v>
      </c>
      <c r="B216" s="15">
        <v>17131.07</v>
      </c>
      <c r="C216">
        <v>62188.05</v>
      </c>
      <c r="D216" s="15">
        <f t="shared" si="4"/>
        <v>3.6301322684455788</v>
      </c>
      <c r="E216" t="s">
        <v>1063</v>
      </c>
      <c r="F216" s="6">
        <v>2024</v>
      </c>
    </row>
    <row r="217" spans="1:6" x14ac:dyDescent="0.25">
      <c r="A217" t="s">
        <v>1030</v>
      </c>
      <c r="B217" s="15">
        <v>17077.52</v>
      </c>
      <c r="C217">
        <v>61955.13</v>
      </c>
      <c r="D217" s="15">
        <f t="shared" si="4"/>
        <v>3.6278762958556041</v>
      </c>
      <c r="E217" t="s">
        <v>1064</v>
      </c>
      <c r="F217" s="6">
        <v>2024</v>
      </c>
    </row>
    <row r="218" spans="1:6" x14ac:dyDescent="0.25">
      <c r="A218" t="s">
        <v>1030</v>
      </c>
      <c r="B218" s="15">
        <v>10990.63</v>
      </c>
      <c r="C218">
        <v>39220.449999999997</v>
      </c>
      <c r="D218" s="15">
        <f t="shared" si="4"/>
        <v>3.5685351977093216</v>
      </c>
      <c r="E218" t="s">
        <v>1052</v>
      </c>
      <c r="F218" s="6">
        <v>2025</v>
      </c>
    </row>
    <row r="219" spans="1:6" x14ac:dyDescent="0.25">
      <c r="A219" t="s">
        <v>1030</v>
      </c>
      <c r="B219" s="15">
        <v>10181.837</v>
      </c>
      <c r="C219">
        <v>33906.720000000001</v>
      </c>
      <c r="D219" s="15">
        <f t="shared" si="4"/>
        <v>3.3301181309423833</v>
      </c>
      <c r="E219" t="s">
        <v>1053</v>
      </c>
      <c r="F219" s="6">
        <v>2025</v>
      </c>
    </row>
    <row r="220" spans="1:6" x14ac:dyDescent="0.25">
      <c r="A220" t="s">
        <v>1030</v>
      </c>
      <c r="B220" s="15">
        <v>9985.9789999999975</v>
      </c>
      <c r="C220">
        <v>36552.71</v>
      </c>
      <c r="D220" s="15">
        <f t="shared" si="4"/>
        <v>3.6604032513987872</v>
      </c>
      <c r="E220" t="s">
        <v>1054</v>
      </c>
      <c r="F220" s="6">
        <v>2025</v>
      </c>
    </row>
    <row r="221" spans="1:6" x14ac:dyDescent="0.25">
      <c r="A221" t="s">
        <v>1030</v>
      </c>
      <c r="B221" s="15">
        <v>11948.369000000001</v>
      </c>
      <c r="C221">
        <v>43705.25</v>
      </c>
      <c r="D221" s="15">
        <f t="shared" si="4"/>
        <v>3.6578423381467378</v>
      </c>
      <c r="E221" t="s">
        <v>1055</v>
      </c>
      <c r="F221" s="6">
        <v>2025</v>
      </c>
    </row>
    <row r="222" spans="1:6" x14ac:dyDescent="0.25">
      <c r="A222" s="37" t="s">
        <v>1030</v>
      </c>
      <c r="B222" s="255">
        <v>15598.61758</v>
      </c>
      <c r="C222" s="37">
        <v>45472.37</v>
      </c>
      <c r="D222" s="255">
        <f t="shared" si="4"/>
        <v>2.915153844036992</v>
      </c>
      <c r="E222" s="37" t="s">
        <v>1056</v>
      </c>
      <c r="F222" s="39">
        <v>2025</v>
      </c>
    </row>
    <row r="223" spans="1:6" x14ac:dyDescent="0.25">
      <c r="A223" t="s">
        <v>1030</v>
      </c>
      <c r="B223" s="256">
        <v>22600.43</v>
      </c>
      <c r="C223" s="256">
        <v>74356.78</v>
      </c>
      <c r="D223" s="256">
        <f t="shared" si="4"/>
        <v>3.2900604103550242</v>
      </c>
      <c r="E223" s="257" t="s">
        <v>1063</v>
      </c>
      <c r="F223" s="258">
        <v>2025</v>
      </c>
    </row>
    <row r="224" spans="1:6" x14ac:dyDescent="0.25">
      <c r="A224" t="s">
        <v>1030</v>
      </c>
      <c r="B224" s="256">
        <v>13122.34</v>
      </c>
      <c r="C224" s="256">
        <v>47927.88</v>
      </c>
      <c r="D224" s="256">
        <f t="shared" si="4"/>
        <v>3.6523882173453819</v>
      </c>
      <c r="E224" s="257" t="s">
        <v>1064</v>
      </c>
      <c r="F224" s="258">
        <v>2025</v>
      </c>
    </row>
    <row r="225" spans="1:6" x14ac:dyDescent="0.25">
      <c r="A225" t="s">
        <v>1031</v>
      </c>
      <c r="B225" s="15">
        <v>149.19999999999999</v>
      </c>
      <c r="C225">
        <v>787.3</v>
      </c>
      <c r="D225" s="15">
        <f t="shared" si="4"/>
        <v>5.2768096514745313</v>
      </c>
      <c r="E225" t="s">
        <v>1052</v>
      </c>
      <c r="F225" s="6">
        <v>2024</v>
      </c>
    </row>
    <row r="226" spans="1:6" x14ac:dyDescent="0.25">
      <c r="A226" t="s">
        <v>1031</v>
      </c>
      <c r="B226" s="15">
        <v>263.36</v>
      </c>
      <c r="C226">
        <v>1354.6399999999999</v>
      </c>
      <c r="D226" s="15">
        <f t="shared" si="4"/>
        <v>5.1436816524908862</v>
      </c>
      <c r="E226" t="s">
        <v>1053</v>
      </c>
      <c r="F226" s="6">
        <v>2024</v>
      </c>
    </row>
    <row r="227" spans="1:6" x14ac:dyDescent="0.25">
      <c r="A227" t="s">
        <v>1031</v>
      </c>
      <c r="B227" s="15">
        <v>145.13999999999999</v>
      </c>
      <c r="C227">
        <v>774.60000000000014</v>
      </c>
      <c r="D227" s="15">
        <f t="shared" si="4"/>
        <v>5.3369160810252181</v>
      </c>
      <c r="E227" t="s">
        <v>1054</v>
      </c>
      <c r="F227" s="6">
        <v>2024</v>
      </c>
    </row>
    <row r="228" spans="1:6" x14ac:dyDescent="0.25">
      <c r="A228" t="s">
        <v>1031</v>
      </c>
      <c r="B228" s="15">
        <v>128.77000000000001</v>
      </c>
      <c r="C228">
        <v>679.83999999999992</v>
      </c>
      <c r="D228" s="15">
        <f t="shared" si="4"/>
        <v>5.2794905645724928</v>
      </c>
      <c r="E228" t="s">
        <v>1055</v>
      </c>
      <c r="F228" s="6">
        <v>2024</v>
      </c>
    </row>
    <row r="229" spans="1:6" x14ac:dyDescent="0.25">
      <c r="A229" t="s">
        <v>1031</v>
      </c>
      <c r="B229" s="15">
        <v>234.58</v>
      </c>
      <c r="C229">
        <v>1226.21</v>
      </c>
      <c r="D229" s="15">
        <f t="shared" si="4"/>
        <v>5.2272572256799386</v>
      </c>
      <c r="E229" t="s">
        <v>1056</v>
      </c>
      <c r="F229" s="6">
        <v>2024</v>
      </c>
    </row>
    <row r="230" spans="1:6" x14ac:dyDescent="0.25">
      <c r="A230" t="s">
        <v>1031</v>
      </c>
      <c r="B230" s="15">
        <v>154.91999999999999</v>
      </c>
      <c r="C230">
        <v>837.22</v>
      </c>
      <c r="D230" s="15">
        <f t="shared" si="4"/>
        <v>5.404208623805836</v>
      </c>
      <c r="E230" t="s">
        <v>1063</v>
      </c>
      <c r="F230" s="6">
        <v>2024</v>
      </c>
    </row>
    <row r="231" spans="1:6" x14ac:dyDescent="0.25">
      <c r="A231" t="s">
        <v>1031</v>
      </c>
      <c r="B231" s="15">
        <v>166.48</v>
      </c>
      <c r="C231">
        <v>802.1</v>
      </c>
      <c r="D231" s="15">
        <f>C231/B231</f>
        <v>4.8179961556943782</v>
      </c>
      <c r="E231" t="s">
        <v>1064</v>
      </c>
      <c r="F231" s="6">
        <v>2024</v>
      </c>
    </row>
    <row r="232" spans="1:6" x14ac:dyDescent="0.25">
      <c r="A232" t="s">
        <v>1031</v>
      </c>
      <c r="B232" s="15">
        <v>168</v>
      </c>
      <c r="C232">
        <v>788.64</v>
      </c>
      <c r="D232" s="15">
        <f t="shared" si="4"/>
        <v>4.694285714285714</v>
      </c>
      <c r="E232" t="s">
        <v>1052</v>
      </c>
      <c r="F232" s="6">
        <v>2025</v>
      </c>
    </row>
    <row r="233" spans="1:6" x14ac:dyDescent="0.25">
      <c r="A233" t="s">
        <v>1031</v>
      </c>
      <c r="B233" s="15">
        <v>193.67000000000002</v>
      </c>
      <c r="C233">
        <v>988.14</v>
      </c>
      <c r="D233" s="15">
        <f t="shared" si="4"/>
        <v>5.1021841276397994</v>
      </c>
      <c r="E233" t="s">
        <v>1053</v>
      </c>
      <c r="F233" s="6">
        <v>2025</v>
      </c>
    </row>
    <row r="234" spans="1:6" x14ac:dyDescent="0.25">
      <c r="A234" t="s">
        <v>1031</v>
      </c>
      <c r="B234" s="15">
        <v>119.99799999999999</v>
      </c>
      <c r="C234">
        <v>611.84</v>
      </c>
      <c r="D234" s="15">
        <f t="shared" si="4"/>
        <v>5.0987516458607649</v>
      </c>
      <c r="E234" t="s">
        <v>1054</v>
      </c>
      <c r="F234" s="6">
        <v>2025</v>
      </c>
    </row>
    <row r="235" spans="1:6" x14ac:dyDescent="0.25">
      <c r="A235" t="s">
        <v>1031</v>
      </c>
      <c r="B235" s="15">
        <v>101.096</v>
      </c>
      <c r="C235">
        <v>515.64</v>
      </c>
      <c r="D235" s="15">
        <f t="shared" si="4"/>
        <v>5.1004985360449471</v>
      </c>
      <c r="E235" t="s">
        <v>1055</v>
      </c>
      <c r="F235" s="6">
        <v>2025</v>
      </c>
    </row>
    <row r="236" spans="1:6" x14ac:dyDescent="0.25">
      <c r="A236" t="s">
        <v>1031</v>
      </c>
      <c r="B236" s="15">
        <v>213.56099999999998</v>
      </c>
      <c r="C236">
        <v>1093.32</v>
      </c>
      <c r="D236" s="15">
        <f t="shared" si="4"/>
        <v>5.1194740612752332</v>
      </c>
      <c r="E236" t="s">
        <v>1056</v>
      </c>
      <c r="F236" s="6">
        <v>2025</v>
      </c>
    </row>
    <row r="237" spans="1:6" x14ac:dyDescent="0.25">
      <c r="A237" t="s">
        <v>1031</v>
      </c>
      <c r="B237" s="15">
        <v>137.52000000000001</v>
      </c>
      <c r="C237">
        <v>673.66</v>
      </c>
      <c r="D237" s="15">
        <f t="shared" si="4"/>
        <v>4.8986329261198369</v>
      </c>
      <c r="E237" t="s">
        <v>1063</v>
      </c>
      <c r="F237" s="6">
        <v>2025</v>
      </c>
    </row>
    <row r="238" spans="1:6" x14ac:dyDescent="0.25">
      <c r="A238" t="s">
        <v>1031</v>
      </c>
      <c r="B238" s="15">
        <v>113.63</v>
      </c>
      <c r="C238">
        <v>571.49</v>
      </c>
      <c r="D238" s="15">
        <f t="shared" si="4"/>
        <v>5.0293936460441788</v>
      </c>
      <c r="E238" t="s">
        <v>1064</v>
      </c>
      <c r="F238" s="6">
        <v>2025</v>
      </c>
    </row>
    <row r="239" spans="1:6" x14ac:dyDescent="0.25">
      <c r="A239" t="s">
        <v>1032</v>
      </c>
      <c r="B239" s="15">
        <v>20080.93</v>
      </c>
      <c r="C239">
        <v>58615.93</v>
      </c>
      <c r="D239" s="15">
        <f t="shared" si="4"/>
        <v>2.9189848278939272</v>
      </c>
      <c r="E239" t="s">
        <v>1052</v>
      </c>
      <c r="F239" s="6">
        <v>2024</v>
      </c>
    </row>
    <row r="240" spans="1:6" x14ac:dyDescent="0.25">
      <c r="A240" t="s">
        <v>1032</v>
      </c>
      <c r="B240" s="15">
        <v>15699.699999999999</v>
      </c>
      <c r="C240">
        <v>44772.529999999992</v>
      </c>
      <c r="D240" s="15">
        <f t="shared" si="4"/>
        <v>2.8518079963311398</v>
      </c>
      <c r="E240" t="s">
        <v>1053</v>
      </c>
      <c r="F240" s="6">
        <v>2024</v>
      </c>
    </row>
    <row r="241" spans="1:6" x14ac:dyDescent="0.25">
      <c r="A241" t="s">
        <v>1032</v>
      </c>
      <c r="B241" s="15">
        <v>14512.03</v>
      </c>
      <c r="C241">
        <v>42285.310000000005</v>
      </c>
      <c r="D241" s="15">
        <f t="shared" si="4"/>
        <v>2.913810817645774</v>
      </c>
      <c r="E241" t="s">
        <v>1054</v>
      </c>
      <c r="F241" s="6">
        <v>2024</v>
      </c>
    </row>
    <row r="242" spans="1:6" x14ac:dyDescent="0.25">
      <c r="A242" t="s">
        <v>1032</v>
      </c>
      <c r="B242" s="15">
        <v>13044.28</v>
      </c>
      <c r="C242">
        <v>38302.449999999997</v>
      </c>
      <c r="D242" s="15">
        <f t="shared" si="4"/>
        <v>2.9363406795928939</v>
      </c>
      <c r="E242" t="s">
        <v>1055</v>
      </c>
      <c r="F242" s="6">
        <v>2024</v>
      </c>
    </row>
    <row r="243" spans="1:6" x14ac:dyDescent="0.25">
      <c r="A243" t="s">
        <v>1032</v>
      </c>
      <c r="B243" s="15">
        <v>17413.103000000003</v>
      </c>
      <c r="C243">
        <v>50797.87</v>
      </c>
      <c r="D243" s="15">
        <f t="shared" ref="D243:D332" si="5">C243/B243</f>
        <v>2.9172210145428989</v>
      </c>
      <c r="E243" t="s">
        <v>1056</v>
      </c>
      <c r="F243" s="6">
        <v>2024</v>
      </c>
    </row>
    <row r="244" spans="1:6" x14ac:dyDescent="0.25">
      <c r="A244" t="s">
        <v>1032</v>
      </c>
      <c r="B244" s="15">
        <v>16373.74</v>
      </c>
      <c r="C244">
        <v>47977.52</v>
      </c>
      <c r="D244" s="15">
        <f t="shared" si="5"/>
        <v>2.9301503505002522</v>
      </c>
      <c r="E244" t="s">
        <v>1063</v>
      </c>
      <c r="F244" s="6">
        <v>2024</v>
      </c>
    </row>
    <row r="245" spans="1:6" x14ac:dyDescent="0.25">
      <c r="A245" t="s">
        <v>1032</v>
      </c>
      <c r="B245" s="15">
        <v>19394.919999999998</v>
      </c>
      <c r="C245">
        <v>58884.3</v>
      </c>
      <c r="D245" s="15">
        <f t="shared" si="5"/>
        <v>3.0360682075512559</v>
      </c>
      <c r="E245" t="s">
        <v>1064</v>
      </c>
      <c r="F245" s="6">
        <v>2024</v>
      </c>
    </row>
    <row r="246" spans="1:6" x14ac:dyDescent="0.25">
      <c r="A246" t="s">
        <v>1032</v>
      </c>
      <c r="B246" s="15">
        <v>14541.821</v>
      </c>
      <c r="C246">
        <v>41444.19</v>
      </c>
      <c r="D246" s="15">
        <f t="shared" si="5"/>
        <v>2.8500000103150769</v>
      </c>
      <c r="E246" t="s">
        <v>1052</v>
      </c>
      <c r="F246" s="6">
        <v>2025</v>
      </c>
    </row>
    <row r="247" spans="1:6" x14ac:dyDescent="0.25">
      <c r="A247" t="s">
        <v>1032</v>
      </c>
      <c r="B247" s="15">
        <v>16854.625</v>
      </c>
      <c r="C247">
        <v>49689.829999999994</v>
      </c>
      <c r="D247" s="15">
        <f t="shared" si="5"/>
        <v>2.948142127160942</v>
      </c>
      <c r="E247" t="s">
        <v>1053</v>
      </c>
      <c r="F247" s="6">
        <v>2025</v>
      </c>
    </row>
    <row r="248" spans="1:6" x14ac:dyDescent="0.25">
      <c r="A248" t="s">
        <v>1032</v>
      </c>
      <c r="B248" s="15">
        <v>9831.121000000001</v>
      </c>
      <c r="C248">
        <v>29691.4</v>
      </c>
      <c r="D248" s="15">
        <f t="shared" si="5"/>
        <v>3.0201438879655735</v>
      </c>
      <c r="E248" t="s">
        <v>1054</v>
      </c>
      <c r="F248" s="6">
        <v>2025</v>
      </c>
    </row>
    <row r="249" spans="1:6" x14ac:dyDescent="0.25">
      <c r="A249" t="s">
        <v>1032</v>
      </c>
      <c r="B249" s="15">
        <v>11866.548000000001</v>
      </c>
      <c r="C249">
        <v>36473.600000000006</v>
      </c>
      <c r="D249" s="15">
        <f t="shared" si="5"/>
        <v>3.0736487140152304</v>
      </c>
      <c r="E249" t="s">
        <v>1055</v>
      </c>
      <c r="F249" s="6">
        <v>2025</v>
      </c>
    </row>
    <row r="250" spans="1:6" x14ac:dyDescent="0.25">
      <c r="A250" t="s">
        <v>1032</v>
      </c>
      <c r="B250" s="15">
        <v>14916.84656</v>
      </c>
      <c r="C250">
        <v>45817.2</v>
      </c>
      <c r="D250" s="15">
        <f t="shared" si="5"/>
        <v>3.0715070920458674</v>
      </c>
      <c r="E250" t="s">
        <v>1056</v>
      </c>
      <c r="F250" s="6">
        <v>2025</v>
      </c>
    </row>
    <row r="251" spans="1:6" x14ac:dyDescent="0.25">
      <c r="A251" t="s">
        <v>1032</v>
      </c>
      <c r="B251" s="15">
        <v>12970.8</v>
      </c>
      <c r="C251">
        <v>40357.919999999998</v>
      </c>
      <c r="D251" s="15">
        <f t="shared" si="5"/>
        <v>3.1114441668979556</v>
      </c>
      <c r="E251" t="s">
        <v>1063</v>
      </c>
      <c r="F251" s="6">
        <v>2025</v>
      </c>
    </row>
    <row r="252" spans="1:6" x14ac:dyDescent="0.25">
      <c r="A252" t="s">
        <v>1032</v>
      </c>
      <c r="B252" s="15">
        <v>11720.37</v>
      </c>
      <c r="C252">
        <v>36523.99</v>
      </c>
      <c r="D252" s="15">
        <f t="shared" si="5"/>
        <v>3.1162830183688737</v>
      </c>
      <c r="E252" t="s">
        <v>1064</v>
      </c>
      <c r="F252" s="6">
        <v>2025</v>
      </c>
    </row>
    <row r="253" spans="1:6" x14ac:dyDescent="0.25">
      <c r="A253" t="s">
        <v>1033</v>
      </c>
      <c r="B253" s="15">
        <v>2894.6</v>
      </c>
      <c r="C253">
        <v>8797.49</v>
      </c>
      <c r="D253" s="15">
        <f t="shared" si="5"/>
        <v>3.0392765839839702</v>
      </c>
      <c r="E253" t="s">
        <v>1052</v>
      </c>
      <c r="F253" s="6">
        <v>2024</v>
      </c>
    </row>
    <row r="254" spans="1:6" x14ac:dyDescent="0.25">
      <c r="A254" t="s">
        <v>1033</v>
      </c>
      <c r="B254" s="15">
        <v>1837.72</v>
      </c>
      <c r="C254">
        <v>5664.45</v>
      </c>
      <c r="D254" s="15">
        <f t="shared" si="5"/>
        <v>3.0823248372983914</v>
      </c>
      <c r="E254" t="s">
        <v>1053</v>
      </c>
      <c r="F254" s="6">
        <v>2024</v>
      </c>
    </row>
    <row r="255" spans="1:6" x14ac:dyDescent="0.25">
      <c r="A255" t="s">
        <v>1033</v>
      </c>
      <c r="B255" s="15">
        <v>2780.97</v>
      </c>
      <c r="C255">
        <v>8627.1500000000015</v>
      </c>
      <c r="D255" s="15">
        <f t="shared" si="5"/>
        <v>3.1022089414844469</v>
      </c>
      <c r="E255" t="s">
        <v>1054</v>
      </c>
      <c r="F255" s="6">
        <v>2024</v>
      </c>
    </row>
    <row r="256" spans="1:6" x14ac:dyDescent="0.25">
      <c r="A256" t="s">
        <v>1033</v>
      </c>
      <c r="B256" s="15">
        <v>1888.82</v>
      </c>
      <c r="C256">
        <v>6049.58</v>
      </c>
      <c r="D256" s="15">
        <f t="shared" si="5"/>
        <v>3.202835632828962</v>
      </c>
      <c r="E256" t="s">
        <v>1055</v>
      </c>
      <c r="F256" s="6">
        <v>2024</v>
      </c>
    </row>
    <row r="257" spans="1:6" x14ac:dyDescent="0.25">
      <c r="A257" t="s">
        <v>1033</v>
      </c>
      <c r="B257" s="15">
        <v>1845.8799999999999</v>
      </c>
      <c r="C257">
        <v>5739.41</v>
      </c>
      <c r="D257" s="15">
        <f t="shared" si="5"/>
        <v>3.1093082973974475</v>
      </c>
      <c r="E257" t="s">
        <v>1056</v>
      </c>
      <c r="F257" s="6">
        <v>2024</v>
      </c>
    </row>
    <row r="258" spans="1:6" x14ac:dyDescent="0.25">
      <c r="A258" t="s">
        <v>1033</v>
      </c>
      <c r="B258" s="15">
        <v>2188.84</v>
      </c>
      <c r="C258">
        <v>6916.51</v>
      </c>
      <c r="D258" s="15">
        <f t="shared" si="5"/>
        <v>3.1598974799437145</v>
      </c>
      <c r="E258" t="s">
        <v>1063</v>
      </c>
      <c r="F258" s="6">
        <v>2024</v>
      </c>
    </row>
    <row r="259" spans="1:6" x14ac:dyDescent="0.25">
      <c r="A259" t="s">
        <v>1033</v>
      </c>
      <c r="B259" s="15">
        <v>2561.96</v>
      </c>
      <c r="C259">
        <v>8445.3700000000008</v>
      </c>
      <c r="D259" s="15">
        <f t="shared" si="5"/>
        <v>3.296448812627832</v>
      </c>
      <c r="E259" t="s">
        <v>1064</v>
      </c>
      <c r="F259" s="6">
        <v>2024</v>
      </c>
    </row>
    <row r="260" spans="1:6" x14ac:dyDescent="0.25">
      <c r="A260" t="s">
        <v>1033</v>
      </c>
      <c r="B260" s="15">
        <v>2423.46</v>
      </c>
      <c r="C260">
        <v>7682.41</v>
      </c>
      <c r="D260" s="15">
        <f t="shared" si="5"/>
        <v>3.1700172480668134</v>
      </c>
      <c r="E260" t="s">
        <v>1052</v>
      </c>
      <c r="F260" s="6">
        <v>2025</v>
      </c>
    </row>
    <row r="261" spans="1:6" x14ac:dyDescent="0.25">
      <c r="A261" t="s">
        <v>1033</v>
      </c>
      <c r="B261" s="15">
        <v>1212.6200000000001</v>
      </c>
      <c r="C261">
        <v>3955.38</v>
      </c>
      <c r="D261" s="15">
        <f t="shared" si="5"/>
        <v>3.2618462502680146</v>
      </c>
      <c r="E261" t="s">
        <v>1053</v>
      </c>
      <c r="F261" s="6">
        <v>2025</v>
      </c>
    </row>
    <row r="262" spans="1:6" x14ac:dyDescent="0.25">
      <c r="A262" t="s">
        <v>1033</v>
      </c>
      <c r="B262" s="15">
        <v>1560.38</v>
      </c>
      <c r="C262">
        <v>4919.2199999999993</v>
      </c>
      <c r="D262" s="15">
        <f t="shared" si="5"/>
        <v>3.1525782181263531</v>
      </c>
      <c r="E262" t="s">
        <v>1054</v>
      </c>
      <c r="F262" s="6">
        <v>2025</v>
      </c>
    </row>
    <row r="263" spans="1:6" x14ac:dyDescent="0.25">
      <c r="A263" t="s">
        <v>1033</v>
      </c>
      <c r="B263" s="15">
        <v>2054.0969999999998</v>
      </c>
      <c r="C263">
        <v>6221.4500000000007</v>
      </c>
      <c r="D263" s="15">
        <f t="shared" si="5"/>
        <v>3.0288004899476517</v>
      </c>
      <c r="E263" t="s">
        <v>1055</v>
      </c>
      <c r="F263" s="6">
        <v>2025</v>
      </c>
    </row>
    <row r="264" spans="1:6" x14ac:dyDescent="0.25">
      <c r="A264" t="s">
        <v>1033</v>
      </c>
      <c r="B264" s="15">
        <v>5767.7470000000003</v>
      </c>
      <c r="C264">
        <v>15387.42</v>
      </c>
      <c r="D264" s="15">
        <f t="shared" si="5"/>
        <v>2.6678389326022796</v>
      </c>
      <c r="E264" t="s">
        <v>1056</v>
      </c>
      <c r="F264" s="6">
        <v>2025</v>
      </c>
    </row>
    <row r="265" spans="1:6" x14ac:dyDescent="0.25">
      <c r="A265" t="s">
        <v>1033</v>
      </c>
      <c r="B265" s="15">
        <v>2517.44</v>
      </c>
      <c r="C265">
        <v>6805.98</v>
      </c>
      <c r="D265" s="15">
        <f t="shared" si="5"/>
        <v>2.7035321596542516</v>
      </c>
      <c r="E265" t="s">
        <v>1063</v>
      </c>
      <c r="F265" s="6">
        <v>2025</v>
      </c>
    </row>
    <row r="266" spans="1:6" x14ac:dyDescent="0.25">
      <c r="A266" t="s">
        <v>1033</v>
      </c>
      <c r="B266" s="15">
        <v>3316.46</v>
      </c>
      <c r="C266">
        <v>9466.68</v>
      </c>
      <c r="D266" s="15">
        <f t="shared" si="5"/>
        <v>2.8544532423125863</v>
      </c>
      <c r="E266" t="s">
        <v>1064</v>
      </c>
      <c r="F266" s="6">
        <v>2025</v>
      </c>
    </row>
    <row r="267" spans="1:6" x14ac:dyDescent="0.25">
      <c r="A267" t="s">
        <v>1034</v>
      </c>
      <c r="B267" s="15">
        <v>1248.5</v>
      </c>
      <c r="C267">
        <v>3724.02</v>
      </c>
      <c r="D267" s="15">
        <f t="shared" si="5"/>
        <v>2.9827953544253103</v>
      </c>
      <c r="E267" t="s">
        <v>1052</v>
      </c>
      <c r="F267" s="6">
        <v>2024</v>
      </c>
    </row>
    <row r="268" spans="1:6" x14ac:dyDescent="0.25">
      <c r="A268" t="s">
        <v>1034</v>
      </c>
      <c r="B268" s="15">
        <v>600.57000000000005</v>
      </c>
      <c r="C268">
        <v>1868.63</v>
      </c>
      <c r="D268" s="15">
        <f t="shared" si="5"/>
        <v>3.1114274772299648</v>
      </c>
      <c r="E268" t="s">
        <v>1053</v>
      </c>
      <c r="F268" s="6">
        <v>2024</v>
      </c>
    </row>
    <row r="269" spans="1:6" x14ac:dyDescent="0.25">
      <c r="A269" t="s">
        <v>1034</v>
      </c>
      <c r="B269" s="15">
        <v>886.72</v>
      </c>
      <c r="C269">
        <v>2722.97</v>
      </c>
      <c r="D269" s="15">
        <f t="shared" si="5"/>
        <v>3.0708340851678093</v>
      </c>
      <c r="E269" t="s">
        <v>1054</v>
      </c>
      <c r="F269" s="6">
        <v>2024</v>
      </c>
    </row>
    <row r="270" spans="1:6" x14ac:dyDescent="0.25">
      <c r="A270" t="s">
        <v>1034</v>
      </c>
      <c r="B270" s="15">
        <v>909.24</v>
      </c>
      <c r="C270">
        <v>2754.41</v>
      </c>
      <c r="D270" s="15">
        <f t="shared" si="5"/>
        <v>3.02935418591351</v>
      </c>
      <c r="E270" t="s">
        <v>1055</v>
      </c>
      <c r="F270" s="6">
        <v>2024</v>
      </c>
    </row>
    <row r="271" spans="1:6" x14ac:dyDescent="0.25">
      <c r="A271" t="s">
        <v>1034</v>
      </c>
      <c r="B271" s="15">
        <v>1109.136</v>
      </c>
      <c r="C271">
        <v>3345.12</v>
      </c>
      <c r="D271" s="15">
        <f t="shared" si="5"/>
        <v>3.0159691868265028</v>
      </c>
      <c r="E271" t="s">
        <v>1056</v>
      </c>
      <c r="F271" s="6">
        <v>2024</v>
      </c>
    </row>
    <row r="272" spans="1:6" x14ac:dyDescent="0.25">
      <c r="A272" t="s">
        <v>1034</v>
      </c>
      <c r="B272" s="15">
        <v>465.38</v>
      </c>
      <c r="C272">
        <v>1427.31</v>
      </c>
      <c r="D272" s="15">
        <f t="shared" si="5"/>
        <v>3.0669775237440371</v>
      </c>
      <c r="E272" t="s">
        <v>1063</v>
      </c>
      <c r="F272" s="6">
        <v>2024</v>
      </c>
    </row>
    <row r="273" spans="1:6" x14ac:dyDescent="0.25">
      <c r="A273" t="s">
        <v>1034</v>
      </c>
      <c r="B273" s="15">
        <v>860.06</v>
      </c>
      <c r="C273">
        <v>2630.99</v>
      </c>
      <c r="D273" s="15">
        <f t="shared" si="5"/>
        <v>3.0590772736785805</v>
      </c>
      <c r="E273" t="s">
        <v>1064</v>
      </c>
      <c r="F273" s="6">
        <v>2024</v>
      </c>
    </row>
    <row r="274" spans="1:6" x14ac:dyDescent="0.25">
      <c r="A274" t="s">
        <v>1034</v>
      </c>
      <c r="B274" s="15">
        <v>277.52600000000001</v>
      </c>
      <c r="C274">
        <v>819.77999999999986</v>
      </c>
      <c r="D274" s="15">
        <f t="shared" si="5"/>
        <v>2.953885401728126</v>
      </c>
      <c r="E274" t="s">
        <v>1052</v>
      </c>
      <c r="F274" s="6">
        <v>2025</v>
      </c>
    </row>
    <row r="275" spans="1:6" x14ac:dyDescent="0.25">
      <c r="A275" t="s">
        <v>1034</v>
      </c>
      <c r="B275" s="15">
        <v>687.697</v>
      </c>
      <c r="C275">
        <v>2120.8000000000002</v>
      </c>
      <c r="D275" s="15">
        <f t="shared" si="5"/>
        <v>3.0839163177969371</v>
      </c>
      <c r="E275" t="s">
        <v>1053</v>
      </c>
      <c r="F275" s="6">
        <v>2025</v>
      </c>
    </row>
    <row r="276" spans="1:6" x14ac:dyDescent="0.25">
      <c r="A276" t="s">
        <v>1034</v>
      </c>
      <c r="B276" s="15">
        <v>85.660000000000011</v>
      </c>
      <c r="C276">
        <v>256.02999999999997</v>
      </c>
      <c r="D276" s="15">
        <f t="shared" si="5"/>
        <v>2.988909642773756</v>
      </c>
      <c r="E276" t="s">
        <v>1054</v>
      </c>
      <c r="F276" s="6">
        <v>2025</v>
      </c>
    </row>
    <row r="277" spans="1:6" x14ac:dyDescent="0.25">
      <c r="A277" t="s">
        <v>1034</v>
      </c>
      <c r="B277" s="15">
        <v>362.91200000000003</v>
      </c>
      <c r="C277">
        <v>1104.42</v>
      </c>
      <c r="D277" s="15">
        <f t="shared" si="5"/>
        <v>3.0432170884401728</v>
      </c>
      <c r="E277" t="s">
        <v>1055</v>
      </c>
      <c r="F277" s="6">
        <v>2025</v>
      </c>
    </row>
    <row r="278" spans="1:6" x14ac:dyDescent="0.25">
      <c r="A278" t="s">
        <v>1034</v>
      </c>
      <c r="B278" s="15">
        <v>278.10700000000003</v>
      </c>
      <c r="C278">
        <v>834.66</v>
      </c>
      <c r="D278" s="15">
        <f t="shared" si="5"/>
        <v>3.0012189552941848</v>
      </c>
      <c r="E278" t="s">
        <v>1056</v>
      </c>
      <c r="F278" s="6">
        <v>2025</v>
      </c>
    </row>
    <row r="279" spans="1:6" x14ac:dyDescent="0.25">
      <c r="A279" t="s">
        <v>1034</v>
      </c>
      <c r="B279" s="15">
        <v>0</v>
      </c>
      <c r="C279">
        <v>0</v>
      </c>
      <c r="D279" s="15" t="e">
        <f t="shared" si="5"/>
        <v>#DIV/0!</v>
      </c>
      <c r="E279" t="s">
        <v>1063</v>
      </c>
      <c r="F279" s="6">
        <v>2025</v>
      </c>
    </row>
    <row r="280" spans="1:6" x14ac:dyDescent="0.25">
      <c r="A280" t="s">
        <v>1034</v>
      </c>
      <c r="B280" s="15">
        <v>224.76</v>
      </c>
      <c r="C280">
        <v>656.08</v>
      </c>
      <c r="D280" s="15">
        <f t="shared" si="5"/>
        <v>2.9190247374977756</v>
      </c>
      <c r="E280" t="s">
        <v>1064</v>
      </c>
      <c r="F280" s="6">
        <v>2025</v>
      </c>
    </row>
    <row r="281" spans="1:6" x14ac:dyDescent="0.25">
      <c r="A281" t="s">
        <v>1035</v>
      </c>
      <c r="B281" s="15">
        <v>15949.03</v>
      </c>
      <c r="C281">
        <v>58966.799999999996</v>
      </c>
      <c r="D281" s="15">
        <f t="shared" si="5"/>
        <v>3.6972029019946664</v>
      </c>
      <c r="E281" t="s">
        <v>1052</v>
      </c>
      <c r="F281" s="6">
        <v>2024</v>
      </c>
    </row>
    <row r="282" spans="1:6" x14ac:dyDescent="0.25">
      <c r="A282" t="s">
        <v>1035</v>
      </c>
      <c r="B282" s="15">
        <v>14543.239999999998</v>
      </c>
      <c r="C282">
        <v>54430.659999999996</v>
      </c>
      <c r="D282" s="15">
        <f t="shared" si="5"/>
        <v>3.742677697679472</v>
      </c>
      <c r="E282" t="s">
        <v>1053</v>
      </c>
      <c r="F282" s="6">
        <v>2024</v>
      </c>
    </row>
    <row r="283" spans="1:6" x14ac:dyDescent="0.25">
      <c r="A283" t="s">
        <v>1035</v>
      </c>
      <c r="B283" s="15">
        <v>15429.429999999998</v>
      </c>
      <c r="C283">
        <v>57671.990000000005</v>
      </c>
      <c r="D283" s="15">
        <f t="shared" si="5"/>
        <v>3.7377913506850229</v>
      </c>
      <c r="E283" t="s">
        <v>1054</v>
      </c>
      <c r="F283" s="6">
        <v>2024</v>
      </c>
    </row>
    <row r="284" spans="1:6" x14ac:dyDescent="0.25">
      <c r="A284" t="s">
        <v>1035</v>
      </c>
      <c r="B284" s="15">
        <v>12755.64</v>
      </c>
      <c r="C284">
        <v>47776.32</v>
      </c>
      <c r="D284" s="15">
        <f t="shared" si="5"/>
        <v>3.7455055175592915</v>
      </c>
      <c r="E284" t="s">
        <v>1055</v>
      </c>
      <c r="F284" s="6">
        <v>2024</v>
      </c>
    </row>
    <row r="285" spans="1:6" x14ac:dyDescent="0.25">
      <c r="A285" t="s">
        <v>1035</v>
      </c>
      <c r="B285" s="15">
        <v>16087.866</v>
      </c>
      <c r="C285">
        <v>58932.259999999995</v>
      </c>
      <c r="D285" s="15">
        <f t="shared" si="5"/>
        <v>3.6631496060447044</v>
      </c>
      <c r="E285" t="s">
        <v>1056</v>
      </c>
      <c r="F285" s="6">
        <v>2024</v>
      </c>
    </row>
    <row r="286" spans="1:6" x14ac:dyDescent="0.25">
      <c r="A286" t="s">
        <v>1035</v>
      </c>
      <c r="B286" s="15">
        <v>11420</v>
      </c>
      <c r="C286">
        <v>43448.4</v>
      </c>
      <c r="D286" s="15">
        <f t="shared" si="5"/>
        <v>3.8045884413309983</v>
      </c>
      <c r="E286" t="s">
        <v>1063</v>
      </c>
      <c r="F286" s="6">
        <v>2024</v>
      </c>
    </row>
    <row r="287" spans="1:6" x14ac:dyDescent="0.25">
      <c r="A287" t="s">
        <v>1035</v>
      </c>
      <c r="B287" s="15">
        <v>15485.75</v>
      </c>
      <c r="C287">
        <v>59373.74</v>
      </c>
      <c r="D287" s="15">
        <f t="shared" si="5"/>
        <v>3.8340887590203896</v>
      </c>
      <c r="E287" t="s">
        <v>1064</v>
      </c>
      <c r="F287" s="6">
        <v>2024</v>
      </c>
    </row>
    <row r="288" spans="1:6" x14ac:dyDescent="0.25">
      <c r="A288" t="s">
        <v>1035</v>
      </c>
      <c r="B288" s="15">
        <v>15254.460999999999</v>
      </c>
      <c r="C288">
        <v>58108.31</v>
      </c>
      <c r="D288" s="15">
        <f t="shared" si="5"/>
        <v>3.8092666794323313</v>
      </c>
      <c r="E288" t="s">
        <v>1052</v>
      </c>
      <c r="F288" s="6">
        <v>2025</v>
      </c>
    </row>
    <row r="289" spans="1:6" x14ac:dyDescent="0.25">
      <c r="A289" t="s">
        <v>1035</v>
      </c>
      <c r="B289" s="15">
        <v>7183.6399999999994</v>
      </c>
      <c r="C289">
        <v>28365.34</v>
      </c>
      <c r="D289" s="15">
        <f t="shared" si="5"/>
        <v>3.9486026582623852</v>
      </c>
      <c r="E289" t="s">
        <v>1053</v>
      </c>
      <c r="F289" s="6">
        <v>2025</v>
      </c>
    </row>
    <row r="290" spans="1:6" x14ac:dyDescent="0.25">
      <c r="A290" t="s">
        <v>1035</v>
      </c>
      <c r="B290" s="15">
        <v>9440.6640000000007</v>
      </c>
      <c r="C290">
        <v>37123.439999999995</v>
      </c>
      <c r="D290" s="15">
        <f t="shared" si="5"/>
        <v>3.9322912032458728</v>
      </c>
      <c r="E290" t="s">
        <v>1054</v>
      </c>
      <c r="F290" s="6">
        <v>2025</v>
      </c>
    </row>
    <row r="291" spans="1:6" x14ac:dyDescent="0.25">
      <c r="A291" t="s">
        <v>1035</v>
      </c>
      <c r="B291" s="15">
        <v>9620.8220000000001</v>
      </c>
      <c r="C291">
        <v>38000.710000000006</v>
      </c>
      <c r="D291" s="15">
        <f t="shared" si="5"/>
        <v>3.9498402527351617</v>
      </c>
      <c r="E291" t="s">
        <v>1055</v>
      </c>
      <c r="F291" s="6">
        <v>2025</v>
      </c>
    </row>
    <row r="292" spans="1:6" x14ac:dyDescent="0.25">
      <c r="A292" t="s">
        <v>1035</v>
      </c>
      <c r="B292" s="15">
        <v>10912.93233</v>
      </c>
      <c r="C292">
        <v>42831.670000000006</v>
      </c>
      <c r="D292" s="15">
        <f t="shared" si="5"/>
        <v>3.9248543567208216</v>
      </c>
      <c r="E292" t="s">
        <v>1056</v>
      </c>
      <c r="F292" s="6">
        <v>2025</v>
      </c>
    </row>
    <row r="293" spans="1:6" x14ac:dyDescent="0.25">
      <c r="A293" t="s">
        <v>1035</v>
      </c>
      <c r="B293" s="15">
        <v>6268.64</v>
      </c>
      <c r="C293">
        <v>23817.26</v>
      </c>
      <c r="D293" s="15">
        <f t="shared" si="5"/>
        <v>3.7994301794328589</v>
      </c>
      <c r="E293" t="s">
        <v>1063</v>
      </c>
      <c r="F293" s="6">
        <v>2025</v>
      </c>
    </row>
    <row r="294" spans="1:6" x14ac:dyDescent="0.25">
      <c r="A294" t="s">
        <v>1035</v>
      </c>
      <c r="B294" s="15">
        <v>7911.87</v>
      </c>
      <c r="C294">
        <v>30025.01</v>
      </c>
      <c r="D294" s="15">
        <f t="shared" si="5"/>
        <v>3.7949321715346684</v>
      </c>
      <c r="E294" t="s">
        <v>1064</v>
      </c>
      <c r="F294" s="6">
        <v>2025</v>
      </c>
    </row>
    <row r="295" spans="1:6" x14ac:dyDescent="0.25">
      <c r="A295" t="s">
        <v>1036</v>
      </c>
      <c r="B295" s="15">
        <v>5460.53</v>
      </c>
      <c r="C295">
        <v>10425.870000000001</v>
      </c>
      <c r="D295" s="15">
        <f t="shared" si="5"/>
        <v>1.9093146635949261</v>
      </c>
      <c r="E295" t="s">
        <v>1052</v>
      </c>
      <c r="F295" s="6">
        <v>2024</v>
      </c>
    </row>
    <row r="296" spans="1:6" x14ac:dyDescent="0.25">
      <c r="A296" t="s">
        <v>1036</v>
      </c>
      <c r="B296" s="15">
        <v>9576.6299999999992</v>
      </c>
      <c r="C296">
        <v>18794.61</v>
      </c>
      <c r="D296" s="15">
        <f t="shared" si="5"/>
        <v>1.9625494563327603</v>
      </c>
      <c r="E296" t="s">
        <v>1053</v>
      </c>
      <c r="F296" s="6">
        <v>2024</v>
      </c>
    </row>
    <row r="297" spans="1:6" x14ac:dyDescent="0.25">
      <c r="A297" t="s">
        <v>1036</v>
      </c>
      <c r="B297" s="15">
        <v>5827.88</v>
      </c>
      <c r="C297">
        <v>11218.86</v>
      </c>
      <c r="D297" s="15">
        <f t="shared" si="5"/>
        <v>1.9250327734956794</v>
      </c>
      <c r="E297" t="s">
        <v>1054</v>
      </c>
      <c r="F297" s="6">
        <v>2024</v>
      </c>
    </row>
    <row r="298" spans="1:6" x14ac:dyDescent="0.25">
      <c r="A298" t="s">
        <v>1036</v>
      </c>
      <c r="B298" s="15">
        <v>4532.42</v>
      </c>
      <c r="C298">
        <v>8751.69</v>
      </c>
      <c r="D298" s="15">
        <f t="shared" si="5"/>
        <v>1.9309088742879081</v>
      </c>
      <c r="E298" t="s">
        <v>1055</v>
      </c>
      <c r="F298" s="6">
        <v>2024</v>
      </c>
    </row>
    <row r="299" spans="1:6" x14ac:dyDescent="0.25">
      <c r="A299" t="s">
        <v>1036</v>
      </c>
      <c r="B299" s="15">
        <v>3653.808</v>
      </c>
      <c r="C299">
        <v>7075.96</v>
      </c>
      <c r="D299" s="15">
        <f t="shared" si="5"/>
        <v>1.9365987484837737</v>
      </c>
      <c r="E299" t="s">
        <v>1056</v>
      </c>
      <c r="F299" s="6">
        <v>2024</v>
      </c>
    </row>
    <row r="300" spans="1:6" x14ac:dyDescent="0.25">
      <c r="A300" t="s">
        <v>1036</v>
      </c>
      <c r="B300" s="15">
        <v>4973.51</v>
      </c>
      <c r="C300">
        <v>9956.93</v>
      </c>
      <c r="D300" s="15">
        <f t="shared" si="5"/>
        <v>2.0019925565646797</v>
      </c>
      <c r="E300" t="s">
        <v>1063</v>
      </c>
      <c r="F300" s="6">
        <v>2024</v>
      </c>
    </row>
    <row r="301" spans="1:6" x14ac:dyDescent="0.25">
      <c r="A301" t="s">
        <v>1036</v>
      </c>
      <c r="B301" s="15">
        <v>4221.59</v>
      </c>
      <c r="C301">
        <v>8767.5400000000009</v>
      </c>
      <c r="D301" s="15">
        <f t="shared" si="5"/>
        <v>2.0768336100852998</v>
      </c>
      <c r="E301" t="s">
        <v>1064</v>
      </c>
      <c r="F301" s="6">
        <v>2024</v>
      </c>
    </row>
    <row r="302" spans="1:6" x14ac:dyDescent="0.25">
      <c r="A302" t="s">
        <v>1036</v>
      </c>
      <c r="B302" s="15">
        <v>2010.982</v>
      </c>
      <c r="C302">
        <v>4129.22</v>
      </c>
      <c r="D302" s="15">
        <f t="shared" si="5"/>
        <v>2.0533351367640287</v>
      </c>
      <c r="E302" t="s">
        <v>1052</v>
      </c>
      <c r="F302" s="6">
        <v>2025</v>
      </c>
    </row>
    <row r="303" spans="1:6" x14ac:dyDescent="0.25">
      <c r="A303" t="s">
        <v>1036</v>
      </c>
      <c r="B303" s="15">
        <v>2565.7809999999999</v>
      </c>
      <c r="C303">
        <v>5191.87</v>
      </c>
      <c r="D303" s="15">
        <f t="shared" si="5"/>
        <v>2.0235047340361474</v>
      </c>
      <c r="E303" t="s">
        <v>1053</v>
      </c>
      <c r="F303" s="6">
        <v>2025</v>
      </c>
    </row>
    <row r="304" spans="1:6" x14ac:dyDescent="0.25">
      <c r="A304" t="s">
        <v>1036</v>
      </c>
      <c r="B304" s="15">
        <v>2578.6990000000001</v>
      </c>
      <c r="C304">
        <v>5115.55</v>
      </c>
      <c r="D304" s="15">
        <f t="shared" si="5"/>
        <v>1.9837716616014509</v>
      </c>
      <c r="E304" t="s">
        <v>1054</v>
      </c>
      <c r="F304" s="6">
        <v>2025</v>
      </c>
    </row>
    <row r="305" spans="1:6" x14ac:dyDescent="0.25">
      <c r="A305" t="s">
        <v>1036</v>
      </c>
      <c r="B305" s="15">
        <v>4576.7820000000002</v>
      </c>
      <c r="C305">
        <v>9151.91</v>
      </c>
      <c r="D305" s="15">
        <f t="shared" si="5"/>
        <v>1.9996386107094459</v>
      </c>
      <c r="E305" t="s">
        <v>1055</v>
      </c>
      <c r="F305" s="6">
        <v>2025</v>
      </c>
    </row>
    <row r="306" spans="1:6" x14ac:dyDescent="0.25">
      <c r="A306" t="s">
        <v>1036</v>
      </c>
      <c r="B306" s="15">
        <v>5794.35</v>
      </c>
      <c r="C306">
        <v>11081.05</v>
      </c>
      <c r="D306" s="15">
        <f t="shared" si="5"/>
        <v>1.9123887925306546</v>
      </c>
      <c r="E306" t="s">
        <v>1056</v>
      </c>
      <c r="F306" s="6">
        <v>2025</v>
      </c>
    </row>
    <row r="307" spans="1:6" x14ac:dyDescent="0.25">
      <c r="A307" t="s">
        <v>1036</v>
      </c>
      <c r="B307" s="15">
        <v>17274.63</v>
      </c>
      <c r="C307">
        <v>9121.4599999999991</v>
      </c>
      <c r="D307" s="15">
        <f>B307/C307</f>
        <v>1.8938448450138468</v>
      </c>
      <c r="E307" t="s">
        <v>1063</v>
      </c>
      <c r="F307" s="6">
        <v>2025</v>
      </c>
    </row>
    <row r="308" spans="1:6" x14ac:dyDescent="0.25">
      <c r="A308" t="s">
        <v>1036</v>
      </c>
      <c r="B308" s="15">
        <v>2076.44</v>
      </c>
      <c r="C308">
        <v>4144.62</v>
      </c>
      <c r="D308" s="15">
        <f>C308/B308</f>
        <v>1.9960220377184026</v>
      </c>
      <c r="E308" t="s">
        <v>1064</v>
      </c>
      <c r="F308" s="6">
        <v>2025</v>
      </c>
    </row>
    <row r="309" spans="1:6" x14ac:dyDescent="0.25">
      <c r="A309" t="s">
        <v>1037</v>
      </c>
      <c r="B309" s="15">
        <v>3835.01</v>
      </c>
      <c r="C309">
        <v>7546.95</v>
      </c>
      <c r="D309" s="15">
        <f t="shared" si="5"/>
        <v>1.9679088190122058</v>
      </c>
      <c r="E309" t="s">
        <v>1052</v>
      </c>
      <c r="F309" s="6">
        <v>2024</v>
      </c>
    </row>
    <row r="310" spans="1:6" x14ac:dyDescent="0.25">
      <c r="A310" t="s">
        <v>1037</v>
      </c>
      <c r="B310" s="15">
        <v>3146.79</v>
      </c>
      <c r="C310">
        <v>6111.45</v>
      </c>
      <c r="D310" s="15">
        <f t="shared" si="5"/>
        <v>1.9421219719142364</v>
      </c>
      <c r="E310" t="s">
        <v>1053</v>
      </c>
      <c r="F310" s="6">
        <v>2024</v>
      </c>
    </row>
    <row r="311" spans="1:6" x14ac:dyDescent="0.25">
      <c r="A311" t="s">
        <v>1037</v>
      </c>
      <c r="B311" s="15">
        <v>6880.52</v>
      </c>
      <c r="C311">
        <v>13133.060000000001</v>
      </c>
      <c r="D311" s="15">
        <f t="shared" si="5"/>
        <v>1.9087307354676681</v>
      </c>
      <c r="E311" t="s">
        <v>1054</v>
      </c>
      <c r="F311" s="6">
        <v>2024</v>
      </c>
    </row>
    <row r="312" spans="1:6" x14ac:dyDescent="0.25">
      <c r="A312" t="s">
        <v>1037</v>
      </c>
      <c r="B312" s="15">
        <v>1522.79</v>
      </c>
      <c r="C312">
        <v>3050.96</v>
      </c>
      <c r="D312" s="15">
        <f t="shared" si="5"/>
        <v>2.0035329887903126</v>
      </c>
      <c r="E312" t="s">
        <v>1055</v>
      </c>
      <c r="F312" s="6">
        <v>2024</v>
      </c>
    </row>
    <row r="313" spans="1:6" x14ac:dyDescent="0.25">
      <c r="A313" t="s">
        <v>1037</v>
      </c>
      <c r="B313" s="15">
        <v>3096.2960000000003</v>
      </c>
      <c r="C313">
        <v>5835.57</v>
      </c>
      <c r="D313" s="15">
        <f t="shared" si="5"/>
        <v>1.8846938406405587</v>
      </c>
      <c r="E313" t="s">
        <v>1056</v>
      </c>
      <c r="F313" s="6">
        <v>2024</v>
      </c>
    </row>
    <row r="314" spans="1:6" x14ac:dyDescent="0.25">
      <c r="A314" t="s">
        <v>1037</v>
      </c>
      <c r="B314" s="15">
        <v>1779.45</v>
      </c>
      <c r="C314">
        <v>3545.92</v>
      </c>
      <c r="D314" s="15">
        <f t="shared" si="5"/>
        <v>1.9927056112843857</v>
      </c>
      <c r="E314" t="s">
        <v>1063</v>
      </c>
      <c r="F314" s="6">
        <v>2024</v>
      </c>
    </row>
    <row r="315" spans="1:6" x14ac:dyDescent="0.25">
      <c r="A315" t="s">
        <v>1037</v>
      </c>
      <c r="B315" s="15">
        <v>1784.86</v>
      </c>
      <c r="C315">
        <v>3746.68</v>
      </c>
      <c r="D315" s="15">
        <f t="shared" si="5"/>
        <v>2.0991450309828221</v>
      </c>
      <c r="E315" t="s">
        <v>1064</v>
      </c>
      <c r="F315" s="6">
        <v>2024</v>
      </c>
    </row>
    <row r="316" spans="1:6" x14ac:dyDescent="0.25">
      <c r="A316" t="s">
        <v>1037</v>
      </c>
      <c r="B316" s="15">
        <v>48.752000000000002</v>
      </c>
      <c r="C316">
        <v>103.02000000000001</v>
      </c>
      <c r="D316" s="15">
        <f t="shared" si="5"/>
        <v>2.1131440761404661</v>
      </c>
      <c r="E316" t="s">
        <v>1052</v>
      </c>
      <c r="F316" s="6">
        <v>2025</v>
      </c>
    </row>
    <row r="317" spans="1:6" x14ac:dyDescent="0.25">
      <c r="A317" t="s">
        <v>1037</v>
      </c>
      <c r="B317" s="15">
        <v>1549.8969999999999</v>
      </c>
      <c r="C317">
        <v>3280.15</v>
      </c>
      <c r="D317" s="15">
        <f t="shared" si="5"/>
        <v>2.116366442415206</v>
      </c>
      <c r="E317" t="s">
        <v>1053</v>
      </c>
      <c r="F317" s="6">
        <v>2025</v>
      </c>
    </row>
    <row r="318" spans="1:6" x14ac:dyDescent="0.25">
      <c r="A318" t="s">
        <v>1037</v>
      </c>
      <c r="B318" s="15">
        <v>579.83799999999997</v>
      </c>
      <c r="C318">
        <v>1052.8900000000001</v>
      </c>
      <c r="D318" s="15">
        <f t="shared" si="5"/>
        <v>1.8158347676419968</v>
      </c>
      <c r="E318" t="s">
        <v>1054</v>
      </c>
      <c r="F318" s="6">
        <v>2025</v>
      </c>
    </row>
    <row r="319" spans="1:6" x14ac:dyDescent="0.25">
      <c r="A319" t="s">
        <v>1037</v>
      </c>
      <c r="B319" s="15">
        <v>1014.4449999999999</v>
      </c>
      <c r="C319">
        <v>1969.62</v>
      </c>
      <c r="D319" s="15">
        <f t="shared" si="5"/>
        <v>1.9415739640887382</v>
      </c>
      <c r="E319" t="s">
        <v>1055</v>
      </c>
      <c r="F319" s="6">
        <v>2025</v>
      </c>
    </row>
    <row r="320" spans="1:6" x14ac:dyDescent="0.25">
      <c r="A320" t="s">
        <v>1037</v>
      </c>
      <c r="B320" s="15">
        <v>925.34500000000003</v>
      </c>
      <c r="C320">
        <v>1831.6799999999998</v>
      </c>
      <c r="D320" s="15">
        <f t="shared" si="5"/>
        <v>1.9794563108894518</v>
      </c>
      <c r="E320" t="s">
        <v>1056</v>
      </c>
      <c r="F320" s="6">
        <v>2025</v>
      </c>
    </row>
    <row r="321" spans="1:6" x14ac:dyDescent="0.25">
      <c r="A321" t="s">
        <v>1037</v>
      </c>
      <c r="B321" s="15">
        <v>875.31</v>
      </c>
      <c r="C321">
        <v>1709.42</v>
      </c>
      <c r="D321" s="15">
        <f t="shared" si="5"/>
        <v>1.9529309616021755</v>
      </c>
      <c r="E321" t="s">
        <v>1063</v>
      </c>
      <c r="F321" s="6">
        <v>2025</v>
      </c>
    </row>
    <row r="322" spans="1:6" x14ac:dyDescent="0.25">
      <c r="A322" t="s">
        <v>1037</v>
      </c>
      <c r="B322" s="15">
        <v>985.57</v>
      </c>
      <c r="C322">
        <v>1880.63</v>
      </c>
      <c r="D322" s="15">
        <f t="shared" si="5"/>
        <v>1.9081648183284801</v>
      </c>
      <c r="E322" t="s">
        <v>1064</v>
      </c>
      <c r="F322" s="6">
        <v>2025</v>
      </c>
    </row>
    <row r="323" spans="1:6" x14ac:dyDescent="0.25">
      <c r="A323" t="s">
        <v>1038</v>
      </c>
      <c r="B323" s="15">
        <v>605.75</v>
      </c>
      <c r="C323">
        <v>2583.23</v>
      </c>
      <c r="D323" s="15">
        <f t="shared" si="5"/>
        <v>4.2645150639702845</v>
      </c>
      <c r="E323" t="s">
        <v>1052</v>
      </c>
      <c r="F323" s="6">
        <v>2024</v>
      </c>
    </row>
    <row r="324" spans="1:6" x14ac:dyDescent="0.25">
      <c r="A324" t="s">
        <v>1038</v>
      </c>
      <c r="B324" s="15">
        <v>607.43000000000006</v>
      </c>
      <c r="C324">
        <v>2251.1400000000003</v>
      </c>
      <c r="D324" s="15">
        <f t="shared" si="5"/>
        <v>3.7060072765586161</v>
      </c>
      <c r="E324" t="s">
        <v>1053</v>
      </c>
      <c r="F324" s="6">
        <v>2024</v>
      </c>
    </row>
    <row r="325" spans="1:6" x14ac:dyDescent="0.25">
      <c r="A325" t="s">
        <v>1038</v>
      </c>
      <c r="B325" s="15">
        <v>470.16</v>
      </c>
      <c r="C325">
        <v>2043.46</v>
      </c>
      <c r="D325" s="15">
        <f t="shared" si="5"/>
        <v>4.3463076399523564</v>
      </c>
      <c r="E325" t="s">
        <v>1054</v>
      </c>
      <c r="F325" s="6">
        <v>2024</v>
      </c>
    </row>
    <row r="326" spans="1:6" x14ac:dyDescent="0.25">
      <c r="A326" t="s">
        <v>1038</v>
      </c>
      <c r="B326" s="15">
        <v>546.70000000000005</v>
      </c>
      <c r="C326">
        <v>2575.23</v>
      </c>
      <c r="D326" s="15">
        <f t="shared" si="5"/>
        <v>4.7104993597951337</v>
      </c>
      <c r="E326" t="s">
        <v>1055</v>
      </c>
      <c r="F326" s="6">
        <v>2024</v>
      </c>
    </row>
    <row r="327" spans="1:6" x14ac:dyDescent="0.25">
      <c r="A327" t="s">
        <v>1038</v>
      </c>
      <c r="B327" s="15">
        <v>723.58500000000004</v>
      </c>
      <c r="C327">
        <v>3141.08</v>
      </c>
      <c r="D327" s="15">
        <f t="shared" si="5"/>
        <v>4.3409965657110083</v>
      </c>
      <c r="E327" t="s">
        <v>1056</v>
      </c>
      <c r="F327" s="6">
        <v>2024</v>
      </c>
    </row>
    <row r="328" spans="1:6" x14ac:dyDescent="0.25">
      <c r="A328" t="s">
        <v>1038</v>
      </c>
      <c r="B328" s="15">
        <v>583.42999999999995</v>
      </c>
      <c r="C328">
        <v>2610.4</v>
      </c>
      <c r="D328" s="15">
        <f t="shared" si="5"/>
        <v>4.4742299847453859</v>
      </c>
      <c r="E328" t="s">
        <v>1063</v>
      </c>
      <c r="F328" s="6">
        <v>2024</v>
      </c>
    </row>
    <row r="329" spans="1:6" x14ac:dyDescent="0.25">
      <c r="A329" t="s">
        <v>1038</v>
      </c>
      <c r="B329" s="15">
        <v>761.66</v>
      </c>
      <c r="C329">
        <v>3424.5</v>
      </c>
      <c r="D329" s="15">
        <f t="shared" si="5"/>
        <v>4.4961006223249225</v>
      </c>
      <c r="E329" t="s">
        <v>1064</v>
      </c>
      <c r="F329" s="6">
        <v>2024</v>
      </c>
    </row>
    <row r="330" spans="1:6" x14ac:dyDescent="0.25">
      <c r="A330" t="s">
        <v>1038</v>
      </c>
      <c r="B330" s="15">
        <v>650.274</v>
      </c>
      <c r="C330">
        <v>2869.6000000000004</v>
      </c>
      <c r="D330" s="15">
        <f t="shared" si="5"/>
        <v>4.412909019890078</v>
      </c>
      <c r="E330" t="s">
        <v>1052</v>
      </c>
      <c r="F330" s="6">
        <v>2025</v>
      </c>
    </row>
    <row r="331" spans="1:6" x14ac:dyDescent="0.25">
      <c r="A331" t="s">
        <v>1038</v>
      </c>
      <c r="B331" s="15">
        <v>561.37800000000004</v>
      </c>
      <c r="C331">
        <v>2539.41</v>
      </c>
      <c r="D331" s="15">
        <f t="shared" si="5"/>
        <v>4.5235296003762162</v>
      </c>
      <c r="E331" t="s">
        <v>1053</v>
      </c>
      <c r="F331" s="6">
        <v>2025</v>
      </c>
    </row>
    <row r="332" spans="1:6" x14ac:dyDescent="0.25">
      <c r="A332" t="s">
        <v>1038</v>
      </c>
      <c r="B332" s="15">
        <v>544.39400000000001</v>
      </c>
      <c r="C332">
        <v>2450.17</v>
      </c>
      <c r="D332" s="15">
        <f t="shared" si="5"/>
        <v>4.5007292512408297</v>
      </c>
      <c r="E332" t="s">
        <v>1054</v>
      </c>
      <c r="F332" s="6">
        <v>2025</v>
      </c>
    </row>
    <row r="333" spans="1:6" x14ac:dyDescent="0.25">
      <c r="A333" t="s">
        <v>1038</v>
      </c>
      <c r="B333" s="15">
        <v>460.28399999999999</v>
      </c>
      <c r="C333">
        <v>2092.2800000000002</v>
      </c>
      <c r="D333" s="15">
        <f t="shared" ref="D333:D422" si="6">C333/B333</f>
        <v>4.5456283511918736</v>
      </c>
      <c r="E333" t="s">
        <v>1055</v>
      </c>
      <c r="F333" s="6">
        <v>2025</v>
      </c>
    </row>
    <row r="334" spans="1:6" x14ac:dyDescent="0.25">
      <c r="A334" t="s">
        <v>1038</v>
      </c>
      <c r="B334" s="15">
        <v>389.99996999999996</v>
      </c>
      <c r="C334">
        <v>1770.55</v>
      </c>
      <c r="D334" s="15">
        <f t="shared" si="6"/>
        <v>4.5398721440927297</v>
      </c>
      <c r="E334" t="s">
        <v>1056</v>
      </c>
      <c r="F334" s="6">
        <v>2025</v>
      </c>
    </row>
    <row r="335" spans="1:6" x14ac:dyDescent="0.25">
      <c r="A335" t="s">
        <v>1038</v>
      </c>
      <c r="B335" s="15">
        <v>397.41</v>
      </c>
      <c r="C335">
        <v>1767.11</v>
      </c>
      <c r="D335" s="15">
        <f t="shared" si="6"/>
        <v>4.4465665182053797</v>
      </c>
      <c r="E335" t="s">
        <v>1063</v>
      </c>
      <c r="F335" s="6">
        <v>2025</v>
      </c>
    </row>
    <row r="336" spans="1:6" x14ac:dyDescent="0.25">
      <c r="A336" t="s">
        <v>1038</v>
      </c>
      <c r="B336" s="15">
        <v>572.34</v>
      </c>
      <c r="C336">
        <v>2550.64</v>
      </c>
      <c r="D336" s="15">
        <f t="shared" si="6"/>
        <v>4.4565118635775933</v>
      </c>
      <c r="E336" t="s">
        <v>1064</v>
      </c>
      <c r="F336" s="6">
        <v>2025</v>
      </c>
    </row>
    <row r="337" spans="1:6" x14ac:dyDescent="0.25">
      <c r="A337" t="s">
        <v>1039</v>
      </c>
      <c r="B337" s="15">
        <v>822.17000000000007</v>
      </c>
      <c r="C337">
        <v>2353.5599999999995</v>
      </c>
      <c r="D337" s="15">
        <f t="shared" si="6"/>
        <v>2.8626196528698435</v>
      </c>
      <c r="E337" t="s">
        <v>1052</v>
      </c>
      <c r="F337" s="6">
        <v>2024</v>
      </c>
    </row>
    <row r="338" spans="1:6" x14ac:dyDescent="0.25">
      <c r="A338" t="s">
        <v>1039</v>
      </c>
      <c r="B338" s="15">
        <v>1062.9100000000001</v>
      </c>
      <c r="C338">
        <v>2820.55</v>
      </c>
      <c r="D338" s="15">
        <f t="shared" si="6"/>
        <v>2.6536113123406495</v>
      </c>
      <c r="E338" t="s">
        <v>1053</v>
      </c>
      <c r="F338" s="6">
        <v>2024</v>
      </c>
    </row>
    <row r="339" spans="1:6" x14ac:dyDescent="0.25">
      <c r="A339" t="s">
        <v>1039</v>
      </c>
      <c r="B339" s="15">
        <v>1619.69</v>
      </c>
      <c r="C339">
        <v>4720.43</v>
      </c>
      <c r="D339" s="15">
        <f t="shared" si="6"/>
        <v>2.9144033734850496</v>
      </c>
      <c r="E339" t="s">
        <v>1054</v>
      </c>
      <c r="F339" s="6">
        <v>2024</v>
      </c>
    </row>
    <row r="340" spans="1:6" x14ac:dyDescent="0.25">
      <c r="A340" t="s">
        <v>1039</v>
      </c>
      <c r="B340" s="15">
        <v>335.68</v>
      </c>
      <c r="C340">
        <v>1033.54</v>
      </c>
      <c r="D340" s="15">
        <f t="shared" si="6"/>
        <v>3.0789442326024785</v>
      </c>
      <c r="E340" t="s">
        <v>1055</v>
      </c>
      <c r="F340" s="6">
        <v>2024</v>
      </c>
    </row>
    <row r="341" spans="1:6" x14ac:dyDescent="0.25">
      <c r="A341" t="s">
        <v>1039</v>
      </c>
      <c r="B341" s="15">
        <v>585.92900000000009</v>
      </c>
      <c r="C341">
        <v>1788.3</v>
      </c>
      <c r="D341" s="15">
        <f t="shared" si="6"/>
        <v>3.0520762754531687</v>
      </c>
      <c r="E341" t="s">
        <v>1056</v>
      </c>
      <c r="F341" s="6">
        <v>2024</v>
      </c>
    </row>
    <row r="342" spans="1:6" x14ac:dyDescent="0.25">
      <c r="A342" t="s">
        <v>1039</v>
      </c>
      <c r="B342" s="15">
        <v>521.35</v>
      </c>
      <c r="C342">
        <v>1656.31</v>
      </c>
      <c r="D342" s="15">
        <f t="shared" si="6"/>
        <v>3.1769636520571591</v>
      </c>
      <c r="E342" t="s">
        <v>1063</v>
      </c>
      <c r="F342" s="6">
        <v>2024</v>
      </c>
    </row>
    <row r="343" spans="1:6" x14ac:dyDescent="0.25">
      <c r="A343" t="s">
        <v>1039</v>
      </c>
      <c r="B343" s="15">
        <v>459.59</v>
      </c>
      <c r="C343">
        <v>1477.43</v>
      </c>
      <c r="D343" s="15">
        <f t="shared" si="6"/>
        <v>3.2146695968145522</v>
      </c>
      <c r="E343" t="s">
        <v>1064</v>
      </c>
      <c r="F343" s="6">
        <v>2024</v>
      </c>
    </row>
    <row r="344" spans="1:6" x14ac:dyDescent="0.25">
      <c r="A344" t="s">
        <v>1039</v>
      </c>
      <c r="B344" s="15">
        <v>557.91</v>
      </c>
      <c r="C344">
        <v>1646.11</v>
      </c>
      <c r="D344" s="15">
        <f t="shared" si="6"/>
        <v>2.9504938072448961</v>
      </c>
      <c r="E344" t="s">
        <v>1052</v>
      </c>
      <c r="F344" s="6">
        <v>2025</v>
      </c>
    </row>
    <row r="345" spans="1:6" x14ac:dyDescent="0.25">
      <c r="A345" t="s">
        <v>1039</v>
      </c>
      <c r="B345" s="15">
        <v>974.98400000000004</v>
      </c>
      <c r="C345">
        <v>2996.7799999999997</v>
      </c>
      <c r="D345" s="15">
        <f t="shared" si="6"/>
        <v>3.0736709525489645</v>
      </c>
      <c r="E345" t="s">
        <v>1053</v>
      </c>
      <c r="F345" s="6">
        <v>2025</v>
      </c>
    </row>
    <row r="346" spans="1:6" x14ac:dyDescent="0.25">
      <c r="A346" t="s">
        <v>1039</v>
      </c>
      <c r="B346" s="15">
        <v>1023.8530000000001</v>
      </c>
      <c r="C346">
        <v>3176.97</v>
      </c>
      <c r="D346" s="15">
        <f t="shared" si="6"/>
        <v>3.10295520939041</v>
      </c>
      <c r="E346" t="s">
        <v>1054</v>
      </c>
      <c r="F346" s="6">
        <v>2025</v>
      </c>
    </row>
    <row r="347" spans="1:6" x14ac:dyDescent="0.25">
      <c r="A347" t="s">
        <v>1039</v>
      </c>
      <c r="B347" s="15">
        <v>529.06200000000001</v>
      </c>
      <c r="C347">
        <v>1633.88</v>
      </c>
      <c r="D347" s="15">
        <f t="shared" si="6"/>
        <v>3.0882580869538923</v>
      </c>
      <c r="E347" t="s">
        <v>1055</v>
      </c>
      <c r="F347" s="6">
        <v>2025</v>
      </c>
    </row>
    <row r="348" spans="1:6" x14ac:dyDescent="0.25">
      <c r="A348" t="s">
        <v>1039</v>
      </c>
      <c r="B348" s="15">
        <v>526.42100000000005</v>
      </c>
      <c r="C348">
        <v>1628.3000000000002</v>
      </c>
      <c r="D348" s="15">
        <f t="shared" si="6"/>
        <v>3.093151678979372</v>
      </c>
      <c r="E348" t="s">
        <v>1056</v>
      </c>
      <c r="F348" s="6">
        <v>2025</v>
      </c>
    </row>
    <row r="349" spans="1:6" x14ac:dyDescent="0.25">
      <c r="A349" t="s">
        <v>1039</v>
      </c>
      <c r="B349" s="15">
        <v>399.55</v>
      </c>
      <c r="C349">
        <v>1188.6400000000001</v>
      </c>
      <c r="D349" s="15">
        <f t="shared" si="6"/>
        <v>2.9749468151670633</v>
      </c>
      <c r="E349" t="s">
        <v>1063</v>
      </c>
      <c r="F349" s="6">
        <v>2025</v>
      </c>
    </row>
    <row r="350" spans="1:6" x14ac:dyDescent="0.25">
      <c r="A350" t="s">
        <v>1039</v>
      </c>
      <c r="B350" s="15">
        <v>606.49</v>
      </c>
      <c r="C350">
        <v>1858.28</v>
      </c>
      <c r="D350" s="15">
        <f t="shared" si="6"/>
        <v>3.0639911622615377</v>
      </c>
      <c r="E350" t="s">
        <v>1064</v>
      </c>
      <c r="F350" s="6">
        <v>2025</v>
      </c>
    </row>
    <row r="351" spans="1:6" x14ac:dyDescent="0.25">
      <c r="A351" t="s">
        <v>1040</v>
      </c>
      <c r="B351" s="15">
        <v>2561.52</v>
      </c>
      <c r="C351">
        <v>6145.4299999999994</v>
      </c>
      <c r="D351" s="15">
        <f t="shared" si="6"/>
        <v>2.3991341078734498</v>
      </c>
      <c r="E351" t="s">
        <v>1052</v>
      </c>
      <c r="F351" s="6">
        <v>2024</v>
      </c>
    </row>
    <row r="352" spans="1:6" x14ac:dyDescent="0.25">
      <c r="A352" t="s">
        <v>1040</v>
      </c>
      <c r="B352" s="15">
        <v>1902.4500000000003</v>
      </c>
      <c r="C352">
        <v>4618.07</v>
      </c>
      <c r="D352" s="15">
        <f t="shared" si="6"/>
        <v>2.4274330468606267</v>
      </c>
      <c r="E352" t="s">
        <v>1053</v>
      </c>
      <c r="F352" s="6">
        <v>2024</v>
      </c>
    </row>
    <row r="353" spans="1:6" x14ac:dyDescent="0.25">
      <c r="A353" t="s">
        <v>1040</v>
      </c>
      <c r="B353" s="15">
        <v>2439.35</v>
      </c>
      <c r="C353">
        <v>6090.0999999999995</v>
      </c>
      <c r="D353" s="15">
        <f t="shared" si="6"/>
        <v>2.4966077028716667</v>
      </c>
      <c r="E353" t="s">
        <v>1054</v>
      </c>
      <c r="F353" s="6">
        <v>2024</v>
      </c>
    </row>
    <row r="354" spans="1:6" x14ac:dyDescent="0.25">
      <c r="A354" t="s">
        <v>1040</v>
      </c>
      <c r="B354" s="15">
        <v>2202.2600000000002</v>
      </c>
      <c r="C354">
        <v>5528.6200000000008</v>
      </c>
      <c r="D354" s="15">
        <f t="shared" si="6"/>
        <v>2.5104301944366245</v>
      </c>
      <c r="E354" t="s">
        <v>1055</v>
      </c>
      <c r="F354" s="6">
        <v>2024</v>
      </c>
    </row>
    <row r="355" spans="1:6" x14ac:dyDescent="0.25">
      <c r="A355" t="s">
        <v>1040</v>
      </c>
      <c r="B355" s="15">
        <v>2194.4249999999997</v>
      </c>
      <c r="C355">
        <v>5501.75</v>
      </c>
      <c r="D355" s="15">
        <f t="shared" si="6"/>
        <v>2.507148797520991</v>
      </c>
      <c r="E355" t="s">
        <v>1056</v>
      </c>
      <c r="F355" s="6">
        <v>2024</v>
      </c>
    </row>
    <row r="356" spans="1:6" x14ac:dyDescent="0.25">
      <c r="A356" t="s">
        <v>1040</v>
      </c>
      <c r="B356" s="15">
        <v>2097.42</v>
      </c>
      <c r="C356">
        <v>5422.89</v>
      </c>
      <c r="D356" s="15">
        <f t="shared" si="6"/>
        <v>2.585505049060274</v>
      </c>
      <c r="E356" t="s">
        <v>1063</v>
      </c>
      <c r="F356" s="6">
        <v>2024</v>
      </c>
    </row>
    <row r="357" spans="1:6" x14ac:dyDescent="0.25">
      <c r="A357" t="s">
        <v>1040</v>
      </c>
      <c r="B357" s="15">
        <v>1407.12</v>
      </c>
      <c r="C357">
        <v>3718.47</v>
      </c>
      <c r="D357" s="15">
        <f t="shared" si="6"/>
        <v>2.6426104383421456</v>
      </c>
      <c r="E357" t="s">
        <v>1064</v>
      </c>
      <c r="F357" s="6">
        <v>2024</v>
      </c>
    </row>
    <row r="358" spans="1:6" x14ac:dyDescent="0.25">
      <c r="A358" t="s">
        <v>1040</v>
      </c>
      <c r="B358" s="15">
        <v>1884.819</v>
      </c>
      <c r="C358">
        <v>4847.9900000000007</v>
      </c>
      <c r="D358" s="15">
        <f t="shared" si="6"/>
        <v>2.5721249626621976</v>
      </c>
      <c r="E358" t="s">
        <v>1052</v>
      </c>
      <c r="F358" s="6">
        <v>2025</v>
      </c>
    </row>
    <row r="359" spans="1:6" x14ac:dyDescent="0.25">
      <c r="A359" t="s">
        <v>1040</v>
      </c>
      <c r="B359" s="15">
        <v>456.50100000000003</v>
      </c>
      <c r="C359">
        <v>1267.5500000000002</v>
      </c>
      <c r="D359" s="15">
        <f t="shared" si="6"/>
        <v>2.7766642351276341</v>
      </c>
      <c r="E359" t="s">
        <v>1053</v>
      </c>
      <c r="F359" s="6">
        <v>2025</v>
      </c>
    </row>
    <row r="360" spans="1:6" x14ac:dyDescent="0.25">
      <c r="A360" t="s">
        <v>1040</v>
      </c>
      <c r="B360" s="15">
        <v>419.50099999999998</v>
      </c>
      <c r="C360">
        <v>1112.58</v>
      </c>
      <c r="D360" s="15">
        <f t="shared" si="6"/>
        <v>2.6521510079832944</v>
      </c>
      <c r="E360" t="s">
        <v>1054</v>
      </c>
      <c r="F360" s="6">
        <v>2025</v>
      </c>
    </row>
    <row r="361" spans="1:6" x14ac:dyDescent="0.25">
      <c r="A361" t="s">
        <v>1040</v>
      </c>
      <c r="B361" s="15">
        <v>1029.7429999999999</v>
      </c>
      <c r="C361">
        <v>2768.5699999999997</v>
      </c>
      <c r="D361" s="15">
        <f t="shared" si="6"/>
        <v>2.6886028844090224</v>
      </c>
      <c r="E361" t="s">
        <v>1055</v>
      </c>
      <c r="F361" s="6">
        <v>2025</v>
      </c>
    </row>
    <row r="362" spans="1:6" x14ac:dyDescent="0.25">
      <c r="A362" t="s">
        <v>1040</v>
      </c>
      <c r="B362" s="15">
        <v>1066.021</v>
      </c>
      <c r="C362">
        <v>2855.0099999999998</v>
      </c>
      <c r="D362" s="15">
        <f t="shared" si="6"/>
        <v>2.6781930187116387</v>
      </c>
      <c r="E362" t="s">
        <v>1056</v>
      </c>
      <c r="F362" s="6">
        <v>2025</v>
      </c>
    </row>
    <row r="363" spans="1:6" x14ac:dyDescent="0.25">
      <c r="A363" t="s">
        <v>1040</v>
      </c>
      <c r="B363" s="15">
        <v>811.89</v>
      </c>
      <c r="C363">
        <v>2182.66</v>
      </c>
      <c r="D363" s="15">
        <f t="shared" si="6"/>
        <v>2.6883691140425428</v>
      </c>
      <c r="E363" t="s">
        <v>1063</v>
      </c>
      <c r="F363" s="6">
        <v>2025</v>
      </c>
    </row>
    <row r="364" spans="1:6" x14ac:dyDescent="0.25">
      <c r="A364" t="s">
        <v>1040</v>
      </c>
      <c r="B364" s="15">
        <v>306.62</v>
      </c>
      <c r="C364">
        <v>824.37</v>
      </c>
      <c r="D364" s="15">
        <f t="shared" si="6"/>
        <v>2.6885721740264823</v>
      </c>
      <c r="E364" t="s">
        <v>1064</v>
      </c>
      <c r="F364" s="6">
        <v>2025</v>
      </c>
    </row>
    <row r="365" spans="1:6" x14ac:dyDescent="0.25">
      <c r="A365" t="s">
        <v>1041</v>
      </c>
      <c r="B365" s="15">
        <v>1231.3499999999999</v>
      </c>
      <c r="C365">
        <v>6395.51</v>
      </c>
      <c r="D365" s="15">
        <f t="shared" si="6"/>
        <v>5.1939010029642265</v>
      </c>
      <c r="E365" t="s">
        <v>1052</v>
      </c>
      <c r="F365" s="6">
        <v>2024</v>
      </c>
    </row>
    <row r="366" spans="1:6" x14ac:dyDescent="0.25">
      <c r="A366" t="s">
        <v>1041</v>
      </c>
      <c r="B366" s="15">
        <v>1065.6199999999999</v>
      </c>
      <c r="C366">
        <v>5658.82</v>
      </c>
      <c r="D366" s="15">
        <f t="shared" si="6"/>
        <v>5.3103545353878499</v>
      </c>
      <c r="E366" t="s">
        <v>1053</v>
      </c>
      <c r="F366" s="6">
        <v>2024</v>
      </c>
    </row>
    <row r="367" spans="1:6" x14ac:dyDescent="0.25">
      <c r="A367" t="s">
        <v>1041</v>
      </c>
      <c r="B367" s="15">
        <v>318.52</v>
      </c>
      <c r="C367">
        <v>1652.3</v>
      </c>
      <c r="D367" s="15">
        <f t="shared" si="6"/>
        <v>5.1874293607936712</v>
      </c>
      <c r="E367" t="s">
        <v>1054</v>
      </c>
      <c r="F367" s="6">
        <v>2024</v>
      </c>
    </row>
    <row r="368" spans="1:6" x14ac:dyDescent="0.25">
      <c r="A368" t="s">
        <v>1041</v>
      </c>
      <c r="B368" s="15">
        <v>242.79000000000002</v>
      </c>
      <c r="C368">
        <v>1260.21</v>
      </c>
      <c r="D368" s="15">
        <f t="shared" si="6"/>
        <v>5.1905350302730753</v>
      </c>
      <c r="E368" t="s">
        <v>1055</v>
      </c>
      <c r="F368" s="6">
        <v>2024</v>
      </c>
    </row>
    <row r="369" spans="1:6" x14ac:dyDescent="0.25">
      <c r="A369" t="s">
        <v>1041</v>
      </c>
      <c r="B369" s="15">
        <v>347.17600000000004</v>
      </c>
      <c r="C369">
        <v>1804.77</v>
      </c>
      <c r="D369" s="15">
        <f t="shared" si="6"/>
        <v>5.1984296149503413</v>
      </c>
      <c r="E369" t="s">
        <v>1056</v>
      </c>
      <c r="F369" s="6">
        <v>2024</v>
      </c>
    </row>
    <row r="370" spans="1:6" x14ac:dyDescent="0.25">
      <c r="A370" t="s">
        <v>1041</v>
      </c>
      <c r="B370" s="15">
        <v>245.44</v>
      </c>
      <c r="C370">
        <v>1324.44</v>
      </c>
      <c r="D370" s="15">
        <f t="shared" si="6"/>
        <v>5.3961864406779663</v>
      </c>
      <c r="E370" t="s">
        <v>1063</v>
      </c>
      <c r="F370" s="6">
        <v>2024</v>
      </c>
    </row>
    <row r="371" spans="1:6" x14ac:dyDescent="0.25">
      <c r="A371" t="s">
        <v>1041</v>
      </c>
      <c r="B371" s="15">
        <v>316.39</v>
      </c>
      <c r="C371">
        <v>1640.01</v>
      </c>
      <c r="D371" s="15">
        <f t="shared" si="6"/>
        <v>5.1835076961977311</v>
      </c>
      <c r="E371" t="s">
        <v>1064</v>
      </c>
      <c r="F371" s="6">
        <v>2024</v>
      </c>
    </row>
    <row r="372" spans="1:6" x14ac:dyDescent="0.25">
      <c r="A372" t="s">
        <v>1041</v>
      </c>
      <c r="B372" s="15">
        <v>301.67</v>
      </c>
      <c r="C372">
        <v>1607.07</v>
      </c>
      <c r="D372" s="15">
        <f t="shared" si="6"/>
        <v>5.3272450028176479</v>
      </c>
      <c r="E372" t="s">
        <v>1052</v>
      </c>
      <c r="F372" s="6">
        <v>2025</v>
      </c>
    </row>
    <row r="373" spans="1:6" x14ac:dyDescent="0.25">
      <c r="A373" t="s">
        <v>1041</v>
      </c>
      <c r="B373" s="15">
        <v>703.18700000000001</v>
      </c>
      <c r="C373">
        <v>3884.83</v>
      </c>
      <c r="D373" s="15">
        <f t="shared" si="6"/>
        <v>5.5246044082157377</v>
      </c>
      <c r="E373" t="s">
        <v>1053</v>
      </c>
      <c r="F373" s="6">
        <v>2025</v>
      </c>
    </row>
    <row r="374" spans="1:6" x14ac:dyDescent="0.25">
      <c r="A374" t="s">
        <v>1041</v>
      </c>
      <c r="B374" s="15">
        <v>122.854</v>
      </c>
      <c r="C374">
        <v>720.03</v>
      </c>
      <c r="D374" s="15">
        <f t="shared" si="6"/>
        <v>5.8608592312826602</v>
      </c>
      <c r="E374" t="s">
        <v>1054</v>
      </c>
      <c r="F374" s="6">
        <v>2025</v>
      </c>
    </row>
    <row r="375" spans="1:6" x14ac:dyDescent="0.25">
      <c r="A375" t="s">
        <v>1041</v>
      </c>
      <c r="B375" s="15">
        <v>141.58600000000001</v>
      </c>
      <c r="C375">
        <v>890.66</v>
      </c>
      <c r="D375" s="15">
        <f t="shared" si="6"/>
        <v>6.2905937027672216</v>
      </c>
      <c r="E375" t="s">
        <v>1055</v>
      </c>
      <c r="F375" s="6">
        <v>2025</v>
      </c>
    </row>
    <row r="376" spans="1:6" x14ac:dyDescent="0.25">
      <c r="A376" t="s">
        <v>1041</v>
      </c>
      <c r="B376" s="15">
        <v>162.48500000000001</v>
      </c>
      <c r="C376">
        <v>1013.81</v>
      </c>
      <c r="D376" s="15">
        <f t="shared" si="6"/>
        <v>6.2394067144659502</v>
      </c>
      <c r="E376" t="s">
        <v>1056</v>
      </c>
      <c r="F376" s="6">
        <v>2025</v>
      </c>
    </row>
    <row r="377" spans="1:6" x14ac:dyDescent="0.25">
      <c r="A377" t="s">
        <v>1041</v>
      </c>
      <c r="B377" s="15">
        <v>100.77</v>
      </c>
      <c r="C377">
        <v>641.51</v>
      </c>
      <c r="D377" s="15">
        <f t="shared" si="6"/>
        <v>6.3660811749528632</v>
      </c>
      <c r="E377" t="s">
        <v>1063</v>
      </c>
      <c r="F377" s="6">
        <v>2025</v>
      </c>
    </row>
    <row r="378" spans="1:6" x14ac:dyDescent="0.25">
      <c r="A378" t="s">
        <v>1041</v>
      </c>
      <c r="B378" s="15">
        <v>211.44</v>
      </c>
      <c r="C378">
        <v>1321.18</v>
      </c>
      <c r="D378" s="15">
        <f t="shared" si="6"/>
        <v>6.2484865682936057</v>
      </c>
      <c r="E378" t="s">
        <v>1064</v>
      </c>
      <c r="F378" s="6">
        <v>2025</v>
      </c>
    </row>
    <row r="379" spans="1:6" x14ac:dyDescent="0.25">
      <c r="A379" t="s">
        <v>1042</v>
      </c>
      <c r="B379" s="15">
        <v>733.44</v>
      </c>
      <c r="C379">
        <v>3227.69</v>
      </c>
      <c r="D379" s="15">
        <f t="shared" si="6"/>
        <v>4.4007553446771377</v>
      </c>
      <c r="E379" t="s">
        <v>1052</v>
      </c>
      <c r="F379" s="6">
        <v>2024</v>
      </c>
    </row>
    <row r="380" spans="1:6" x14ac:dyDescent="0.25">
      <c r="A380" t="s">
        <v>1042</v>
      </c>
      <c r="B380" s="15">
        <v>1122.25</v>
      </c>
      <c r="C380">
        <v>5094.1100000000006</v>
      </c>
      <c r="D380" s="15">
        <f t="shared" si="6"/>
        <v>4.5391935843172204</v>
      </c>
      <c r="E380" t="s">
        <v>1053</v>
      </c>
      <c r="F380" s="6">
        <v>2024</v>
      </c>
    </row>
    <row r="381" spans="1:6" x14ac:dyDescent="0.25">
      <c r="A381" t="s">
        <v>1042</v>
      </c>
      <c r="B381" s="15">
        <v>727.94</v>
      </c>
      <c r="C381">
        <v>3430.23</v>
      </c>
      <c r="D381" s="15">
        <f t="shared" si="6"/>
        <v>4.7122427672610376</v>
      </c>
      <c r="E381" t="s">
        <v>1054</v>
      </c>
      <c r="F381" s="6">
        <v>2024</v>
      </c>
    </row>
    <row r="382" spans="1:6" x14ac:dyDescent="0.25">
      <c r="A382" t="s">
        <v>1042</v>
      </c>
      <c r="B382" s="15">
        <v>199.91000000000003</v>
      </c>
      <c r="C382">
        <v>871.83999999999992</v>
      </c>
      <c r="D382" s="15">
        <f t="shared" si="6"/>
        <v>4.3611625231354099</v>
      </c>
      <c r="E382" t="s">
        <v>1055</v>
      </c>
      <c r="F382" s="6">
        <v>2024</v>
      </c>
    </row>
    <row r="383" spans="1:6" x14ac:dyDescent="0.25">
      <c r="A383" t="s">
        <v>1042</v>
      </c>
      <c r="B383" s="15">
        <v>578.19299999999998</v>
      </c>
      <c r="C383">
        <v>2645.27</v>
      </c>
      <c r="D383" s="15">
        <f t="shared" si="6"/>
        <v>4.5750640357112591</v>
      </c>
      <c r="E383" t="s">
        <v>1056</v>
      </c>
      <c r="F383" s="6">
        <v>2024</v>
      </c>
    </row>
    <row r="384" spans="1:6" x14ac:dyDescent="0.25">
      <c r="A384" t="s">
        <v>1042</v>
      </c>
      <c r="B384" s="15">
        <v>300.32</v>
      </c>
      <c r="C384">
        <v>1417.98</v>
      </c>
      <c r="D384" s="15">
        <f t="shared" si="6"/>
        <v>4.721563665423548</v>
      </c>
      <c r="E384" t="s">
        <v>1063</v>
      </c>
      <c r="F384" s="6">
        <v>2024</v>
      </c>
    </row>
    <row r="385" spans="1:6" x14ac:dyDescent="0.25">
      <c r="A385" t="s">
        <v>1042</v>
      </c>
      <c r="B385" s="15">
        <v>156.15</v>
      </c>
      <c r="C385">
        <v>784.8</v>
      </c>
      <c r="D385" s="15">
        <f t="shared" si="6"/>
        <v>5.0259365994236305</v>
      </c>
      <c r="E385" t="s">
        <v>1064</v>
      </c>
      <c r="F385" s="6">
        <v>2024</v>
      </c>
    </row>
    <row r="386" spans="1:6" x14ac:dyDescent="0.25">
      <c r="A386" t="s">
        <v>1042</v>
      </c>
      <c r="B386" s="15">
        <v>179.15100000000001</v>
      </c>
      <c r="C386">
        <v>887.22</v>
      </c>
      <c r="D386" s="15">
        <f t="shared" si="6"/>
        <v>4.9523586248471956</v>
      </c>
      <c r="E386" t="s">
        <v>1052</v>
      </c>
      <c r="F386" s="6">
        <v>2025</v>
      </c>
    </row>
    <row r="387" spans="1:6" x14ac:dyDescent="0.25">
      <c r="A387" t="s">
        <v>1042</v>
      </c>
      <c r="B387" s="15">
        <v>406.25799999999998</v>
      </c>
      <c r="C387">
        <v>2049.27</v>
      </c>
      <c r="D387" s="15">
        <f t="shared" si="6"/>
        <v>5.0442575900043813</v>
      </c>
      <c r="E387" t="s">
        <v>1053</v>
      </c>
      <c r="F387" s="6">
        <v>2025</v>
      </c>
    </row>
    <row r="388" spans="1:6" x14ac:dyDescent="0.25">
      <c r="A388" t="s">
        <v>1042</v>
      </c>
      <c r="B388" s="15">
        <v>208.45599999999999</v>
      </c>
      <c r="C388">
        <v>1045.05</v>
      </c>
      <c r="D388" s="15">
        <f t="shared" si="6"/>
        <v>5.0132881759220176</v>
      </c>
      <c r="E388" t="s">
        <v>1054</v>
      </c>
      <c r="F388" s="6">
        <v>2025</v>
      </c>
    </row>
    <row r="389" spans="1:6" x14ac:dyDescent="0.25">
      <c r="A389" t="s">
        <v>1042</v>
      </c>
      <c r="B389" s="15">
        <v>193.815</v>
      </c>
      <c r="C389">
        <v>983.86</v>
      </c>
      <c r="D389" s="15">
        <f t="shared" si="6"/>
        <v>5.076284085339112</v>
      </c>
      <c r="E389" t="s">
        <v>1055</v>
      </c>
      <c r="F389" s="6">
        <v>2025</v>
      </c>
    </row>
    <row r="390" spans="1:6" x14ac:dyDescent="0.25">
      <c r="A390" t="s">
        <v>1042</v>
      </c>
      <c r="B390" s="15">
        <v>145.51499999999999</v>
      </c>
      <c r="C390">
        <v>734.82999999999993</v>
      </c>
      <c r="D390" s="15">
        <f t="shared" si="6"/>
        <v>5.0498574030168708</v>
      </c>
      <c r="E390" t="s">
        <v>1056</v>
      </c>
      <c r="F390" s="6">
        <v>2025</v>
      </c>
    </row>
    <row r="391" spans="1:6" x14ac:dyDescent="0.25">
      <c r="A391" t="s">
        <v>1042</v>
      </c>
      <c r="B391" s="15">
        <v>117.91</v>
      </c>
      <c r="C391">
        <v>603.20000000000005</v>
      </c>
      <c r="D391" s="15">
        <f t="shared" si="6"/>
        <v>5.1157662624035289</v>
      </c>
      <c r="E391" t="s">
        <v>1063</v>
      </c>
      <c r="F391" s="6">
        <v>2025</v>
      </c>
    </row>
    <row r="392" spans="1:6" x14ac:dyDescent="0.25">
      <c r="A392" t="s">
        <v>1042</v>
      </c>
      <c r="B392" s="15">
        <v>53.66</v>
      </c>
      <c r="C392">
        <v>260.45999999999998</v>
      </c>
      <c r="D392" s="15">
        <f t="shared" si="6"/>
        <v>4.8538948937756246</v>
      </c>
      <c r="E392" t="s">
        <v>1064</v>
      </c>
      <c r="F392" s="6">
        <v>2025</v>
      </c>
    </row>
    <row r="393" spans="1:6" x14ac:dyDescent="0.25">
      <c r="A393" t="s">
        <v>1043</v>
      </c>
      <c r="B393" s="15">
        <v>6067.78</v>
      </c>
      <c r="C393">
        <v>18198</v>
      </c>
      <c r="D393" s="15">
        <f t="shared" si="6"/>
        <v>2.9991199417249801</v>
      </c>
      <c r="E393" t="s">
        <v>1052</v>
      </c>
      <c r="F393" s="6">
        <v>2024</v>
      </c>
    </row>
    <row r="394" spans="1:6" x14ac:dyDescent="0.25">
      <c r="A394" t="s">
        <v>1043</v>
      </c>
      <c r="B394" s="15">
        <v>5342.15</v>
      </c>
      <c r="C394">
        <v>16702.25</v>
      </c>
      <c r="D394" s="15">
        <f t="shared" si="6"/>
        <v>3.1265033741096753</v>
      </c>
      <c r="E394" t="s">
        <v>1053</v>
      </c>
      <c r="F394" s="6">
        <v>2024</v>
      </c>
    </row>
    <row r="395" spans="1:6" x14ac:dyDescent="0.25">
      <c r="A395" t="s">
        <v>1043</v>
      </c>
      <c r="B395" s="15">
        <v>1457.5099999999998</v>
      </c>
      <c r="C395">
        <v>4643.1000000000004</v>
      </c>
      <c r="D395" s="15">
        <f t="shared" si="6"/>
        <v>3.1856385204904263</v>
      </c>
      <c r="E395" t="s">
        <v>1054</v>
      </c>
      <c r="F395" s="6">
        <v>2024</v>
      </c>
    </row>
    <row r="396" spans="1:6" x14ac:dyDescent="0.25">
      <c r="A396" t="s">
        <v>1043</v>
      </c>
      <c r="B396" s="15">
        <v>1409.53</v>
      </c>
      <c r="C396">
        <v>4450.6900000000005</v>
      </c>
      <c r="D396" s="15">
        <f t="shared" si="6"/>
        <v>3.1575702539144257</v>
      </c>
      <c r="E396" t="s">
        <v>1055</v>
      </c>
      <c r="F396" s="6">
        <v>2024</v>
      </c>
    </row>
    <row r="397" spans="1:6" x14ac:dyDescent="0.25">
      <c r="A397" t="s">
        <v>1043</v>
      </c>
      <c r="B397" s="15">
        <v>1925.838</v>
      </c>
      <c r="C397">
        <v>5988.58</v>
      </c>
      <c r="D397" s="15">
        <f t="shared" si="6"/>
        <v>3.1095969650614435</v>
      </c>
      <c r="E397" t="s">
        <v>1056</v>
      </c>
      <c r="F397" s="6">
        <v>2024</v>
      </c>
    </row>
    <row r="398" spans="1:6" x14ac:dyDescent="0.25">
      <c r="A398" t="s">
        <v>1043</v>
      </c>
      <c r="B398" s="15">
        <v>1666.86</v>
      </c>
      <c r="C398">
        <v>5424.53</v>
      </c>
      <c r="D398" s="15">
        <f t="shared" si="6"/>
        <v>3.2543404965024059</v>
      </c>
      <c r="E398" t="s">
        <v>1063</v>
      </c>
      <c r="F398" s="6">
        <v>2024</v>
      </c>
    </row>
    <row r="399" spans="1:6" x14ac:dyDescent="0.25">
      <c r="A399" t="s">
        <v>1043</v>
      </c>
      <c r="B399" s="15">
        <v>1725.46</v>
      </c>
      <c r="C399">
        <v>5338.05</v>
      </c>
      <c r="D399" s="15">
        <f t="shared" si="6"/>
        <v>3.0936967533295467</v>
      </c>
      <c r="E399" t="s">
        <v>1064</v>
      </c>
      <c r="F399" s="6">
        <v>2024</v>
      </c>
    </row>
    <row r="400" spans="1:6" x14ac:dyDescent="0.25">
      <c r="A400" t="s">
        <v>1043</v>
      </c>
      <c r="B400" s="15">
        <v>3305.4209999999998</v>
      </c>
      <c r="C400">
        <v>10206.880000000001</v>
      </c>
      <c r="D400" s="15">
        <f t="shared" si="6"/>
        <v>3.0879213268143459</v>
      </c>
      <c r="E400" t="s">
        <v>1052</v>
      </c>
      <c r="F400" s="6">
        <v>2025</v>
      </c>
    </row>
    <row r="401" spans="1:6" x14ac:dyDescent="0.25">
      <c r="A401" t="s">
        <v>1043</v>
      </c>
      <c r="B401" s="15">
        <v>6003.0159999999996</v>
      </c>
      <c r="C401">
        <v>18934.88</v>
      </c>
      <c r="D401" s="15">
        <f t="shared" si="6"/>
        <v>3.1542278081551012</v>
      </c>
      <c r="E401" t="s">
        <v>1053</v>
      </c>
      <c r="F401" s="6">
        <v>2025</v>
      </c>
    </row>
    <row r="402" spans="1:6" x14ac:dyDescent="0.25">
      <c r="A402" t="s">
        <v>1043</v>
      </c>
      <c r="B402" s="15">
        <v>1807.4390000000001</v>
      </c>
      <c r="C402">
        <v>5630.26</v>
      </c>
      <c r="D402" s="15">
        <f t="shared" si="6"/>
        <v>3.1150484193380801</v>
      </c>
      <c r="E402" t="s">
        <v>1054</v>
      </c>
      <c r="F402" s="6">
        <v>2025</v>
      </c>
    </row>
    <row r="403" spans="1:6" x14ac:dyDescent="0.25">
      <c r="A403" t="s">
        <v>1043</v>
      </c>
      <c r="B403" s="15">
        <v>1342.2180000000001</v>
      </c>
      <c r="C403">
        <v>4255.7400000000007</v>
      </c>
      <c r="D403" s="15">
        <f t="shared" si="6"/>
        <v>3.1706771925275929</v>
      </c>
      <c r="E403" t="s">
        <v>1055</v>
      </c>
      <c r="F403" s="6">
        <v>2025</v>
      </c>
    </row>
    <row r="404" spans="1:6" x14ac:dyDescent="0.25">
      <c r="A404" t="s">
        <v>1043</v>
      </c>
      <c r="B404" s="15">
        <v>1331.9869799999999</v>
      </c>
      <c r="C404">
        <v>4204.8399999999992</v>
      </c>
      <c r="D404" s="15">
        <f t="shared" si="6"/>
        <v>3.1568176439682611</v>
      </c>
      <c r="E404" t="s">
        <v>1056</v>
      </c>
      <c r="F404" s="6">
        <v>2025</v>
      </c>
    </row>
    <row r="405" spans="1:6" x14ac:dyDescent="0.25">
      <c r="A405" t="s">
        <v>1043</v>
      </c>
      <c r="B405" s="15">
        <v>692.17</v>
      </c>
      <c r="C405">
        <v>2204.64</v>
      </c>
      <c r="D405" s="15">
        <f t="shared" si="6"/>
        <v>3.1851134836817545</v>
      </c>
      <c r="E405" t="s">
        <v>1063</v>
      </c>
      <c r="F405" s="6">
        <v>2025</v>
      </c>
    </row>
    <row r="406" spans="1:6" x14ac:dyDescent="0.25">
      <c r="A406" t="s">
        <v>1043</v>
      </c>
      <c r="B406" s="15">
        <v>1296.95</v>
      </c>
      <c r="C406">
        <v>4093.69</v>
      </c>
      <c r="D406" s="15">
        <f t="shared" si="6"/>
        <v>3.1563977023015535</v>
      </c>
      <c r="E406" t="s">
        <v>1064</v>
      </c>
      <c r="F406" s="6">
        <v>2025</v>
      </c>
    </row>
    <row r="407" spans="1:6" x14ac:dyDescent="0.25">
      <c r="A407" t="s">
        <v>1044</v>
      </c>
      <c r="B407" s="15">
        <v>152.97</v>
      </c>
      <c r="C407">
        <v>596.69000000000005</v>
      </c>
      <c r="D407" s="15">
        <f t="shared" si="6"/>
        <v>3.900699483558868</v>
      </c>
      <c r="E407" t="s">
        <v>1052</v>
      </c>
      <c r="F407" s="6">
        <v>2024</v>
      </c>
    </row>
    <row r="408" spans="1:6" x14ac:dyDescent="0.25">
      <c r="A408" t="s">
        <v>1044</v>
      </c>
      <c r="B408" s="15">
        <v>101.38</v>
      </c>
      <c r="C408">
        <v>394.33</v>
      </c>
      <c r="D408" s="15">
        <f t="shared" si="6"/>
        <v>3.8896231998421777</v>
      </c>
      <c r="E408" t="s">
        <v>1053</v>
      </c>
      <c r="F408" s="6">
        <v>2024</v>
      </c>
    </row>
    <row r="409" spans="1:6" x14ac:dyDescent="0.25">
      <c r="A409" t="s">
        <v>1044</v>
      </c>
      <c r="B409" s="15">
        <v>198.76</v>
      </c>
      <c r="C409">
        <v>783.28</v>
      </c>
      <c r="D409" s="15">
        <f t="shared" si="6"/>
        <v>3.9408331656268869</v>
      </c>
      <c r="E409" t="s">
        <v>1054</v>
      </c>
      <c r="F409" s="6">
        <v>2024</v>
      </c>
    </row>
    <row r="410" spans="1:6" x14ac:dyDescent="0.25">
      <c r="A410" t="s">
        <v>1044</v>
      </c>
      <c r="B410" s="15">
        <v>361.18</v>
      </c>
      <c r="C410">
        <v>1400.75</v>
      </c>
      <c r="D410" s="15">
        <f t="shared" si="6"/>
        <v>3.8782601472949776</v>
      </c>
      <c r="E410" t="s">
        <v>1055</v>
      </c>
      <c r="F410" s="6">
        <v>2024</v>
      </c>
    </row>
    <row r="411" spans="1:6" x14ac:dyDescent="0.25">
      <c r="A411" t="s">
        <v>1044</v>
      </c>
      <c r="B411" s="15">
        <v>493.71000000000004</v>
      </c>
      <c r="C411">
        <v>1908.15</v>
      </c>
      <c r="D411" s="15">
        <f t="shared" si="6"/>
        <v>3.864920702436653</v>
      </c>
      <c r="E411" t="s">
        <v>1056</v>
      </c>
      <c r="F411" s="6">
        <v>2024</v>
      </c>
    </row>
    <row r="412" spans="1:6" x14ac:dyDescent="0.25">
      <c r="A412" t="s">
        <v>1044</v>
      </c>
      <c r="B412" s="15">
        <v>929</v>
      </c>
      <c r="C412">
        <v>3730.49</v>
      </c>
      <c r="D412" s="15">
        <f t="shared" si="6"/>
        <v>4.0155974165769646</v>
      </c>
      <c r="E412" t="s">
        <v>1063</v>
      </c>
      <c r="F412" s="6">
        <v>2024</v>
      </c>
    </row>
    <row r="413" spans="1:6" x14ac:dyDescent="0.25">
      <c r="A413" t="s">
        <v>1044</v>
      </c>
      <c r="B413" s="15">
        <v>890.17</v>
      </c>
      <c r="C413">
        <v>3611.71</v>
      </c>
      <c r="D413" s="15">
        <f t="shared" si="6"/>
        <v>4.0573261287169871</v>
      </c>
      <c r="E413" t="s">
        <v>1064</v>
      </c>
      <c r="F413" s="6">
        <v>2024</v>
      </c>
    </row>
    <row r="414" spans="1:6" x14ac:dyDescent="0.25">
      <c r="A414" t="s">
        <v>1044</v>
      </c>
      <c r="B414" s="15">
        <v>233</v>
      </c>
      <c r="C414">
        <v>958.01</v>
      </c>
      <c r="D414" s="15">
        <f t="shared" si="6"/>
        <v>4.1116309012875538</v>
      </c>
      <c r="E414" t="s">
        <v>1052</v>
      </c>
      <c r="F414" s="6">
        <v>2025</v>
      </c>
    </row>
    <row r="415" spans="1:6" x14ac:dyDescent="0.25">
      <c r="A415" t="s">
        <v>1044</v>
      </c>
      <c r="B415" s="15">
        <v>173.7</v>
      </c>
      <c r="C415">
        <v>726.72</v>
      </c>
      <c r="D415" s="15">
        <f t="shared" si="6"/>
        <v>4.1837651122625221</v>
      </c>
      <c r="E415" t="s">
        <v>1053</v>
      </c>
      <c r="F415" s="6">
        <v>2025</v>
      </c>
    </row>
    <row r="416" spans="1:6" x14ac:dyDescent="0.25">
      <c r="A416" t="s">
        <v>1044</v>
      </c>
      <c r="B416" s="15">
        <v>303.93</v>
      </c>
      <c r="C416">
        <v>1265.1199999999999</v>
      </c>
      <c r="D416" s="15">
        <f t="shared" si="6"/>
        <v>4.1625374263810739</v>
      </c>
      <c r="E416" t="s">
        <v>1054</v>
      </c>
      <c r="F416" s="6">
        <v>2025</v>
      </c>
    </row>
    <row r="417" spans="1:6" x14ac:dyDescent="0.25">
      <c r="A417" t="s">
        <v>1044</v>
      </c>
      <c r="B417" s="15">
        <v>364.3</v>
      </c>
      <c r="C417">
        <v>1532.55</v>
      </c>
      <c r="D417" s="15">
        <f t="shared" si="6"/>
        <v>4.2068350260774086</v>
      </c>
      <c r="E417" t="s">
        <v>1055</v>
      </c>
      <c r="F417" s="6">
        <v>2025</v>
      </c>
    </row>
    <row r="418" spans="1:6" x14ac:dyDescent="0.25">
      <c r="A418" t="s">
        <v>1044</v>
      </c>
      <c r="B418" s="15">
        <v>630.79</v>
      </c>
      <c r="C418">
        <v>2633.32</v>
      </c>
      <c r="D418" s="15">
        <f t="shared" si="6"/>
        <v>4.1746381521584048</v>
      </c>
      <c r="E418" t="s">
        <v>1056</v>
      </c>
      <c r="F418" s="6">
        <v>2025</v>
      </c>
    </row>
    <row r="419" spans="1:6" x14ac:dyDescent="0.25">
      <c r="A419" t="s">
        <v>1044</v>
      </c>
      <c r="B419" s="15">
        <v>1071.55</v>
      </c>
      <c r="C419">
        <v>4451.07</v>
      </c>
      <c r="D419" s="15">
        <f t="shared" si="6"/>
        <v>4.1538612290607064</v>
      </c>
      <c r="E419" t="s">
        <v>1063</v>
      </c>
      <c r="F419" s="6">
        <v>2025</v>
      </c>
    </row>
    <row r="420" spans="1:6" x14ac:dyDescent="0.25">
      <c r="A420" t="s">
        <v>1044</v>
      </c>
      <c r="B420" s="15">
        <v>987.35</v>
      </c>
      <c r="C420">
        <v>4101</v>
      </c>
      <c r="D420" s="15">
        <f t="shared" si="6"/>
        <v>4.1535423102243376</v>
      </c>
      <c r="E420" t="s">
        <v>1064</v>
      </c>
      <c r="F420" s="6">
        <v>2025</v>
      </c>
    </row>
    <row r="421" spans="1:6" x14ac:dyDescent="0.25">
      <c r="A421" t="s">
        <v>1045</v>
      </c>
      <c r="B421" s="15">
        <v>1335.24</v>
      </c>
      <c r="C421">
        <v>6858.34</v>
      </c>
      <c r="D421" s="15">
        <f t="shared" si="6"/>
        <v>5.136409933794674</v>
      </c>
      <c r="E421" t="s">
        <v>1052</v>
      </c>
      <c r="F421" s="6">
        <v>2024</v>
      </c>
    </row>
    <row r="422" spans="1:6" x14ac:dyDescent="0.25">
      <c r="A422" t="s">
        <v>1045</v>
      </c>
      <c r="B422" s="15">
        <v>1170.3899999999999</v>
      </c>
      <c r="C422">
        <v>6079.86</v>
      </c>
      <c r="D422" s="15">
        <f t="shared" si="6"/>
        <v>5.194729961807603</v>
      </c>
      <c r="E422" t="s">
        <v>1053</v>
      </c>
      <c r="F422" s="6">
        <v>2024</v>
      </c>
    </row>
    <row r="423" spans="1:6" x14ac:dyDescent="0.25">
      <c r="A423" t="s">
        <v>1045</v>
      </c>
      <c r="B423" s="15">
        <v>1060.96</v>
      </c>
      <c r="C423">
        <v>5560.67</v>
      </c>
      <c r="D423" s="15">
        <f t="shared" ref="D423:D468" si="7">C423/B423</f>
        <v>5.2411683758105863</v>
      </c>
      <c r="E423" t="s">
        <v>1054</v>
      </c>
      <c r="F423" s="6">
        <v>2024</v>
      </c>
    </row>
    <row r="424" spans="1:6" x14ac:dyDescent="0.25">
      <c r="A424" t="s">
        <v>1045</v>
      </c>
      <c r="B424" s="15">
        <v>606.22</v>
      </c>
      <c r="C424">
        <v>3208.3599999999997</v>
      </c>
      <c r="D424" s="15">
        <f t="shared" si="7"/>
        <v>5.2924020982481599</v>
      </c>
      <c r="E424" t="s">
        <v>1055</v>
      </c>
      <c r="F424" s="6">
        <v>2024</v>
      </c>
    </row>
    <row r="425" spans="1:6" x14ac:dyDescent="0.25">
      <c r="A425" t="s">
        <v>1045</v>
      </c>
      <c r="B425" s="15">
        <v>768.23700000000008</v>
      </c>
      <c r="C425">
        <v>4056.16</v>
      </c>
      <c r="D425" s="15">
        <f t="shared" si="7"/>
        <v>5.279829011099439</v>
      </c>
      <c r="E425" t="s">
        <v>1056</v>
      </c>
      <c r="F425" s="6">
        <v>2024</v>
      </c>
    </row>
    <row r="426" spans="1:6" x14ac:dyDescent="0.25">
      <c r="A426" t="s">
        <v>1045</v>
      </c>
      <c r="B426" s="15">
        <v>687.92</v>
      </c>
      <c r="C426">
        <v>3655.33</v>
      </c>
      <c r="D426" s="15">
        <f t="shared" si="7"/>
        <v>5.3135975113385276</v>
      </c>
      <c r="E426" t="s">
        <v>1063</v>
      </c>
      <c r="F426" s="6">
        <v>2024</v>
      </c>
    </row>
    <row r="427" spans="1:6" x14ac:dyDescent="0.25">
      <c r="A427" t="s">
        <v>1045</v>
      </c>
      <c r="B427" s="15">
        <v>769.6</v>
      </c>
      <c r="C427">
        <v>3340.46</v>
      </c>
      <c r="D427" s="15">
        <f t="shared" si="7"/>
        <v>4.340514553014553</v>
      </c>
      <c r="E427" t="s">
        <v>1064</v>
      </c>
      <c r="F427" s="6">
        <v>2024</v>
      </c>
    </row>
    <row r="428" spans="1:6" x14ac:dyDescent="0.25">
      <c r="A428" t="s">
        <v>1045</v>
      </c>
      <c r="B428" s="15">
        <v>523.95799999999997</v>
      </c>
      <c r="C428">
        <v>3087.7300000000005</v>
      </c>
      <c r="D428" s="15">
        <f t="shared" si="7"/>
        <v>5.8930868504727494</v>
      </c>
      <c r="E428" t="s">
        <v>1052</v>
      </c>
      <c r="F428" s="6">
        <v>2025</v>
      </c>
    </row>
    <row r="429" spans="1:6" x14ac:dyDescent="0.25">
      <c r="A429" t="s">
        <v>1045</v>
      </c>
      <c r="B429" s="15">
        <v>698.20299999999997</v>
      </c>
      <c r="C429">
        <v>4034.36</v>
      </c>
      <c r="D429" s="15">
        <f t="shared" si="7"/>
        <v>5.778204906023034</v>
      </c>
      <c r="E429" t="s">
        <v>1053</v>
      </c>
      <c r="F429" s="6">
        <v>2025</v>
      </c>
    </row>
    <row r="430" spans="1:6" x14ac:dyDescent="0.25">
      <c r="A430" t="s">
        <v>1045</v>
      </c>
      <c r="B430" s="15">
        <v>458.31299999999999</v>
      </c>
      <c r="C430">
        <v>2910.4199999999996</v>
      </c>
      <c r="D430" s="15">
        <f t="shared" si="7"/>
        <v>6.3502889946390342</v>
      </c>
      <c r="E430" t="s">
        <v>1054</v>
      </c>
      <c r="F430" s="6">
        <v>2025</v>
      </c>
    </row>
    <row r="431" spans="1:6" x14ac:dyDescent="0.25">
      <c r="A431" t="s">
        <v>1045</v>
      </c>
      <c r="B431" s="15">
        <v>653.59100000000001</v>
      </c>
      <c r="C431">
        <v>4130.37</v>
      </c>
      <c r="D431" s="15">
        <f t="shared" si="7"/>
        <v>6.3195025635297917</v>
      </c>
      <c r="E431" t="s">
        <v>1055</v>
      </c>
      <c r="F431" s="6">
        <v>2025</v>
      </c>
    </row>
    <row r="432" spans="1:6" x14ac:dyDescent="0.25">
      <c r="A432" t="s">
        <v>1045</v>
      </c>
      <c r="B432" s="15">
        <v>566.35</v>
      </c>
      <c r="C432">
        <v>3576.48</v>
      </c>
      <c r="D432" s="15">
        <f t="shared" si="7"/>
        <v>6.314964244724993</v>
      </c>
      <c r="E432" t="s">
        <v>1056</v>
      </c>
      <c r="F432" s="6">
        <v>2025</v>
      </c>
    </row>
    <row r="433" spans="1:6" x14ac:dyDescent="0.25">
      <c r="A433" t="s">
        <v>1045</v>
      </c>
      <c r="B433" s="15">
        <v>571.54</v>
      </c>
      <c r="C433">
        <v>3619.18</v>
      </c>
      <c r="D433" s="15">
        <f t="shared" si="7"/>
        <v>6.3323301956118554</v>
      </c>
      <c r="E433" t="s">
        <v>1063</v>
      </c>
      <c r="F433" s="6">
        <v>2025</v>
      </c>
    </row>
    <row r="434" spans="1:6" x14ac:dyDescent="0.25">
      <c r="A434" t="s">
        <v>1045</v>
      </c>
      <c r="B434" s="15">
        <v>664.79</v>
      </c>
      <c r="C434">
        <v>4250.7700000000004</v>
      </c>
      <c r="D434" s="15">
        <f t="shared" si="7"/>
        <v>6.3941545450443007</v>
      </c>
      <c r="E434" t="s">
        <v>1064</v>
      </c>
      <c r="F434" s="6">
        <v>2025</v>
      </c>
    </row>
    <row r="435" spans="1:6" x14ac:dyDescent="0.25">
      <c r="A435" t="s">
        <v>282</v>
      </c>
      <c r="B435" s="15">
        <v>208.17</v>
      </c>
      <c r="C435">
        <v>894.83</v>
      </c>
      <c r="D435" s="15">
        <f t="shared" si="7"/>
        <v>4.298554066388049</v>
      </c>
      <c r="E435" t="s">
        <v>1025</v>
      </c>
      <c r="F435" s="6">
        <v>2024</v>
      </c>
    </row>
    <row r="436" spans="1:6" x14ac:dyDescent="0.25">
      <c r="A436" t="s">
        <v>282</v>
      </c>
      <c r="B436" s="15">
        <v>200.69</v>
      </c>
      <c r="C436">
        <v>865.81</v>
      </c>
      <c r="D436" s="15">
        <f t="shared" si="7"/>
        <v>4.3141661268623244</v>
      </c>
      <c r="E436" t="s">
        <v>1047</v>
      </c>
      <c r="F436" s="6">
        <v>2024</v>
      </c>
    </row>
    <row r="437" spans="1:6" x14ac:dyDescent="0.25">
      <c r="A437" t="s">
        <v>282</v>
      </c>
      <c r="B437" s="15">
        <v>348.79</v>
      </c>
      <c r="C437">
        <v>1497.34</v>
      </c>
      <c r="D437" s="15">
        <f t="shared" si="7"/>
        <v>4.2929556466641818</v>
      </c>
      <c r="E437" t="s">
        <v>1048</v>
      </c>
      <c r="F437" s="6">
        <v>2024</v>
      </c>
    </row>
    <row r="438" spans="1:6" x14ac:dyDescent="0.25">
      <c r="A438" t="s">
        <v>282</v>
      </c>
      <c r="B438" s="15">
        <v>132.1</v>
      </c>
      <c r="C438">
        <v>573.12</v>
      </c>
      <c r="D438" s="15">
        <f t="shared" si="7"/>
        <v>4.3385314155942467</v>
      </c>
      <c r="E438" t="s">
        <v>1049</v>
      </c>
      <c r="F438" s="6">
        <v>2024</v>
      </c>
    </row>
    <row r="439" spans="1:6" x14ac:dyDescent="0.25">
      <c r="A439" t="s">
        <v>282</v>
      </c>
      <c r="B439" s="15">
        <v>153.62</v>
      </c>
      <c r="C439">
        <v>659.16</v>
      </c>
      <c r="D439" s="15">
        <f t="shared" si="7"/>
        <v>4.2908475458924613</v>
      </c>
      <c r="E439" t="s">
        <v>1050</v>
      </c>
      <c r="F439" s="6">
        <v>2024</v>
      </c>
    </row>
    <row r="440" spans="1:6" x14ac:dyDescent="0.25">
      <c r="A440" t="s">
        <v>282</v>
      </c>
      <c r="B440" s="15">
        <v>194.74</v>
      </c>
      <c r="C440">
        <v>845.22</v>
      </c>
      <c r="D440" s="15">
        <f t="shared" si="7"/>
        <v>4.3402485365102184</v>
      </c>
      <c r="E440" t="s">
        <v>1051</v>
      </c>
      <c r="F440" s="6">
        <v>2024</v>
      </c>
    </row>
    <row r="441" spans="1:6" x14ac:dyDescent="0.25">
      <c r="A441" t="s">
        <v>282</v>
      </c>
      <c r="B441" s="15">
        <v>180.18</v>
      </c>
      <c r="C441">
        <v>808.64</v>
      </c>
      <c r="D441" s="15">
        <f>C441/B441</f>
        <v>4.4879564879564873</v>
      </c>
      <c r="E441" t="s">
        <v>1057</v>
      </c>
      <c r="F441" s="6">
        <v>2024</v>
      </c>
    </row>
    <row r="442" spans="1:6" x14ac:dyDescent="0.25">
      <c r="A442" t="s">
        <v>282</v>
      </c>
      <c r="B442" s="15">
        <v>216.2</v>
      </c>
      <c r="C442">
        <v>957.98</v>
      </c>
      <c r="D442" s="15">
        <f t="shared" ref="D442:D453" si="8">C442/B442</f>
        <v>4.4309898242368178</v>
      </c>
      <c r="E442" t="s">
        <v>1058</v>
      </c>
      <c r="F442" s="6">
        <v>2024</v>
      </c>
    </row>
    <row r="443" spans="1:6" x14ac:dyDescent="0.25">
      <c r="A443" t="s">
        <v>282</v>
      </c>
      <c r="B443" s="15">
        <v>101.38</v>
      </c>
      <c r="C443">
        <v>455.74</v>
      </c>
      <c r="D443" s="15">
        <f t="shared" si="8"/>
        <v>4.4953639771158018</v>
      </c>
      <c r="E443" t="s">
        <v>1059</v>
      </c>
      <c r="F443" s="6">
        <v>2024</v>
      </c>
    </row>
    <row r="444" spans="1:6" x14ac:dyDescent="0.25">
      <c r="A444" t="s">
        <v>282</v>
      </c>
      <c r="B444" s="15">
        <v>176.96</v>
      </c>
      <c r="C444">
        <v>783.22</v>
      </c>
      <c r="D444" s="15">
        <f t="shared" si="8"/>
        <v>4.4259719710669074</v>
      </c>
      <c r="E444" t="s">
        <v>1060</v>
      </c>
      <c r="F444" s="6">
        <v>2024</v>
      </c>
    </row>
    <row r="445" spans="1:6" x14ac:dyDescent="0.25">
      <c r="A445" t="s">
        <v>282</v>
      </c>
      <c r="B445" s="15">
        <v>88.31</v>
      </c>
      <c r="C445">
        <v>398.1</v>
      </c>
      <c r="D445" s="15">
        <f t="shared" si="8"/>
        <v>4.5079832408560749</v>
      </c>
      <c r="E445" t="s">
        <v>1061</v>
      </c>
      <c r="F445" s="6">
        <v>2024</v>
      </c>
    </row>
    <row r="446" spans="1:6" x14ac:dyDescent="0.25">
      <c r="A446" t="s">
        <v>282</v>
      </c>
      <c r="B446" s="15">
        <v>114.61</v>
      </c>
      <c r="C446">
        <v>515.14</v>
      </c>
      <c r="D446" s="15">
        <f t="shared" si="8"/>
        <v>4.4947212285140914</v>
      </c>
      <c r="E446" t="s">
        <v>1062</v>
      </c>
      <c r="F446" s="6">
        <v>2024</v>
      </c>
    </row>
    <row r="447" spans="1:6" x14ac:dyDescent="0.25">
      <c r="A447" t="s">
        <v>282</v>
      </c>
      <c r="B447" s="15">
        <v>171.28</v>
      </c>
      <c r="C447">
        <v>763.9</v>
      </c>
      <c r="D447" s="15">
        <f t="shared" si="8"/>
        <v>4.4599486221391871</v>
      </c>
      <c r="E447" t="s">
        <v>1052</v>
      </c>
      <c r="F447" s="6">
        <v>2025</v>
      </c>
    </row>
    <row r="448" spans="1:6" x14ac:dyDescent="0.25">
      <c r="A448" t="s">
        <v>282</v>
      </c>
      <c r="B448" s="15">
        <v>173.9</v>
      </c>
      <c r="C448">
        <v>863.61</v>
      </c>
      <c r="D448" s="15">
        <f t="shared" si="8"/>
        <v>4.966129959746981</v>
      </c>
      <c r="E448" t="s">
        <v>1053</v>
      </c>
      <c r="F448" s="6">
        <v>2025</v>
      </c>
    </row>
    <row r="449" spans="1:6" x14ac:dyDescent="0.25">
      <c r="A449" t="s">
        <v>282</v>
      </c>
      <c r="B449" s="15">
        <v>77.92</v>
      </c>
      <c r="C449">
        <v>352.82</v>
      </c>
      <c r="D449" s="15">
        <f t="shared" si="8"/>
        <v>4.5279774127310057</v>
      </c>
      <c r="E449" t="s">
        <v>1054</v>
      </c>
      <c r="F449" s="6">
        <v>2025</v>
      </c>
    </row>
    <row r="450" spans="1:6" x14ac:dyDescent="0.25">
      <c r="A450" t="s">
        <v>282</v>
      </c>
      <c r="B450" s="15">
        <v>91.58</v>
      </c>
      <c r="C450">
        <v>420.5</v>
      </c>
      <c r="D450" s="15">
        <f t="shared" si="8"/>
        <v>4.5916138894955232</v>
      </c>
      <c r="E450" t="s">
        <v>1055</v>
      </c>
      <c r="F450" s="6">
        <v>2025</v>
      </c>
    </row>
    <row r="451" spans="1:6" x14ac:dyDescent="0.25">
      <c r="A451" t="s">
        <v>282</v>
      </c>
      <c r="B451" s="15">
        <v>102.92</v>
      </c>
      <c r="C451">
        <v>473.5</v>
      </c>
      <c r="D451" s="15">
        <f t="shared" si="8"/>
        <v>4.6006607073455106</v>
      </c>
      <c r="E451" t="s">
        <v>1056</v>
      </c>
      <c r="F451" s="6">
        <v>2025</v>
      </c>
    </row>
    <row r="452" spans="1:6" x14ac:dyDescent="0.25">
      <c r="A452" t="s">
        <v>282</v>
      </c>
      <c r="B452" s="15">
        <v>36.78</v>
      </c>
      <c r="C452">
        <v>166.1</v>
      </c>
      <c r="D452" s="15">
        <f t="shared" si="8"/>
        <v>4.5160413268080477</v>
      </c>
      <c r="E452" t="s">
        <v>1063</v>
      </c>
      <c r="F452" s="6">
        <v>2025</v>
      </c>
    </row>
    <row r="453" spans="1:6" x14ac:dyDescent="0.25">
      <c r="A453" t="s">
        <v>282</v>
      </c>
      <c r="B453" s="15">
        <v>186.57</v>
      </c>
      <c r="C453">
        <v>837.68</v>
      </c>
      <c r="D453" s="15">
        <f t="shared" si="8"/>
        <v>4.489896553572386</v>
      </c>
      <c r="E453" t="s">
        <v>1064</v>
      </c>
      <c r="F453" s="6">
        <v>2025</v>
      </c>
    </row>
    <row r="454" spans="1:6" x14ac:dyDescent="0.25">
      <c r="A454" t="s">
        <v>1046</v>
      </c>
      <c r="B454" s="15">
        <v>540.82999999999993</v>
      </c>
      <c r="C454">
        <v>1490.87</v>
      </c>
      <c r="D454" s="15">
        <f t="shared" si="7"/>
        <v>2.756633322855611</v>
      </c>
      <c r="E454" t="s">
        <v>1052</v>
      </c>
      <c r="F454" s="6">
        <v>2024</v>
      </c>
    </row>
    <row r="455" spans="1:6" x14ac:dyDescent="0.25">
      <c r="A455" t="s">
        <v>1046</v>
      </c>
      <c r="B455" s="15">
        <v>617.13</v>
      </c>
      <c r="C455">
        <v>1705.44</v>
      </c>
      <c r="D455" s="15">
        <f t="shared" si="7"/>
        <v>2.7635020174031406</v>
      </c>
      <c r="E455" t="s">
        <v>1053</v>
      </c>
      <c r="F455" s="6">
        <v>2024</v>
      </c>
    </row>
    <row r="456" spans="1:6" x14ac:dyDescent="0.25">
      <c r="A456" t="s">
        <v>1046</v>
      </c>
      <c r="B456" s="15">
        <v>259.75</v>
      </c>
      <c r="C456">
        <v>691.55</v>
      </c>
      <c r="D456" s="15">
        <f t="shared" si="7"/>
        <v>2.6623676612127043</v>
      </c>
      <c r="E456" t="s">
        <v>1054</v>
      </c>
      <c r="F456" s="6">
        <v>2024</v>
      </c>
    </row>
    <row r="457" spans="1:6" x14ac:dyDescent="0.25">
      <c r="A457" t="s">
        <v>1046</v>
      </c>
      <c r="B457" s="15">
        <v>286.90999999999997</v>
      </c>
      <c r="C457">
        <v>778.07</v>
      </c>
      <c r="D457" s="15">
        <f t="shared" si="7"/>
        <v>2.7118957164267545</v>
      </c>
      <c r="E457" t="s">
        <v>1055</v>
      </c>
      <c r="F457" s="6">
        <v>2024</v>
      </c>
    </row>
    <row r="458" spans="1:6" x14ac:dyDescent="0.25">
      <c r="A458" t="s">
        <v>1046</v>
      </c>
      <c r="B458" s="15">
        <v>176.10399999999998</v>
      </c>
      <c r="C458">
        <v>471.5</v>
      </c>
      <c r="D458" s="15">
        <f t="shared" si="7"/>
        <v>2.6773951755780678</v>
      </c>
      <c r="E458" t="s">
        <v>1056</v>
      </c>
      <c r="F458" s="6">
        <v>2024</v>
      </c>
    </row>
    <row r="459" spans="1:6" x14ac:dyDescent="0.25">
      <c r="A459" t="s">
        <v>1046</v>
      </c>
      <c r="B459" s="15">
        <v>143.13999999999999</v>
      </c>
      <c r="C459">
        <v>400.15</v>
      </c>
      <c r="D459" s="15">
        <f t="shared" si="7"/>
        <v>2.7955148805365377</v>
      </c>
      <c r="E459" t="s">
        <v>1063</v>
      </c>
      <c r="F459" s="6">
        <v>2024</v>
      </c>
    </row>
    <row r="460" spans="1:6" x14ac:dyDescent="0.25">
      <c r="A460" t="s">
        <v>1046</v>
      </c>
      <c r="B460" s="15">
        <v>162.72999999999999</v>
      </c>
      <c r="C460">
        <v>443.02</v>
      </c>
      <c r="D460" s="15">
        <f t="shared" si="7"/>
        <v>2.7224236465310638</v>
      </c>
      <c r="E460" t="s">
        <v>1064</v>
      </c>
      <c r="F460" s="6">
        <v>2024</v>
      </c>
    </row>
    <row r="461" spans="1:6" x14ac:dyDescent="0.25">
      <c r="A461" t="s">
        <v>1046</v>
      </c>
      <c r="B461" s="15">
        <v>164.68199999999999</v>
      </c>
      <c r="C461">
        <v>466.41</v>
      </c>
      <c r="D461" s="15">
        <f t="shared" si="7"/>
        <v>2.832185666921704</v>
      </c>
      <c r="E461" t="s">
        <v>1052</v>
      </c>
      <c r="F461" s="6">
        <v>2025</v>
      </c>
    </row>
    <row r="462" spans="1:6" x14ac:dyDescent="0.25">
      <c r="A462" t="s">
        <v>1046</v>
      </c>
      <c r="B462" s="15">
        <v>505.21100000000001</v>
      </c>
      <c r="C462">
        <v>1491.26</v>
      </c>
      <c r="D462" s="15">
        <f t="shared" si="7"/>
        <v>2.9517567907270426</v>
      </c>
      <c r="E462" t="s">
        <v>1053</v>
      </c>
      <c r="F462" s="6">
        <v>2025</v>
      </c>
    </row>
    <row r="463" spans="1:6" x14ac:dyDescent="0.25">
      <c r="A463" t="s">
        <v>1046</v>
      </c>
      <c r="B463" s="15">
        <v>103.014</v>
      </c>
      <c r="C463">
        <v>302.10000000000002</v>
      </c>
      <c r="D463" s="15">
        <f t="shared" si="7"/>
        <v>2.9326111014036931</v>
      </c>
      <c r="E463" t="s">
        <v>1054</v>
      </c>
      <c r="F463" s="6">
        <v>2025</v>
      </c>
    </row>
    <row r="464" spans="1:6" x14ac:dyDescent="0.25">
      <c r="A464" t="s">
        <v>1046</v>
      </c>
      <c r="B464" s="15">
        <v>149.91199999999998</v>
      </c>
      <c r="C464">
        <v>384.19</v>
      </c>
      <c r="D464" s="15">
        <f t="shared" si="7"/>
        <v>2.5627701584929827</v>
      </c>
      <c r="E464" t="s">
        <v>1055</v>
      </c>
      <c r="F464" s="6">
        <v>2025</v>
      </c>
    </row>
    <row r="465" spans="1:6" x14ac:dyDescent="0.25">
      <c r="A465" t="s">
        <v>1046</v>
      </c>
      <c r="B465" s="15">
        <v>119.72499999999999</v>
      </c>
      <c r="C465">
        <v>314.54000000000002</v>
      </c>
      <c r="D465" s="15">
        <f t="shared" si="7"/>
        <v>2.6271873042388809</v>
      </c>
      <c r="E465" t="s">
        <v>1056</v>
      </c>
      <c r="F465" s="6">
        <v>2025</v>
      </c>
    </row>
    <row r="466" spans="1:6" x14ac:dyDescent="0.25">
      <c r="A466" t="s">
        <v>1046</v>
      </c>
      <c r="B466" s="15">
        <v>16.329999999999998</v>
      </c>
      <c r="C466">
        <v>51.56</v>
      </c>
      <c r="D466" s="15">
        <f t="shared" si="7"/>
        <v>3.1573790569503983</v>
      </c>
      <c r="E466" t="s">
        <v>1063</v>
      </c>
      <c r="F466" s="6">
        <v>2025</v>
      </c>
    </row>
    <row r="467" spans="1:6" x14ac:dyDescent="0.25">
      <c r="A467" t="s">
        <v>1046</v>
      </c>
      <c r="B467" s="15">
        <v>108.39</v>
      </c>
      <c r="C467">
        <v>323.44</v>
      </c>
      <c r="D467" s="15">
        <f t="shared" si="7"/>
        <v>2.9840391179998154</v>
      </c>
      <c r="E467" t="s">
        <v>1064</v>
      </c>
      <c r="F467" s="6">
        <v>2025</v>
      </c>
    </row>
    <row r="468" spans="1:6" x14ac:dyDescent="0.25">
      <c r="A468" t="s">
        <v>1065</v>
      </c>
      <c r="B468" s="15">
        <v>9.2899999999999991</v>
      </c>
      <c r="C468">
        <v>32.96</v>
      </c>
      <c r="D468" s="15">
        <f t="shared" si="7"/>
        <v>3.5479009687836389</v>
      </c>
      <c r="E468" t="s">
        <v>1064</v>
      </c>
      <c r="F468" s="6">
        <v>2025</v>
      </c>
    </row>
    <row r="469" spans="1:6" x14ac:dyDescent="0.25">
      <c r="A469" t="s">
        <v>1026</v>
      </c>
      <c r="B469" s="15">
        <v>999.68</v>
      </c>
      <c r="C469">
        <v>6689.8399999999992</v>
      </c>
      <c r="D469" s="15">
        <f t="shared" ref="D469:D490" si="9">C469/B469</f>
        <v>6.6919814340588983</v>
      </c>
      <c r="E469" t="s">
        <v>1051</v>
      </c>
      <c r="F469" s="6">
        <v>2025</v>
      </c>
    </row>
    <row r="470" spans="1:6" x14ac:dyDescent="0.25">
      <c r="A470" t="s">
        <v>1027</v>
      </c>
      <c r="B470" s="15">
        <v>3458.38</v>
      </c>
      <c r="C470">
        <v>8017.8272727272733</v>
      </c>
      <c r="D470" s="15">
        <f t="shared" si="9"/>
        <v>2.3183766019718113</v>
      </c>
      <c r="E470" t="s">
        <v>1051</v>
      </c>
      <c r="F470" s="6">
        <v>2025</v>
      </c>
    </row>
    <row r="471" spans="1:6" x14ac:dyDescent="0.25">
      <c r="A471" t="s">
        <v>1028</v>
      </c>
      <c r="B471" s="15">
        <v>1128.175</v>
      </c>
      <c r="C471">
        <v>3819.7</v>
      </c>
      <c r="D471" s="15">
        <f t="shared" si="9"/>
        <v>3.3857335962949011</v>
      </c>
      <c r="E471" t="s">
        <v>1051</v>
      </c>
      <c r="F471" s="6">
        <v>2025</v>
      </c>
    </row>
    <row r="472" spans="1:6" x14ac:dyDescent="0.25">
      <c r="A472" t="s">
        <v>1029</v>
      </c>
      <c r="B472" s="15">
        <v>14673.279999999999</v>
      </c>
      <c r="C472">
        <v>45463.429999999993</v>
      </c>
      <c r="D472" s="15">
        <f t="shared" si="9"/>
        <v>3.0983822294674397</v>
      </c>
      <c r="E472" t="s">
        <v>1051</v>
      </c>
      <c r="F472" s="6">
        <v>2025</v>
      </c>
    </row>
    <row r="473" spans="1:6" x14ac:dyDescent="0.25">
      <c r="A473" t="s">
        <v>1030</v>
      </c>
      <c r="B473" s="15">
        <v>21965.616379999999</v>
      </c>
      <c r="C473">
        <v>71975.323152173907</v>
      </c>
      <c r="D473" s="15">
        <f t="shared" si="9"/>
        <v>3.2767267672810876</v>
      </c>
      <c r="E473" t="s">
        <v>1051</v>
      </c>
      <c r="F473" s="6">
        <v>2025</v>
      </c>
    </row>
    <row r="474" spans="1:6" x14ac:dyDescent="0.25">
      <c r="A474" t="s">
        <v>1031</v>
      </c>
      <c r="B474" s="15">
        <v>137.52000000000001</v>
      </c>
      <c r="C474">
        <v>701.93999999999994</v>
      </c>
      <c r="D474" s="15">
        <f t="shared" si="9"/>
        <v>5.1042757417102962</v>
      </c>
      <c r="E474" t="s">
        <v>1051</v>
      </c>
      <c r="F474" s="6">
        <v>2025</v>
      </c>
    </row>
    <row r="475" spans="1:6" x14ac:dyDescent="0.25">
      <c r="A475" t="s">
        <v>1032</v>
      </c>
      <c r="B475" s="15">
        <v>12970.779999999999</v>
      </c>
      <c r="C475">
        <v>40377.410000000003</v>
      </c>
      <c r="D475" s="15">
        <f t="shared" si="9"/>
        <v>3.1129515726887673</v>
      </c>
      <c r="E475" t="s">
        <v>1051</v>
      </c>
      <c r="F475" s="6">
        <v>2025</v>
      </c>
    </row>
    <row r="476" spans="1:6" x14ac:dyDescent="0.25">
      <c r="A476" t="s">
        <v>1033</v>
      </c>
      <c r="B476" s="15">
        <v>2517.44</v>
      </c>
      <c r="C476">
        <v>6839.8600000000006</v>
      </c>
      <c r="D476" s="15">
        <f t="shared" si="9"/>
        <v>2.7169902758357698</v>
      </c>
      <c r="E476" t="s">
        <v>1051</v>
      </c>
      <c r="F476" s="6">
        <v>2025</v>
      </c>
    </row>
    <row r="477" spans="1:6" x14ac:dyDescent="0.25">
      <c r="A477" t="s">
        <v>1034</v>
      </c>
      <c r="B477" s="15">
        <v>0</v>
      </c>
      <c r="C477">
        <v>0</v>
      </c>
      <c r="D477" s="15" t="e">
        <f t="shared" si="9"/>
        <v>#DIV/0!</v>
      </c>
      <c r="E477" t="s">
        <v>1051</v>
      </c>
      <c r="F477" s="6">
        <v>2025</v>
      </c>
    </row>
    <row r="478" spans="1:6" x14ac:dyDescent="0.25">
      <c r="A478" t="s">
        <v>1035</v>
      </c>
      <c r="B478" s="15">
        <v>6268.64</v>
      </c>
      <c r="C478">
        <v>23952.949999999997</v>
      </c>
      <c r="D478" s="15">
        <f t="shared" si="9"/>
        <v>3.8210760228693936</v>
      </c>
      <c r="E478" t="s">
        <v>1051</v>
      </c>
      <c r="F478" s="6">
        <v>2025</v>
      </c>
    </row>
    <row r="479" spans="1:6" x14ac:dyDescent="0.25">
      <c r="A479" t="s">
        <v>1036</v>
      </c>
      <c r="B479" s="15">
        <v>9121.4549999999999</v>
      </c>
      <c r="C479">
        <v>17281.919999999998</v>
      </c>
      <c r="D479" s="15">
        <f t="shared" si="9"/>
        <v>1.8946450977393408</v>
      </c>
      <c r="E479" t="s">
        <v>1051</v>
      </c>
      <c r="F479" s="6">
        <v>2025</v>
      </c>
    </row>
    <row r="480" spans="1:6" x14ac:dyDescent="0.25">
      <c r="A480" t="s">
        <v>1037</v>
      </c>
      <c r="B480" s="15">
        <v>875.31500000000005</v>
      </c>
      <c r="C480">
        <v>1709.42</v>
      </c>
      <c r="D480" s="15">
        <f t="shared" si="9"/>
        <v>1.9529198060126924</v>
      </c>
      <c r="E480" t="s">
        <v>1051</v>
      </c>
      <c r="F480" s="6">
        <v>2025</v>
      </c>
    </row>
    <row r="481" spans="1:6" x14ac:dyDescent="0.25">
      <c r="A481" t="s">
        <v>1038</v>
      </c>
      <c r="B481" s="15">
        <v>397.41500000000002</v>
      </c>
      <c r="C481">
        <v>1790.75</v>
      </c>
      <c r="D481" s="15">
        <f t="shared" si="9"/>
        <v>4.505994992639935</v>
      </c>
      <c r="E481" t="s">
        <v>1051</v>
      </c>
      <c r="F481" s="6">
        <v>2025</v>
      </c>
    </row>
    <row r="482" spans="1:6" x14ac:dyDescent="0.25">
      <c r="A482" t="s">
        <v>1039</v>
      </c>
      <c r="B482" s="15">
        <v>399.55500000000001</v>
      </c>
      <c r="C482">
        <v>1229.51</v>
      </c>
      <c r="D482" s="15">
        <f t="shared" si="9"/>
        <v>3.0771983832013112</v>
      </c>
      <c r="E482" t="s">
        <v>1051</v>
      </c>
      <c r="F482" s="6">
        <v>2025</v>
      </c>
    </row>
    <row r="483" spans="1:6" x14ac:dyDescent="0.25">
      <c r="A483" t="s">
        <v>1040</v>
      </c>
      <c r="B483" s="15">
        <v>811.8900000000001</v>
      </c>
      <c r="C483">
        <v>2182.66</v>
      </c>
      <c r="D483" s="15">
        <f t="shared" si="9"/>
        <v>2.6883691140425423</v>
      </c>
      <c r="E483" t="s">
        <v>1051</v>
      </c>
      <c r="F483" s="6">
        <v>2025</v>
      </c>
    </row>
    <row r="484" spans="1:6" x14ac:dyDescent="0.25">
      <c r="A484" t="s">
        <v>1041</v>
      </c>
      <c r="B484" s="15">
        <v>100.776</v>
      </c>
      <c r="C484">
        <v>641.51</v>
      </c>
      <c r="D484" s="15">
        <f t="shared" si="9"/>
        <v>6.3657021513058663</v>
      </c>
      <c r="E484" t="s">
        <v>1051</v>
      </c>
      <c r="F484" s="6">
        <v>2025</v>
      </c>
    </row>
    <row r="485" spans="1:6" x14ac:dyDescent="0.25">
      <c r="A485" t="s">
        <v>1042</v>
      </c>
      <c r="B485" s="15">
        <v>117.91300000000001</v>
      </c>
      <c r="C485">
        <v>603.21</v>
      </c>
      <c r="D485" s="15">
        <f t="shared" si="9"/>
        <v>5.1157209128764425</v>
      </c>
      <c r="E485" t="s">
        <v>1051</v>
      </c>
      <c r="F485" s="6">
        <v>2025</v>
      </c>
    </row>
    <row r="486" spans="1:6" x14ac:dyDescent="0.25">
      <c r="A486" t="s">
        <v>1043</v>
      </c>
      <c r="B486" s="15">
        <v>692.17080999999996</v>
      </c>
      <c r="C486">
        <v>2204.64</v>
      </c>
      <c r="D486" s="15">
        <f t="shared" si="9"/>
        <v>3.1851097563620172</v>
      </c>
      <c r="E486" t="s">
        <v>1051</v>
      </c>
      <c r="F486" s="6">
        <v>2025</v>
      </c>
    </row>
    <row r="487" spans="1:6" x14ac:dyDescent="0.25">
      <c r="A487" t="s">
        <v>1044</v>
      </c>
      <c r="B487" s="15">
        <v>1071.5450000000001</v>
      </c>
      <c r="C487">
        <v>4451.03</v>
      </c>
      <c r="D487" s="15">
        <f t="shared" si="9"/>
        <v>4.153843282363316</v>
      </c>
      <c r="E487" t="s">
        <v>1051</v>
      </c>
      <c r="F487" s="6">
        <v>2025</v>
      </c>
    </row>
    <row r="488" spans="1:6" x14ac:dyDescent="0.25">
      <c r="A488" t="s">
        <v>1045</v>
      </c>
      <c r="B488" s="15">
        <v>571.53800000000001</v>
      </c>
      <c r="C488">
        <v>3634.9300000000003</v>
      </c>
      <c r="D488" s="15">
        <f t="shared" si="9"/>
        <v>6.3599095773159444</v>
      </c>
      <c r="E488" t="s">
        <v>1051</v>
      </c>
      <c r="F488" s="6">
        <v>2025</v>
      </c>
    </row>
    <row r="489" spans="1:6" x14ac:dyDescent="0.25">
      <c r="A489" t="s">
        <v>282</v>
      </c>
      <c r="B489" s="15">
        <v>36.78</v>
      </c>
      <c r="C489">
        <v>166.1</v>
      </c>
      <c r="D489" s="15">
        <f t="shared" si="9"/>
        <v>4.5160413268080477</v>
      </c>
      <c r="E489" t="s">
        <v>1051</v>
      </c>
      <c r="F489" s="6">
        <v>2025</v>
      </c>
    </row>
    <row r="490" spans="1:6" x14ac:dyDescent="0.25">
      <c r="A490" t="s">
        <v>1046</v>
      </c>
      <c r="B490" s="15">
        <v>16.329000000000001</v>
      </c>
      <c r="C490">
        <v>51.56</v>
      </c>
      <c r="D490" s="15">
        <f t="shared" si="9"/>
        <v>3.1575724171719028</v>
      </c>
      <c r="E490" t="s">
        <v>1051</v>
      </c>
      <c r="F490" s="6">
        <v>2025</v>
      </c>
    </row>
  </sheetData>
  <autoFilter ref="A1:F490" xr:uid="{D071525E-EE09-4AAB-A674-90D6B5E04950}"/>
  <phoneticPr fontId="1" type="noConversion"/>
  <pageMargins left="0.7" right="0.7" top="0.75" bottom="0.75" header="0.3" footer="0.3"/>
  <ignoredErrors>
    <ignoredError sqref="D3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Folha1</vt:lpstr>
      <vt:lpstr>AT</vt:lpstr>
      <vt:lpstr>Prod</vt:lpstr>
      <vt:lpstr>Tranf</vt:lpstr>
      <vt:lpstr>Dados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costa</dc:creator>
  <cp:keywords/>
  <dc:description/>
  <cp:lastModifiedBy>André Costa</cp:lastModifiedBy>
  <cp:revision/>
  <dcterms:created xsi:type="dcterms:W3CDTF">2023-06-21T16:28:20Z</dcterms:created>
  <dcterms:modified xsi:type="dcterms:W3CDTF">2025-11-19T14:49:27Z</dcterms:modified>
  <cp:category/>
  <cp:contentStatus/>
</cp:coreProperties>
</file>